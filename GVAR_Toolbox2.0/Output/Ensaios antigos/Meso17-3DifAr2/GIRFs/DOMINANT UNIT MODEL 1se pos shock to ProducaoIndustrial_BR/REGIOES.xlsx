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\GIRFs\DOMINANT UNIT MODEL 1se pos shock to ProducaoIndustrial_BR\"/>
    </mc:Choice>
  </mc:AlternateContent>
  <bookViews>
    <workbookView xWindow="0" yWindow="0" windowWidth="28800" windowHeight="11685" activeTab="3"/>
  </bookViews>
  <sheets>
    <sheet name="Point Estimates" sheetId="1" r:id="rId1"/>
    <sheet name="Dados" sheetId="2" r:id="rId2"/>
    <sheet name="Transpost" sheetId="4" r:id="rId3"/>
    <sheet name="Grafico" sheetId="5" r:id="rId4"/>
  </sheets>
  <externalReferences>
    <externalReference r:id="rId5"/>
  </externalReferences>
  <definedNames>
    <definedName name="_xlnm._FilterDatabase" localSheetId="1" hidden="1">Dados!$B$1:$AY$138</definedName>
  </definedNames>
  <calcPr calcId="171027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4" l="1" a="1"/>
  <c r="A1" i="4" s="1"/>
  <c r="D1" i="4"/>
  <c r="H1" i="4"/>
  <c r="L1" i="4"/>
  <c r="P1" i="4"/>
  <c r="T1" i="4"/>
  <c r="X1" i="4"/>
  <c r="AB1" i="4"/>
  <c r="AF1" i="4"/>
  <c r="AJ1" i="4"/>
  <c r="AN1" i="4"/>
  <c r="AR1" i="4"/>
  <c r="AV1" i="4"/>
  <c r="AZ1" i="4"/>
  <c r="BD1" i="4"/>
  <c r="BH1" i="4"/>
  <c r="BL1" i="4"/>
  <c r="BP1" i="4"/>
  <c r="BT1" i="4"/>
  <c r="BX1" i="4"/>
  <c r="CB1" i="4"/>
  <c r="CF1" i="4"/>
  <c r="CJ1" i="4"/>
  <c r="CN1" i="4"/>
  <c r="CR1" i="4"/>
  <c r="CV1" i="4"/>
  <c r="CZ1" i="4"/>
  <c r="DD1" i="4"/>
  <c r="DH1" i="4"/>
  <c r="DL1" i="4"/>
  <c r="DP1" i="4"/>
  <c r="DT1" i="4"/>
  <c r="DX1" i="4"/>
  <c r="EB1" i="4"/>
  <c r="EF1" i="4"/>
  <c r="A2" i="4"/>
  <c r="E2" i="4"/>
  <c r="I2" i="4"/>
  <c r="M2" i="4"/>
  <c r="Q2" i="4"/>
  <c r="U2" i="4"/>
  <c r="Y2" i="4"/>
  <c r="AC2" i="4"/>
  <c r="AG2" i="4"/>
  <c r="AK2" i="4"/>
  <c r="AO2" i="4"/>
  <c r="AS2" i="4"/>
  <c r="AW2" i="4"/>
  <c r="BA2" i="4"/>
  <c r="BE2" i="4"/>
  <c r="BI2" i="4"/>
  <c r="BM2" i="4"/>
  <c r="BQ2" i="4"/>
  <c r="BU2" i="4"/>
  <c r="BY2" i="4"/>
  <c r="CC2" i="4"/>
  <c r="CG2" i="4"/>
  <c r="CK2" i="4"/>
  <c r="CO2" i="4"/>
  <c r="CS2" i="4"/>
  <c r="CW2" i="4"/>
  <c r="DA2" i="4"/>
  <c r="DE2" i="4"/>
  <c r="DI2" i="4"/>
  <c r="DM2" i="4"/>
  <c r="DQ2" i="4"/>
  <c r="DU2" i="4"/>
  <c r="DY2" i="4"/>
  <c r="EC2" i="4"/>
  <c r="EG2" i="4"/>
  <c r="B3" i="4"/>
  <c r="F3" i="4"/>
  <c r="J3" i="4"/>
  <c r="N3" i="4"/>
  <c r="R3" i="4"/>
  <c r="V3" i="4"/>
  <c r="Z3" i="4"/>
  <c r="AD3" i="4"/>
  <c r="AH3" i="4"/>
  <c r="AL3" i="4"/>
  <c r="AP3" i="4"/>
  <c r="AT3" i="4"/>
  <c r="AX3" i="4"/>
  <c r="BB3" i="4"/>
  <c r="BF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C139" i="2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5" i="1"/>
  <c r="CA281" i="1"/>
  <c r="CA282" i="1"/>
  <c r="BM281" i="1"/>
  <c r="BM282" i="1"/>
  <c r="BD282" i="1"/>
  <c r="BE282" i="1"/>
  <c r="BF282" i="1"/>
  <c r="BG282" i="1"/>
  <c r="BH282" i="1"/>
  <c r="BI282" i="1"/>
  <c r="BJ282" i="1"/>
  <c r="BK282" i="1"/>
  <c r="BL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BC282" i="1"/>
  <c r="BD281" i="1"/>
  <c r="BD283" i="1" s="1"/>
  <c r="BE281" i="1"/>
  <c r="BF281" i="1"/>
  <c r="BG281" i="1"/>
  <c r="BG283" i="1" s="1"/>
  <c r="BH281" i="1"/>
  <c r="BH283" i="1" s="1"/>
  <c r="BI281" i="1"/>
  <c r="BJ281" i="1"/>
  <c r="BK281" i="1"/>
  <c r="BK283" i="1" s="1"/>
  <c r="BL281" i="1"/>
  <c r="BL283" i="1" s="1"/>
  <c r="BN281" i="1"/>
  <c r="BO281" i="1"/>
  <c r="BP281" i="1"/>
  <c r="BP283" i="1" s="1"/>
  <c r="BQ281" i="1"/>
  <c r="BQ283" i="1" s="1"/>
  <c r="BR281" i="1"/>
  <c r="BS281" i="1"/>
  <c r="BT281" i="1"/>
  <c r="BT283" i="1" s="1"/>
  <c r="BU281" i="1"/>
  <c r="BU283" i="1" s="1"/>
  <c r="BV281" i="1"/>
  <c r="BW281" i="1"/>
  <c r="BX281" i="1"/>
  <c r="BX283" i="1" s="1"/>
  <c r="BY281" i="1"/>
  <c r="BY283" i="1" s="1"/>
  <c r="BZ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CW281" i="1"/>
  <c r="CX281" i="1"/>
  <c r="CY281" i="1"/>
  <c r="BE283" i="1"/>
  <c r="BF283" i="1"/>
  <c r="BI283" i="1"/>
  <c r="BJ283" i="1"/>
  <c r="BM283" i="1"/>
  <c r="BN283" i="1"/>
  <c r="BO283" i="1"/>
  <c r="BR283" i="1"/>
  <c r="BS283" i="1"/>
  <c r="BV283" i="1"/>
  <c r="BW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CW283" i="1"/>
  <c r="CX283" i="1"/>
  <c r="CY283" i="1"/>
  <c r="BC281" i="1"/>
  <c r="BC283" i="1" s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I3" i="4" l="1"/>
  <c r="BE3" i="4"/>
  <c r="BA3" i="4"/>
  <c r="AW3" i="4"/>
  <c r="AS3" i="4"/>
  <c r="AO3" i="4"/>
  <c r="AK3" i="4"/>
  <c r="AG3" i="4"/>
  <c r="AC3" i="4"/>
  <c r="Y3" i="4"/>
  <c r="U3" i="4"/>
  <c r="Q3" i="4"/>
  <c r="M3" i="4"/>
  <c r="I3" i="4"/>
  <c r="E3" i="4"/>
  <c r="A3" i="4"/>
  <c r="EF2" i="4"/>
  <c r="EB2" i="4"/>
  <c r="DX2" i="4"/>
  <c r="DT2" i="4"/>
  <c r="DP2" i="4"/>
  <c r="DL2" i="4"/>
  <c r="DH2" i="4"/>
  <c r="DD2" i="4"/>
  <c r="CZ2" i="4"/>
  <c r="CV2" i="4"/>
  <c r="CR2" i="4"/>
  <c r="CN2" i="4"/>
  <c r="CJ2" i="4"/>
  <c r="CF2" i="4"/>
  <c r="CB2" i="4"/>
  <c r="BX2" i="4"/>
  <c r="BT2" i="4"/>
  <c r="BP2" i="4"/>
  <c r="BL2" i="4"/>
  <c r="BH2" i="4"/>
  <c r="BD2" i="4"/>
  <c r="AZ2" i="4"/>
  <c r="AV2" i="4"/>
  <c r="AR2" i="4"/>
  <c r="AN2" i="4"/>
  <c r="AJ2" i="4"/>
  <c r="AF2" i="4"/>
  <c r="AB2" i="4"/>
  <c r="X2" i="4"/>
  <c r="T2" i="4"/>
  <c r="P2" i="4"/>
  <c r="L2" i="4"/>
  <c r="H2" i="4"/>
  <c r="D2" i="4"/>
  <c r="EI1" i="4"/>
  <c r="EE1" i="4"/>
  <c r="EA1" i="4"/>
  <c r="DW1" i="4"/>
  <c r="DS1" i="4"/>
  <c r="DO1" i="4"/>
  <c r="DK1" i="4"/>
  <c r="DG1" i="4"/>
  <c r="DC1" i="4"/>
  <c r="CY1" i="4"/>
  <c r="CU1" i="4"/>
  <c r="CQ1" i="4"/>
  <c r="CM1" i="4"/>
  <c r="CI1" i="4"/>
  <c r="CE1" i="4"/>
  <c r="CA1" i="4"/>
  <c r="BW1" i="4"/>
  <c r="BS1" i="4"/>
  <c r="BO1" i="4"/>
  <c r="BK1" i="4"/>
  <c r="BG1" i="4"/>
  <c r="BC1" i="4"/>
  <c r="AY1" i="4"/>
  <c r="AU1" i="4"/>
  <c r="AQ1" i="4"/>
  <c r="AM1" i="4"/>
  <c r="AI1" i="4"/>
  <c r="AE1" i="4"/>
  <c r="AA1" i="4"/>
  <c r="W1" i="4"/>
  <c r="S1" i="4"/>
  <c r="O1" i="4"/>
  <c r="K1" i="4"/>
  <c r="G1" i="4"/>
  <c r="C1" i="4"/>
  <c r="BH3" i="4"/>
  <c r="BD3" i="4"/>
  <c r="AZ3" i="4"/>
  <c r="AV3" i="4"/>
  <c r="AR3" i="4"/>
  <c r="AN3" i="4"/>
  <c r="AJ3" i="4"/>
  <c r="AF3" i="4"/>
  <c r="AB3" i="4"/>
  <c r="X3" i="4"/>
  <c r="T3" i="4"/>
  <c r="P3" i="4"/>
  <c r="L3" i="4"/>
  <c r="H3" i="4"/>
  <c r="D3" i="4"/>
  <c r="EI2" i="4"/>
  <c r="EE2" i="4"/>
  <c r="EA2" i="4"/>
  <c r="DW2" i="4"/>
  <c r="DS2" i="4"/>
  <c r="DO2" i="4"/>
  <c r="DK2" i="4"/>
  <c r="DG2" i="4"/>
  <c r="DC2" i="4"/>
  <c r="CY2" i="4"/>
  <c r="CU2" i="4"/>
  <c r="CQ2" i="4"/>
  <c r="CM2" i="4"/>
  <c r="CI2" i="4"/>
  <c r="CE2" i="4"/>
  <c r="CA2" i="4"/>
  <c r="BW2" i="4"/>
  <c r="BS2" i="4"/>
  <c r="BO2" i="4"/>
  <c r="BK2" i="4"/>
  <c r="BG2" i="4"/>
  <c r="BC2" i="4"/>
  <c r="AY2" i="4"/>
  <c r="AU2" i="4"/>
  <c r="AQ2" i="4"/>
  <c r="AM2" i="4"/>
  <c r="AI2" i="4"/>
  <c r="AE2" i="4"/>
  <c r="AA2" i="4"/>
  <c r="W2" i="4"/>
  <c r="S2" i="4"/>
  <c r="O2" i="4"/>
  <c r="K2" i="4"/>
  <c r="G2" i="4"/>
  <c r="C2" i="4"/>
  <c r="EH1" i="4"/>
  <c r="ED1" i="4"/>
  <c r="DZ1" i="4"/>
  <c r="DV1" i="4"/>
  <c r="DR1" i="4"/>
  <c r="DN1" i="4"/>
  <c r="DJ1" i="4"/>
  <c r="DF1" i="4"/>
  <c r="DB1" i="4"/>
  <c r="CX1" i="4"/>
  <c r="CT1" i="4"/>
  <c r="CP1" i="4"/>
  <c r="CL1" i="4"/>
  <c r="CH1" i="4"/>
  <c r="CD1" i="4"/>
  <c r="BZ1" i="4"/>
  <c r="BV1" i="4"/>
  <c r="BR1" i="4"/>
  <c r="BN1" i="4"/>
  <c r="BJ1" i="4"/>
  <c r="BF1" i="4"/>
  <c r="BB1" i="4"/>
  <c r="AX1" i="4"/>
  <c r="AT1" i="4"/>
  <c r="AP1" i="4"/>
  <c r="AL1" i="4"/>
  <c r="AH1" i="4"/>
  <c r="AD1" i="4"/>
  <c r="Z1" i="4"/>
  <c r="V1" i="4"/>
  <c r="R1" i="4"/>
  <c r="N1" i="4"/>
  <c r="J1" i="4"/>
  <c r="F1" i="4"/>
  <c r="B1" i="4"/>
  <c r="BG3" i="4"/>
  <c r="BC3" i="4"/>
  <c r="AY3" i="4"/>
  <c r="AU3" i="4"/>
  <c r="AQ3" i="4"/>
  <c r="AM3" i="4"/>
  <c r="AI3" i="4"/>
  <c r="AE3" i="4"/>
  <c r="AA3" i="4"/>
  <c r="W3" i="4"/>
  <c r="S3" i="4"/>
  <c r="O3" i="4"/>
  <c r="K3" i="4"/>
  <c r="G3" i="4"/>
  <c r="C3" i="4"/>
  <c r="EH2" i="4"/>
  <c r="ED2" i="4"/>
  <c r="DZ2" i="4"/>
  <c r="DV2" i="4"/>
  <c r="DR2" i="4"/>
  <c r="DN2" i="4"/>
  <c r="DJ2" i="4"/>
  <c r="DF2" i="4"/>
  <c r="DB2" i="4"/>
  <c r="CX2" i="4"/>
  <c r="CT2" i="4"/>
  <c r="CP2" i="4"/>
  <c r="CL2" i="4"/>
  <c r="CH2" i="4"/>
  <c r="CD2" i="4"/>
  <c r="BZ2" i="4"/>
  <c r="BV2" i="4"/>
  <c r="BR2" i="4"/>
  <c r="BN2" i="4"/>
  <c r="BJ2" i="4"/>
  <c r="BF2" i="4"/>
  <c r="BB2" i="4"/>
  <c r="AX2" i="4"/>
  <c r="AT2" i="4"/>
  <c r="AP2" i="4"/>
  <c r="AL2" i="4"/>
  <c r="AH2" i="4"/>
  <c r="AD2" i="4"/>
  <c r="Z2" i="4"/>
  <c r="V2" i="4"/>
  <c r="R2" i="4"/>
  <c r="N2" i="4"/>
  <c r="J2" i="4"/>
  <c r="F2" i="4"/>
  <c r="B2" i="4"/>
  <c r="EG1" i="4"/>
  <c r="EC1" i="4"/>
  <c r="DY1" i="4"/>
  <c r="DU1" i="4"/>
  <c r="DQ1" i="4"/>
  <c r="DM1" i="4"/>
  <c r="DI1" i="4"/>
  <c r="DE1" i="4"/>
  <c r="DA1" i="4"/>
  <c r="CW1" i="4"/>
  <c r="CS1" i="4"/>
  <c r="CO1" i="4"/>
  <c r="CK1" i="4"/>
  <c r="CG1" i="4"/>
  <c r="CC1" i="4"/>
  <c r="BY1" i="4"/>
  <c r="BU1" i="4"/>
  <c r="BQ1" i="4"/>
  <c r="BM1" i="4"/>
  <c r="BI1" i="4"/>
  <c r="BE1" i="4"/>
  <c r="BA1" i="4"/>
  <c r="AW1" i="4"/>
  <c r="AS1" i="4"/>
  <c r="AO1" i="4"/>
  <c r="AK1" i="4"/>
  <c r="AG1" i="4"/>
  <c r="AC1" i="4"/>
  <c r="Y1" i="4"/>
  <c r="U1" i="4"/>
  <c r="Q1" i="4"/>
  <c r="M1" i="4"/>
  <c r="I1" i="4"/>
  <c r="E1" i="4"/>
  <c r="BB283" i="1"/>
</calcChain>
</file>

<file path=xl/sharedStrings.xml><?xml version="1.0" encoding="utf-8"?>
<sst xmlns="http://schemas.openxmlformats.org/spreadsheetml/2006/main" count="7409" uniqueCount="150">
  <si>
    <t>Generalized Impulse Response Functions</t>
  </si>
  <si>
    <t>One s.e. Positive Shock to DOMINANT UNIT MODEL ProducaoIndustrial_BR</t>
  </si>
  <si>
    <t>Point Estimates</t>
  </si>
  <si>
    <t>Ro - Madeira-Guapore</t>
  </si>
  <si>
    <t>adm</t>
  </si>
  <si>
    <t>desl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</si>
  <si>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</si>
  <si>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</si>
  <si>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</si>
  <si>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</si>
  <si>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</si>
  <si>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</si>
  <si>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</si>
  <si>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</si>
  <si>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</si>
  <si>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</si>
  <si>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</si>
  <si>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</si>
  <si>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</si>
  <si>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</si>
  <si>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</si>
  <si>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</si>
  <si>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</si>
  <si>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</si>
  <si>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</si>
  <si>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</si>
  <si>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</si>
  <si>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</si>
  <si>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</si>
  <si>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</si>
  <si>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</si>
  <si>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</si>
  <si>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</si>
  <si>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</si>
  <si>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</si>
  <si>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</si>
  <si>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</si>
  <si>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</si>
  <si>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</si>
  <si>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</si>
  <si>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</si>
  <si>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</si>
  <si>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</si>
  <si>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</si>
  <si>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</si>
  <si>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</si>
  <si>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</si>
  <si>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</si>
  <si>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</si>
  <si>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</si>
  <si>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</si>
  <si>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</si>
  <si>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</si>
  <si>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</si>
  <si>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</si>
  <si>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</si>
  <si>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</si>
  <si>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</si>
  <si>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</si>
  <si>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</si>
  <si>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</si>
  <si>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</si>
  <si>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</si>
  <si>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</si>
  <si>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</si>
  <si>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</si>
  <si>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</si>
  <si>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</si>
  <si>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</si>
  <si>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</si>
  <si>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</si>
  <si>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</si>
  <si>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</si>
  <si>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</si>
  <si>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</si>
  <si>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</si>
  <si>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</si>
  <si>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</si>
  <si>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</si>
  <si>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</si>
  <si>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</si>
  <si>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</si>
  <si>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</si>
  <si>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</si>
  <si>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</si>
  <si>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</si>
  <si>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</si>
  <si>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</si>
  <si>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</si>
  <si>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</si>
  <si>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</si>
  <si>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</si>
  <si>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</si>
  <si>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</si>
  <si>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</si>
  <si>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</si>
  <si>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</si>
  <si>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</si>
  <si>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</si>
  <si>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</si>
  <si>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</si>
  <si>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</si>
  <si>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</si>
  <si>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</si>
  <si>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</si>
  <si>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</si>
  <si>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</si>
  <si>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</si>
  <si>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</si>
  <si>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</si>
  <si>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</si>
  <si>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</si>
  <si>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</si>
  <si>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</si>
  <si>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</si>
  <si>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</si>
  <si>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</si>
  <si>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</si>
  <si>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</si>
  <si>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</si>
  <si>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</si>
  <si>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</si>
  <si>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</si>
  <si>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</si>
  <si>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</si>
  <si>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</si>
  <si>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</si>
  <si>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</si>
  <si>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</si>
  <si>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</si>
  <si>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</si>
  <si>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</si>
  <si>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</si>
  <si>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</si>
  <si>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</si>
  <si>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</si>
  <si>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</si>
  <si>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</si>
  <si>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</si>
  <si>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</si>
  <si>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</si>
  <si>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</si>
  <si>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DOMINANT UNIT MODEL</t>
  </si>
  <si>
    <t>lpim_BR</t>
  </si>
  <si>
    <t/>
  </si>
  <si>
    <t>Regiao</t>
  </si>
  <si>
    <t>Total Geral</t>
  </si>
  <si>
    <t>Total</t>
  </si>
  <si>
    <t>BRASIL</t>
  </si>
  <si>
    <t>Soma de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</si>
</sst>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164" fontId="1" fillId="0" borderId="0" xfId="1" applyNumberFormat="1" applyFont="1"/>
    <xf numFmtId="43" fontId="0" fillId="0" borderId="0" xfId="1" applyFont="1"/>
    <xf numFmtId="43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'Point Estimates'!$C$281:$AY$281</c:f>
              <c:numCache>
                <c:formatCode>_(* #,##0_);_(* \(#,##0\);_(* "-"??_);_(@_)</c:formatCode>
                <c:ptCount val="49"/>
                <c:pt idx="0">
                  <c:v>101987.28176622784</c:v>
                </c:pt>
                <c:pt idx="1">
                  <c:v>55144.051903463806</c:v>
                </c:pt>
                <c:pt idx="2">
                  <c:v>1198.9497503460404</c:v>
                </c:pt>
                <c:pt idx="3">
                  <c:v>43123.722673947967</c:v>
                </c:pt>
                <c:pt idx="4">
                  <c:v>15888.060945577939</c:v>
                </c:pt>
                <c:pt idx="5">
                  <c:v>43126.474762016056</c:v>
                </c:pt>
                <c:pt idx="6">
                  <c:v>27263.809054433128</c:v>
                </c:pt>
                <c:pt idx="7">
                  <c:v>32747.011481927784</c:v>
                </c:pt>
                <c:pt idx="8">
                  <c:v>42846.15564832613</c:v>
                </c:pt>
                <c:pt idx="9">
                  <c:v>34818.479773662526</c:v>
                </c:pt>
                <c:pt idx="10">
                  <c:v>39357.658834312264</c:v>
                </c:pt>
                <c:pt idx="11">
                  <c:v>27669.867710671577</c:v>
                </c:pt>
                <c:pt idx="12">
                  <c:v>25836.838195321281</c:v>
                </c:pt>
                <c:pt idx="13">
                  <c:v>21473.264473253264</c:v>
                </c:pt>
                <c:pt idx="14">
                  <c:v>17278.956504607799</c:v>
                </c:pt>
                <c:pt idx="15">
                  <c:v>17334.252193466295</c:v>
                </c:pt>
                <c:pt idx="16">
                  <c:v>14541.66421831287</c:v>
                </c:pt>
                <c:pt idx="17">
                  <c:v>15850.188911352328</c:v>
                </c:pt>
                <c:pt idx="18">
                  <c:v>15295.070664551969</c:v>
                </c:pt>
                <c:pt idx="19">
                  <c:v>15326.282394140266</c:v>
                </c:pt>
                <c:pt idx="20">
                  <c:v>15124.721382914819</c:v>
                </c:pt>
                <c:pt idx="21">
                  <c:v>13711.770133795042</c:v>
                </c:pt>
                <c:pt idx="22">
                  <c:v>12765.236963008645</c:v>
                </c:pt>
                <c:pt idx="23">
                  <c:v>10731.770303028103</c:v>
                </c:pt>
                <c:pt idx="24">
                  <c:v>9024.5425339125795</c:v>
                </c:pt>
                <c:pt idx="25">
                  <c:v>7209.9900126453058</c:v>
                </c:pt>
                <c:pt idx="26">
                  <c:v>5601.4056377423331</c:v>
                </c:pt>
                <c:pt idx="27">
                  <c:v>4508.2345953301692</c:v>
                </c:pt>
                <c:pt idx="28">
                  <c:v>3545.4555528323363</c:v>
                </c:pt>
                <c:pt idx="29">
                  <c:v>3008.8542165788458</c:v>
                </c:pt>
                <c:pt idx="30">
                  <c:v>2495.1192694365604</c:v>
                </c:pt>
                <c:pt idx="31">
                  <c:v>2023.3387362470767</c:v>
                </c:pt>
                <c:pt idx="32">
                  <c:v>1467.6729271524835</c:v>
                </c:pt>
                <c:pt idx="33">
                  <c:v>732.45898363885726</c:v>
                </c:pt>
                <c:pt idx="34">
                  <c:v>-85.238192774438176</c:v>
                </c:pt>
                <c:pt idx="35">
                  <c:v>-1022.2416520308877</c:v>
                </c:pt>
                <c:pt idx="36">
                  <c:v>-1949.304298938152</c:v>
                </c:pt>
                <c:pt idx="37">
                  <c:v>-2838.4846712900471</c:v>
                </c:pt>
                <c:pt idx="38">
                  <c:v>-3641.5222593521453</c:v>
                </c:pt>
                <c:pt idx="39">
                  <c:v>-4329.4205262525875</c:v>
                </c:pt>
                <c:pt idx="40">
                  <c:v>-4928.8062531017649</c:v>
                </c:pt>
                <c:pt idx="41">
                  <c:v>-5443.6073173711648</c:v>
                </c:pt>
                <c:pt idx="42">
                  <c:v>-5919.6018658141784</c:v>
                </c:pt>
                <c:pt idx="43">
                  <c:v>-6379.6632143288334</c:v>
                </c:pt>
                <c:pt idx="44">
                  <c:v>-6847.8593583073798</c:v>
                </c:pt>
                <c:pt idx="45">
                  <c:v>-7338.6190028233714</c:v>
                </c:pt>
                <c:pt idx="46">
                  <c:v>-7847.4404977750946</c:v>
                </c:pt>
                <c:pt idx="47">
                  <c:v>-8369.562534291601</c:v>
                </c:pt>
                <c:pt idx="48">
                  <c:v>-8887.1308995066574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3-42AA-BBA3-60306809E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81448"/>
        <c:axId val="1"/>
      </c:lineChart>
      <c:catAx>
        <c:axId val="22508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81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[REGIOES.xlsx]Grafico!Tabela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Grafico!$B$1:$B$2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Grafico!$A$3:$A$52</c:f>
              <c:strCach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Grafico!$B$3:$B$52</c:f>
              <c:numCache>
                <c:formatCode>General</c:formatCode>
                <c:ptCount val="49"/>
                <c:pt idx="0">
                  <c:v>101987.28176622784</c:v>
                </c:pt>
                <c:pt idx="1">
                  <c:v>55144.051903463798</c:v>
                </c:pt>
                <c:pt idx="2">
                  <c:v>1198.9497503460404</c:v>
                </c:pt>
                <c:pt idx="3">
                  <c:v>43123.722673947981</c:v>
                </c:pt>
                <c:pt idx="4">
                  <c:v>15888.060945577943</c:v>
                </c:pt>
                <c:pt idx="5">
                  <c:v>43126.474762016056</c:v>
                </c:pt>
                <c:pt idx="6">
                  <c:v>27263.809054433121</c:v>
                </c:pt>
                <c:pt idx="7">
                  <c:v>32747.011481927791</c:v>
                </c:pt>
                <c:pt idx="8">
                  <c:v>42846.15564832613</c:v>
                </c:pt>
                <c:pt idx="9">
                  <c:v>34818.479773662511</c:v>
                </c:pt>
                <c:pt idx="10">
                  <c:v>39357.658834312249</c:v>
                </c:pt>
                <c:pt idx="11">
                  <c:v>27669.867710671577</c:v>
                </c:pt>
                <c:pt idx="12">
                  <c:v>25836.838195321314</c:v>
                </c:pt>
                <c:pt idx="13">
                  <c:v>21473.264473253264</c:v>
                </c:pt>
                <c:pt idx="14">
                  <c:v>17278.956504607806</c:v>
                </c:pt>
                <c:pt idx="15">
                  <c:v>17334.252193466295</c:v>
                </c:pt>
                <c:pt idx="16">
                  <c:v>14541.664218312875</c:v>
                </c:pt>
                <c:pt idx="17">
                  <c:v>15850.188911352319</c:v>
                </c:pt>
                <c:pt idx="18">
                  <c:v>15295.070664551966</c:v>
                </c:pt>
                <c:pt idx="19">
                  <c:v>15326.282394140268</c:v>
                </c:pt>
                <c:pt idx="20">
                  <c:v>15124.721382914822</c:v>
                </c:pt>
                <c:pt idx="21">
                  <c:v>13711.770133795038</c:v>
                </c:pt>
                <c:pt idx="22">
                  <c:v>12765.23696300866</c:v>
                </c:pt>
                <c:pt idx="23">
                  <c:v>10731.770303028097</c:v>
                </c:pt>
                <c:pt idx="24">
                  <c:v>9024.5425339125741</c:v>
                </c:pt>
                <c:pt idx="25">
                  <c:v>7209.9900126453067</c:v>
                </c:pt>
                <c:pt idx="26">
                  <c:v>5601.4056377423276</c:v>
                </c:pt>
                <c:pt idx="27">
                  <c:v>4508.2345953301692</c:v>
                </c:pt>
                <c:pt idx="28">
                  <c:v>3545.4555528323353</c:v>
                </c:pt>
                <c:pt idx="29">
                  <c:v>3008.8542165788454</c:v>
                </c:pt>
                <c:pt idx="30">
                  <c:v>2495.1192694365564</c:v>
                </c:pt>
                <c:pt idx="31">
                  <c:v>2023.3387362470771</c:v>
                </c:pt>
                <c:pt idx="32">
                  <c:v>1467.6729271524819</c:v>
                </c:pt>
                <c:pt idx="33">
                  <c:v>732.45898363885453</c:v>
                </c:pt>
                <c:pt idx="34">
                  <c:v>-85.23819277443647</c:v>
                </c:pt>
                <c:pt idx="35">
                  <c:v>-1022.2416520308853</c:v>
                </c:pt>
                <c:pt idx="36">
                  <c:v>-1949.3042989381538</c:v>
                </c:pt>
                <c:pt idx="37">
                  <c:v>-2838.4846712900453</c:v>
                </c:pt>
                <c:pt idx="38">
                  <c:v>-3641.5222593521498</c:v>
                </c:pt>
                <c:pt idx="39">
                  <c:v>-4329.4205262525911</c:v>
                </c:pt>
                <c:pt idx="40">
                  <c:v>-4928.8062531017631</c:v>
                </c:pt>
                <c:pt idx="41">
                  <c:v>-5443.6073173711611</c:v>
                </c:pt>
                <c:pt idx="42">
                  <c:v>-5919.6018658141802</c:v>
                </c:pt>
                <c:pt idx="43">
                  <c:v>-6379.6632143288343</c:v>
                </c:pt>
                <c:pt idx="44">
                  <c:v>-6847.8593583073753</c:v>
                </c:pt>
                <c:pt idx="45">
                  <c:v>-7338.6190028233723</c:v>
                </c:pt>
                <c:pt idx="46">
                  <c:v>-7847.4404977750974</c:v>
                </c:pt>
                <c:pt idx="47">
                  <c:v>-8369.562534291601</c:v>
                </c:pt>
                <c:pt idx="48">
                  <c:v>-8887.1308995066593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0-4661-AC06-43BBE728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100480"/>
        <c:axId val="497089656"/>
      </c:lineChart>
      <c:catAx>
        <c:axId val="4971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89656"/>
        <c:crosses val="autoZero"/>
        <c:auto val="1"/>
        <c:lblAlgn val="ctr"/>
        <c:lblOffset val="100"/>
        <c:noMultiLvlLbl val="0"/>
      </c:catAx>
      <c:valAx>
        <c:axId val="49708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323850</xdr:colOff>
      <xdr:row>260</xdr:row>
      <xdr:rowOff>66675</xdr:rowOff>
    </xdr:from>
    <xdr:to>
      <xdr:col>43</xdr:col>
      <xdr:colOff>752475</xdr:colOff>
      <xdr:row>274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3CA12-FAE8-4E90-8D63-80679EA78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4AD7E6-9879-407A-9762-7C0729884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rf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oint Estimates"/>
    </sheetNames>
    <sheetDataSet>
      <sheetData sheetId="0" refreshError="1"/>
      <sheetData sheetId="1">
        <row r="281">
          <cell r="C281">
            <v>101987.28176622784</v>
          </cell>
          <cell r="D281">
            <v>55144.051903463806</v>
          </cell>
          <cell r="E281">
            <v>1198.9497503460404</v>
          </cell>
          <cell r="F281">
            <v>43123.722673947967</v>
          </cell>
          <cell r="G281">
            <v>15888.060945577939</v>
          </cell>
          <cell r="H281">
            <v>43126.474762016056</v>
          </cell>
          <cell r="I281">
            <v>27263.809054433128</v>
          </cell>
          <cell r="J281">
            <v>32747.011481927784</v>
          </cell>
          <cell r="K281">
            <v>42846.15564832613</v>
          </cell>
          <cell r="L281">
            <v>34818.479773662526</v>
          </cell>
          <cell r="M281">
            <v>39357.658834312264</v>
          </cell>
          <cell r="N281">
            <v>27669.867710671577</v>
          </cell>
          <cell r="O281">
            <v>25836.838195321281</v>
          </cell>
          <cell r="P281">
            <v>21473.264473253264</v>
          </cell>
          <cell r="Q281">
            <v>17278.956504607799</v>
          </cell>
          <cell r="R281">
            <v>17334.252193466295</v>
          </cell>
          <cell r="S281">
            <v>14541.66421831287</v>
          </cell>
          <cell r="T281">
            <v>15850.188911352328</v>
          </cell>
          <cell r="U281">
            <v>15295.070664551969</v>
          </cell>
          <cell r="V281">
            <v>15326.282394140266</v>
          </cell>
          <cell r="W281">
            <v>15124.721382914819</v>
          </cell>
          <cell r="X281">
            <v>13711.770133795042</v>
          </cell>
          <cell r="Y281">
            <v>12765.236963008645</v>
          </cell>
          <cell r="Z281">
            <v>10731.770303028103</v>
          </cell>
          <cell r="AA281">
            <v>9024.5425339125795</v>
          </cell>
          <cell r="AB281">
            <v>7209.9900126453058</v>
          </cell>
          <cell r="AC281">
            <v>5601.4056377423331</v>
          </cell>
          <cell r="AD281">
            <v>4508.2345953301692</v>
          </cell>
          <cell r="AE281">
            <v>3545.4555528323363</v>
          </cell>
          <cell r="AF281">
            <v>3008.8542165788458</v>
          </cell>
          <cell r="AG281">
            <v>2495.1192694365604</v>
          </cell>
          <cell r="AH281">
            <v>2023.3387362470767</v>
          </cell>
          <cell r="AI281">
            <v>1467.6729271524835</v>
          </cell>
          <cell r="AJ281">
            <v>732.45898363885726</v>
          </cell>
          <cell r="AK281">
            <v>-85.238192774438176</v>
          </cell>
          <cell r="AL281">
            <v>-1022.2416520308877</v>
          </cell>
          <cell r="AM281">
            <v>-1949.304298938152</v>
          </cell>
          <cell r="AN281">
            <v>-2838.4846712900471</v>
          </cell>
          <cell r="AO281">
            <v>-3641.5222593521453</v>
          </cell>
          <cell r="AP281">
            <v>-4329.4205262525875</v>
          </cell>
          <cell r="AQ281">
            <v>-4928.8062531017649</v>
          </cell>
          <cell r="AR281">
            <v>-5443.6073173711648</v>
          </cell>
          <cell r="AS281">
            <v>-5919.6018658141784</v>
          </cell>
          <cell r="AT281">
            <v>-6379.6632143288334</v>
          </cell>
          <cell r="AU281">
            <v>-6847.8593583073798</v>
          </cell>
          <cell r="AV281">
            <v>-7338.6190028233714</v>
          </cell>
          <cell r="AW281">
            <v>-7847.4404977750946</v>
          </cell>
          <cell r="AX281">
            <v>-8369.562534291601</v>
          </cell>
          <cell r="AY281">
            <v>-8887.1308995066574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baldi" refreshedDate="42779.454019791665" createdVersion="1" refreshedVersion="6" recordCount="49" upgradeOnRefresh="1">
  <cacheSource type="worksheet">
    <worksheetSource ref="A1:EI50" sheet="Transpost"/>
  </cacheSource>
  <cacheFields count="139">
    <cacheField name="Regiao" numFmtId="0">
      <sharedItems containsSemiMixedTypes="0" containsString="0" containsNumber="1" containsInteger="1" minValue="0" maxValue="48" count="4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Ro - Madeira-Guapore" numFmtId="0">
      <sharedItems containsSemiMixedTypes="0" containsString="0" containsNumber="1" minValue="-99.35549899778357" maxValue="319.60028464875114"/>
    </cacheField>
    <cacheField name="Ro - Leste Rondoniense" numFmtId="0">
      <sharedItems containsSemiMixedTypes="0" containsString="0" containsNumber="1" minValue="-74.854786388468312" maxValue="346.5960396326717"/>
    </cacheField>
    <cacheField name="Ac - Vale do Jurua" numFmtId="0">
      <sharedItems containsSemiMixedTypes="0" containsString="0" containsNumber="1" minValue="-11.670558175874026" maxValue="6.0914460564066877"/>
    </cacheField>
    <cacheField name="Ac - Vale do Acre" numFmtId="0">
      <sharedItems containsSemiMixedTypes="0" containsString="0" containsNumber="1" minValue="-37.899773217864549" maxValue="164.72550324607062"/>
    </cacheField>
    <cacheField name="Am - Norte Amazonense" numFmtId="0">
      <sharedItems containsSemiMixedTypes="0" containsString="0" containsNumber="1" minValue="-5.2646265625252546" maxValue="11.944164875996238"/>
    </cacheField>
    <cacheField name="Am - Sudoeste Amazonense" numFmtId="0">
      <sharedItems containsSemiMixedTypes="0" containsString="0" containsNumber="1" minValue="0.51973788539894406" maxValue="2.4530587034992379"/>
    </cacheField>
    <cacheField name="Am - Centro Amazonense" numFmtId="0">
      <sharedItems containsSemiMixedTypes="0" containsString="0" containsNumber="1" minValue="-174.16048025155135" maxValue="1773.3851720403159"/>
    </cacheField>
    <cacheField name="Am - Sul Amazonense" numFmtId="0">
      <sharedItems containsSemiMixedTypes="0" containsString="0" containsNumber="1" minValue="-0.55653062705030254" maxValue="12.982749220250437"/>
    </cacheField>
    <cacheField name="Rr - Norte de Roraima" numFmtId="0">
      <sharedItems containsSemiMixedTypes="0" containsString="0" containsNumber="1" minValue="-2.193549302635617" maxValue="60.205142454389275"/>
    </cacheField>
    <cacheField name="Rr - Sul de Roraima" numFmtId="0">
      <sharedItems containsSemiMixedTypes="0" containsString="0" containsNumber="1" minValue="0.16225517216287244" maxValue="3.4434081229971092"/>
    </cacheField>
    <cacheField name="Pa - Baixo Amazonas" numFmtId="0">
      <sharedItems containsSemiMixedTypes="0" containsString="0" containsNumber="1" minValue="-3.8019373499359261" maxValue="124.3258363957822"/>
    </cacheField>
    <cacheField name="Pa - Marajo" numFmtId="0">
      <sharedItems containsSemiMixedTypes="0" containsString="0" containsNumber="1" minValue="0.41988413156585302" maxValue="17.90419308898786"/>
    </cacheField>
    <cacheField name="Pa - Metropol de Belem" numFmtId="0">
      <sharedItems containsSemiMixedTypes="0" containsString="0" containsNumber="1" minValue="-124.3499081925886" maxValue="653.77917910601104"/>
    </cacheField>
    <cacheField name="Pa - Nordeste Paraense" numFmtId="0">
      <sharedItems containsSemiMixedTypes="0" containsString="0" containsNumber="1" minValue="-2.624716876096727" maxValue="165.30776399621141"/>
    </cacheField>
    <cacheField name="Pa - Sudoeste Paraense" numFmtId="0">
      <sharedItems containsSemiMixedTypes="0" containsString="0" containsNumber="1" minValue="55.072236526866917" maxValue="218.49126070993665"/>
    </cacheField>
    <cacheField name="Pa - Sudeste Paraense" numFmtId="0">
      <sharedItems containsSemiMixedTypes="0" containsString="0" containsNumber="1" minValue="-67.386743322920324" maxValue="752.14140541872291"/>
    </cacheField>
    <cacheField name="Ap - Norte do Amapa" numFmtId="0">
      <sharedItems containsSemiMixedTypes="0" containsString="0" containsNumber="1" minValue="1.8710341478472019" maxValue="28.533179694878903"/>
    </cacheField>
    <cacheField name="Ap - Sul do Amapa" numFmtId="0">
      <sharedItems containsSemiMixedTypes="0" containsString="0" containsNumber="1" minValue="-5.9387239277980086" maxValue="179.96344904397648"/>
    </cacheField>
    <cacheField name="To - Ocidental do TO" numFmtId="0">
      <sharedItems containsSemiMixedTypes="0" containsString="0" containsNumber="1" minValue="-88.600667255009867" maxValue="220.35563244738091"/>
    </cacheField>
    <cacheField name="To - Oriental do TO" numFmtId="0">
      <sharedItems containsSemiMixedTypes="0" containsString="0" containsNumber="1" minValue="-18.884341833145854" maxValue="250.62503874582899"/>
    </cacheField>
    <cacheField name="Ma - Norte Maranhense" numFmtId="0">
      <sharedItems containsSemiMixedTypes="0" containsString="0" containsNumber="1" minValue="-26.008253336307689" maxValue="614.91846659191924"/>
    </cacheField>
    <cacheField name="Ma - Oeste Maranhense" numFmtId="0">
      <sharedItems containsSemiMixedTypes="0" containsString="0" containsNumber="1" minValue="-15.852080593600334" maxValue="271.82557110197729"/>
    </cacheField>
    <cacheField name="Ma - Centro Maranhense" numFmtId="0">
      <sharedItems containsSemiMixedTypes="0" containsString="0" containsNumber="1" minValue="-1.4509901971013619" maxValue="48.989993948324454"/>
    </cacheField>
    <cacheField name="Ma - Leste Maranhense" numFmtId="0">
      <sharedItems containsSemiMixedTypes="0" containsString="0" containsNumber="1" minValue="-45.290148969948454" maxValue="207.42334873335176"/>
    </cacheField>
    <cacheField name="Ma - Sul Maranhense" numFmtId="0">
      <sharedItems containsSemiMixedTypes="0" containsString="0" containsNumber="1" minValue="-93.5331061105461" maxValue="262.33451489701469"/>
    </cacheField>
    <cacheField name="Pi - Norte Piauiense" numFmtId="0">
      <sharedItems containsSemiMixedTypes="0" containsString="0" containsNumber="1" minValue="-3.1985285720009671" maxValue="31.446569200544182"/>
    </cacheField>
    <cacheField name="Pi - Centro-Norte Piaui" numFmtId="0">
      <sharedItems containsSemiMixedTypes="0" containsString="0" containsNumber="1" minValue="4.2462533819781356" maxValue="411.18971128350734"/>
    </cacheField>
    <cacheField name="Pi - Sudoeste Piauiense" numFmtId="0">
      <sharedItems containsSemiMixedTypes="0" containsString="0" containsNumber="1" minValue="6.1220513736807334" maxValue="88.497766741548688"/>
    </cacheField>
    <cacheField name="Pi - Sudeste Piauiense" numFmtId="0">
      <sharedItems containsSemiMixedTypes="0" containsString="0" containsNumber="1" minValue="1.6170508236526402" maxValue="74.864542818664759"/>
    </cacheField>
    <cacheField name="Ce - Noroeste Cearense" numFmtId="0">
      <sharedItems containsSemiMixedTypes="0" containsString="0" containsNumber="1" minValue="20.723500216044044" maxValue="289.22705908839606"/>
    </cacheField>
    <cacheField name="Ce - Norte Cearense" numFmtId="0">
      <sharedItems containsSemiMixedTypes="0" containsString="0" containsNumber="1" minValue="25.867072988874412" maxValue="220.98300518846997"/>
    </cacheField>
    <cacheField name="Ce - Metropol Fortaleza" numFmtId="0">
      <sharedItems containsSemiMixedTypes="0" containsString="0" containsNumber="1" minValue="73.970199017767754" maxValue="1570.1686332077661"/>
    </cacheField>
    <cacheField name="Ce - Sertoes Cearenses" numFmtId="0">
      <sharedItems containsSemiMixedTypes="0" containsString="0" containsNumber="1" minValue="4.710374930206747" maxValue="71.087588278881867"/>
    </cacheField>
    <cacheField name="Ce - Jaguaribe" numFmtId="0">
      <sharedItems containsSemiMixedTypes="0" containsString="0" containsNumber="1" minValue="15.358838283722271" maxValue="438.43962366660963"/>
    </cacheField>
    <cacheField name="Ce - Centro-Sul Cearense" numFmtId="0">
      <sharedItems containsSemiMixedTypes="0" containsString="0" containsNumber="1" minValue="0.30751999045735445" maxValue="52.579111086754963"/>
    </cacheField>
    <cacheField name="Ce - Sul Cearense" numFmtId="0">
      <sharedItems containsSemiMixedTypes="0" containsString="0" containsNumber="1" minValue="27.30303723974734" maxValue="193.09177703101329"/>
    </cacheField>
    <cacheField name="Rn - Oeste Potiguar" numFmtId="0">
      <sharedItems containsSemiMixedTypes="0" containsString="0" containsNumber="1" minValue="25.849490330560116" maxValue="363.1678548122149"/>
    </cacheField>
    <cacheField name="Rn - Central Potiguar" numFmtId="0">
      <sharedItems containsSemiMixedTypes="0" containsString="0" containsNumber="1" minValue="6.905343474772792" maxValue="54.504591298984039"/>
    </cacheField>
    <cacheField name="Rn - Agreste Potiguar" numFmtId="0">
      <sharedItems containsSemiMixedTypes="0" containsString="0" containsNumber="1" minValue="-2.8342924561217782" maxValue="21.061358385908946"/>
    </cacheField>
    <cacheField name="Rn - Leste Potiguar" numFmtId="0">
      <sharedItems containsSemiMixedTypes="0" containsString="0" containsNumber="1" minValue="-91.463992401107134" maxValue="813.42826830694355"/>
    </cacheField>
    <cacheField name="Pb - Sertao Paraibano" numFmtId="0">
      <sharedItems containsSemiMixedTypes="0" containsString="0" containsNumber="1" minValue="12.648383952612747" maxValue="64.40065335038183"/>
    </cacheField>
    <cacheField name="Pb - Borborema" numFmtId="0">
      <sharedItems containsSemiMixedTypes="0" containsString="0" containsNumber="1" minValue="0.98968441651331318" maxValue="15.188888975060282"/>
    </cacheField>
    <cacheField name="Pb - Agreste Paraibano" numFmtId="0">
      <sharedItems containsSemiMixedTypes="0" containsString="0" containsNumber="1" minValue="33.380055946733961" maxValue="187.77379221958444"/>
    </cacheField>
    <cacheField name="Pb - Mata Paraibana" numFmtId="0">
      <sharedItems containsSemiMixedTypes="0" containsString="0" containsNumber="1" minValue="30.737196153428044" maxValue="1055.3307677701259"/>
    </cacheField>
    <cacheField name="Pe - Sertao Pernambucano" numFmtId="0">
      <sharedItems containsSemiMixedTypes="0" containsString="0" containsNumber="1" minValue="-52.875315054051256" maxValue="63.94530518519219"/>
    </cacheField>
    <cacheField name="Pe - Sao Francisco PE" numFmtId="0">
      <sharedItems containsSemiMixedTypes="0" containsString="0" containsNumber="1" minValue="-269.37439046524219" maxValue="306.82496971912337"/>
    </cacheField>
    <cacheField name="Pe - Agreste Pernambucano" numFmtId="0">
      <sharedItems containsSemiMixedTypes="0" containsString="0" containsNumber="1" minValue="-23.592430783549219" maxValue="304.8005003731156"/>
    </cacheField>
    <cacheField name="Pe - Mata Pernambucana" numFmtId="0">
      <sharedItems containsSemiMixedTypes="0" containsString="0" containsNumber="1" minValue="77.227148955714824" maxValue="2011.8954718441446"/>
    </cacheField>
    <cacheField name="Pe - Metropol de Recife" numFmtId="0">
      <sharedItems containsSemiMixedTypes="0" containsString="0" containsNumber="1" minValue="-175.32259598733208" maxValue="2039.6308842373128"/>
    </cacheField>
    <cacheField name="Al - Sertao Alagoano" numFmtId="0">
      <sharedItems containsSemiMixedTypes="0" containsString="0" containsNumber="1" minValue="1.4881763560360053" maxValue="15.96104021827399"/>
    </cacheField>
    <cacheField name="Al - Agreste Alagoano" numFmtId="0">
      <sharedItems containsSemiMixedTypes="0" containsString="0" containsNumber="1" minValue="5.1028449777882283" maxValue="78.644251400591969"/>
    </cacheField>
    <cacheField name="Al - Leste Alagoano" numFmtId="0">
      <sharedItems containsSemiMixedTypes="0" containsString="0" containsNumber="1" minValue="-228.2502987874683" maxValue="3772.93579050786"/>
    </cacheField>
    <cacheField name="Se - Sertao Sergipano" numFmtId="0">
      <sharedItems containsSemiMixedTypes="0" containsString="0" containsNumber="1" minValue="-7.1846838510644311" maxValue="18.092839698694526"/>
    </cacheField>
    <cacheField name="Se - Agreste Sergipano" numFmtId="0">
      <sharedItems containsSemiMixedTypes="0" containsString="0" containsNumber="1" minValue="9.5063307097270666" maxValue="132.87681188296571"/>
    </cacheField>
    <cacheField name="Se - Leste Sergipano" numFmtId="0">
      <sharedItems containsSemiMixedTypes="0" containsString="0" containsNumber="1" minValue="19.511064828189774" maxValue="482.88698218603776"/>
    </cacheField>
    <cacheField name="Ba - Extremo Oeste Baiano" numFmtId="0">
      <sharedItems containsSemiMixedTypes="0" containsString="0" containsNumber="1" minValue="-108.91600773100639" maxValue="397.31503064775382"/>
    </cacheField>
    <cacheField name="Ba - Vale Sao-Fran da BA" numFmtId="0">
      <sharedItems containsSemiMixedTypes="0" containsString="0" containsNumber="1" minValue="-176.23984833726729" maxValue="169.50114716654454"/>
    </cacheField>
    <cacheField name="Ba - Centro Norte Baiano" numFmtId="0">
      <sharedItems containsSemiMixedTypes="0" containsString="0" containsNumber="1" minValue="-14.952233666408006" maxValue="295.31988274861021"/>
    </cacheField>
    <cacheField name="Ba - Nordeste Baiano" numFmtId="0">
      <sharedItems containsSemiMixedTypes="0" containsString="0" containsNumber="1" minValue="-7.4729168188129051" maxValue="121.85971967954561"/>
    </cacheField>
    <cacheField name="Ba - Metropol de Salvador" numFmtId="0">
      <sharedItems containsSemiMixedTypes="0" containsString="0" containsNumber="1" minValue="-333.3987855686205" maxValue="1316.7885369217879"/>
    </cacheField>
    <cacheField name="Ba - Centro Sul Baiano" numFmtId="0">
      <sharedItems containsSemiMixedTypes="0" containsString="0" containsNumber="1" minValue="-46.280235038072078" maxValue="313.39206745385076"/>
    </cacheField>
    <cacheField name="Ba - Sul Baiano" numFmtId="0">
      <sharedItems containsSemiMixedTypes="0" containsString="0" containsNumber="1" minValue="-148.19182186367141" maxValue="359.13091023805782"/>
    </cacheField>
    <cacheField name="Mg - Noroeste de Minas" numFmtId="0">
      <sharedItems containsSemiMixedTypes="0" containsString="0" containsNumber="1" minValue="-92.606446195455888" maxValue="189.39649497679264"/>
    </cacheField>
    <cacheField name="Mg - Norte de Minas" numFmtId="0">
      <sharedItems containsSemiMixedTypes="0" containsString="0" containsNumber="1" minValue="-40.806667581264492" maxValue="171.37633184141458"/>
    </cacheField>
    <cacheField name="Mg - Jequitinhonha" numFmtId="0">
      <sharedItems containsSemiMixedTypes="0" containsString="0" containsNumber="1" minValue="-115.59120236116841" maxValue="113.60346712031486"/>
    </cacheField>
    <cacheField name="Mg - Vale do Mucuri" numFmtId="0">
      <sharedItems containsSemiMixedTypes="0" containsString="0" containsNumber="1" minValue="-34.942421255994269" maxValue="96.517983037415945"/>
    </cacheField>
    <cacheField name="Mg - Triang Mineiro" numFmtId="0">
      <sharedItems containsSemiMixedTypes="0" containsString="0" containsNumber="1" minValue="-697.2251229069999" maxValue="2023.56177904372"/>
    </cacheField>
    <cacheField name="Mg - Central Mineira" numFmtId="0">
      <sharedItems containsSemiMixedTypes="0" containsString="0" containsNumber="1" minValue="-105.76361159578178" maxValue="348.38388372622774"/>
    </cacheField>
    <cacheField name="Mg - Metropol de BH" numFmtId="0">
      <sharedItems containsSemiMixedTypes="0" containsString="0" containsNumber="1" minValue="-733.05701393972959" maxValue="4701.8868899654772"/>
    </cacheField>
    <cacheField name="Mg - Vale do Rio Doce" numFmtId="0">
      <sharedItems containsSemiMixedTypes="0" containsString="0" containsNumber="1" minValue="-113.13598485338201" maxValue="358.03724718926651"/>
    </cacheField>
    <cacheField name="Mg - Oeste de Minas" numFmtId="0">
      <sharedItems containsSemiMixedTypes="0" containsString="0" containsNumber="1" minValue="-572.72250943297524" maxValue="1269.0074575042754"/>
    </cacheField>
    <cacheField name="Mg - Sul-Sudoeste MG" numFmtId="0">
      <sharedItems containsSemiMixedTypes="0" containsString="0" containsNumber="1" minValue="-1288.1203701399106" maxValue="1628.4863317056845"/>
    </cacheField>
    <cacheField name="Mg - Campo das Vertentes" numFmtId="0">
      <sharedItems containsSemiMixedTypes="0" containsString="0" containsNumber="1" minValue="-71.866813240251005" maxValue="102.59554131866248"/>
    </cacheField>
    <cacheField name="Mg - Zona da Mata" numFmtId="0">
      <sharedItems containsSemiMixedTypes="0" containsString="0" containsNumber="1" minValue="-120.64881020133441" maxValue="772.02662167493611"/>
    </cacheField>
    <cacheField name="Es - Noroeste ES" numFmtId="0">
      <sharedItems containsSemiMixedTypes="0" containsString="0" containsNumber="1" minValue="-30.55189160637201" maxValue="301.45882122217205"/>
    </cacheField>
    <cacheField name="Es - Litoral Norte ES" numFmtId="0">
      <sharedItems containsSemiMixedTypes="0" containsString="0" containsNumber="1" minValue="-358.09517703703784" maxValue="564.55865120185547"/>
    </cacheField>
    <cacheField name="Es - Central ES" numFmtId="0">
      <sharedItems containsSemiMixedTypes="0" containsString="0" containsNumber="1" minValue="-207.99510814312134" maxValue="869.11200165272601"/>
    </cacheField>
    <cacheField name="Es - Sul ES" numFmtId="0">
      <sharedItems containsSemiMixedTypes="0" containsString="0" containsNumber="1" minValue="-77.941412367321306" maxValue="133.13468509775862"/>
    </cacheField>
    <cacheField name="Rj - Noroeste Fluminense" numFmtId="0">
      <sharedItems containsSemiMixedTypes="0" containsString="0" containsNumber="1" minValue="-13.94874454448205" maxValue="117.35027477000571"/>
    </cacheField>
    <cacheField name="Rj - Norte Fluminense" numFmtId="0">
      <sharedItems containsSemiMixedTypes="0" containsString="0" containsNumber="1" minValue="-37.941434024054047" maxValue="626.3185921974673"/>
    </cacheField>
    <cacheField name="Rj - Centro Fluminense" numFmtId="0">
      <sharedItems containsSemiMixedTypes="0" containsString="0" containsNumber="1" minValue="-21.625220032417417" maxValue="189.6843411734983"/>
    </cacheField>
    <cacheField name="Rj - Baixadas" numFmtId="0">
      <sharedItems containsSemiMixedTypes="0" containsString="0" containsNumber="1" minValue="-2.7418775619859161" maxValue="218.59118605303269"/>
    </cacheField>
    <cacheField name="Rj - Sul Fluminense" numFmtId="0">
      <sharedItems containsSemiMixedTypes="0" containsString="0" containsNumber="1" minValue="-59.301475963169764" maxValue="437.00261692320004"/>
    </cacheField>
    <cacheField name="Rj - Metropol do RJ" numFmtId="0">
      <sharedItems containsSemiMixedTypes="0" containsString="0" containsNumber="1" minValue="-371.40921096454076" maxValue="5411.1915121797392"/>
    </cacheField>
    <cacheField name="Sp - Sao Jose do Rio Preto" numFmtId="0">
      <sharedItems containsSemiMixedTypes="0" containsString="0" containsNumber="1" minValue="-2032.8231674871888" maxValue="2917.8883825369553"/>
    </cacheField>
    <cacheField name="Sp - Ribeirao Preto" numFmtId="0">
      <sharedItems containsSemiMixedTypes="0" containsString="0" containsNumber="1" minValue="-3550.9151297000267" maxValue="5588.3629019737218"/>
    </cacheField>
    <cacheField name="Sp - Aracatuba" numFmtId="0">
      <sharedItems containsSemiMixedTypes="0" containsString="0" containsNumber="1" minValue="-1160.2077209634269" maxValue="1716.2308705011797"/>
    </cacheField>
    <cacheField name="Sp - Bauru" numFmtId="0">
      <sharedItems containsSemiMixedTypes="0" containsString="0" containsNumber="1" minValue="-935.17353944791978" maxValue="1898.1599487704807"/>
    </cacheField>
    <cacheField name="Sp - Araraquara" numFmtId="0">
      <sharedItems containsSemiMixedTypes="0" containsString="0" containsNumber="1" minValue="-619.13505288509839" maxValue="1049.3457335196861"/>
    </cacheField>
    <cacheField name="Sp - Piracicaba" numFmtId="0">
      <sharedItems containsSemiMixedTypes="0" containsString="0" containsNumber="1" minValue="-573.75267601912867" maxValue="2109.3294483772202"/>
    </cacheField>
    <cacheField name="Sp - Campinas" numFmtId="0">
      <sharedItems containsSemiMixedTypes="0" containsString="0" containsNumber="1" minValue="-416.57049070342873" maxValue="3930.235008300031"/>
    </cacheField>
    <cacheField name="Sp - Presidente Prudente" numFmtId="0">
      <sharedItems containsSemiMixedTypes="0" containsString="0" containsNumber="1" minValue="-468.49228258697724" maxValue="722.37691242019923"/>
    </cacheField>
    <cacheField name="Sp - Marilia" numFmtId="0">
      <sharedItems containsSemiMixedTypes="0" containsString="0" containsNumber="1" minValue="-110.16670326031426" maxValue="212.78404651141827"/>
    </cacheField>
    <cacheField name="Sp - Assis" numFmtId="0">
      <sharedItems containsSemiMixedTypes="0" containsString="0" containsNumber="1" minValue="-641.71170539207287" maxValue="790.5916772443104"/>
    </cacheField>
    <cacheField name="Sp - Itapetininga" numFmtId="0">
      <sharedItems containsSemiMixedTypes="0" containsString="0" containsNumber="1" minValue="-9.6123437599109138" maxValue="969.83522022101874"/>
    </cacheField>
    <cacheField name="Sp - Macro Metropol SP" numFmtId="0">
      <sharedItems containsSemiMixedTypes="0" containsString="0" containsNumber="1" minValue="-239.0440375265357" maxValue="2341.3893796245275"/>
    </cacheField>
    <cacheField name="Sp - Vale do Paraiba SP" numFmtId="0">
      <sharedItems containsSemiMixedTypes="0" containsString="0" containsNumber="1" minValue="-199.21031659231971" maxValue="1244.0795380502359"/>
    </cacheField>
    <cacheField name="Sp - Litoral Sul SP" numFmtId="0">
      <sharedItems containsSemiMixedTypes="0" containsString="0" containsNumber="1" minValue="-4.8111322934921503" maxValue="100.68959393227735"/>
    </cacheField>
    <cacheField name="Sp - Metropol Sao Paulo" numFmtId="0">
      <sharedItems containsSemiMixedTypes="0" containsString="0" containsNumber="1" minValue="-2176.814374965812" maxValue="13063.196188531863"/>
    </cacheField>
    <cacheField name="Pr - Noroeste PR" numFmtId="0">
      <sharedItems containsSemiMixedTypes="0" containsString="0" containsNumber="1" minValue="-387.81671912806883" maxValue="1191.5016057172961"/>
    </cacheField>
    <cacheField name="Pr - Centro Ocidental PR" numFmtId="0">
      <sharedItems containsSemiMixedTypes="0" containsString="0" containsNumber="1" minValue="-42.60762328271494" maxValue="203.51289482089084"/>
    </cacheField>
    <cacheField name="Pr - Norte Central PR" numFmtId="0">
      <sharedItems containsSemiMixedTypes="0" containsString="0" containsNumber="1" minValue="-497.49326364875253" maxValue="2128.2412395391839"/>
    </cacheField>
    <cacheField name="Pr - Norte Pioneiro PR" numFmtId="0">
      <sharedItems containsSemiMixedTypes="0" containsString="0" containsNumber="1" minValue="-311.0633341880515" maxValue="329.94237310925564"/>
    </cacheField>
    <cacheField name="Pr - Centro Oriental PR" numFmtId="0">
      <sharedItems containsSemiMixedTypes="0" containsString="0" containsNumber="1" minValue="64.488409066357974" maxValue="378.49301872216677"/>
    </cacheField>
    <cacheField name="Pr - Oeste PR" numFmtId="0">
      <sharedItems containsSemiMixedTypes="0" containsString="0" containsNumber="1" minValue="39.920661804429983" maxValue="888.37491286104682"/>
    </cacheField>
    <cacheField name="Pr - Sudoeste PR" numFmtId="0">
      <sharedItems containsSemiMixedTypes="0" containsString="0" containsNumber="1" minValue="-30.941669705048128" maxValue="351.91750889617538"/>
    </cacheField>
    <cacheField name="Pr - Centro-Sul PR" numFmtId="0">
      <sharedItems containsSemiMixedTypes="0" containsString="0" containsNumber="1" minValue="22.232126626051048" maxValue="236.66587469231109"/>
    </cacheField>
    <cacheField name="Pr - Sudeste PR" numFmtId="0">
      <sharedItems containsSemiMixedTypes="0" containsString="0" containsNumber="1" minValue="-9.578378853828255" maxValue="100.11582502323512"/>
    </cacheField>
    <cacheField name="Pr - Metropol de Curitiba" numFmtId="0">
      <sharedItems containsSemiMixedTypes="0" containsString="0" containsNumber="1" minValue="-263.46275896965562" maxValue="2578.4127761838254"/>
    </cacheField>
    <cacheField name="Sc - Oeste Catarinense" numFmtId="0">
      <sharedItems containsSemiMixedTypes="0" containsString="0" containsNumber="1" minValue="-162.79544773609041" maxValue="1153.0492399759551"/>
    </cacheField>
    <cacheField name="Sc - Norte Catarinense" numFmtId="0">
      <sharedItems containsSemiMixedTypes="0" containsString="0" containsNumber="1" minValue="-107.99073803651868" maxValue="1188.4574430470307"/>
    </cacheField>
    <cacheField name="Sc - Serrana" numFmtId="0">
      <sharedItems containsSemiMixedTypes="0" containsString="0" containsNumber="1" minValue="-251.61513470041029" maxValue="363.88556697940896"/>
    </cacheField>
    <cacheField name="Sc - Vale do Itajai" numFmtId="0">
      <sharedItems containsSemiMixedTypes="0" containsString="0" containsNumber="1" minValue="-298.74824815066393" maxValue="2052.0551330229346"/>
    </cacheField>
    <cacheField name="Sc - Grande Florianopolis" numFmtId="0">
      <sharedItems containsSemiMixedTypes="0" containsString="0" containsNumber="1" minValue="-1.40014280301898" maxValue="708.87378646586217"/>
    </cacheField>
    <cacheField name="Sc - Sul Catarinense" numFmtId="0">
      <sharedItems containsSemiMixedTypes="0" containsString="0" containsNumber="1" minValue="-12.413415636312038" maxValue="496.81640503830499"/>
    </cacheField>
    <cacheField name="Rs - Noroeste RS" numFmtId="0">
      <sharedItems containsSemiMixedTypes="0" containsString="0" containsNumber="1" minValue="34.27883565182151" maxValue="970.66113499866424"/>
    </cacheField>
    <cacheField name="Rs - Nordeste RS" numFmtId="0">
      <sharedItems containsSemiMixedTypes="0" containsString="0" containsNumber="1" minValue="-562.97865969826285" maxValue="1371.2695155408726"/>
    </cacheField>
    <cacheField name="Rs - Centro Ocidental RS" numFmtId="0">
      <sharedItems containsSemiMixedTypes="0" containsString="0" containsNumber="1" minValue="12.568677400506147" maxValue="178.51644973518995"/>
    </cacheField>
    <cacheField name="Rs - Centro Oriental RS" numFmtId="0">
      <sharedItems containsSemiMixedTypes="0" containsString="0" containsNumber="1" minValue="-705.22638850944111" maxValue="389.1842135369377"/>
    </cacheField>
    <cacheField name="Rs - Metropol Porto Alegre" numFmtId="0">
      <sharedItems containsSemiMixedTypes="0" containsString="0" containsNumber="1" minValue="-148.84502414039162" maxValue="2380.0325301821917"/>
    </cacheField>
    <cacheField name="Rs - Sudoeste RS" numFmtId="0">
      <sharedItems containsSemiMixedTypes="0" containsString="0" containsNumber="1" minValue="-22.633335239801156" maxValue="207.60954638540497"/>
    </cacheField>
    <cacheField name="Rs - Sudeste RS" numFmtId="0">
      <sharedItems containsSemiMixedTypes="0" containsString="0" containsNumber="1" minValue="34.664063474167506" maxValue="579.77140915354983"/>
    </cacheField>
    <cacheField name="Ms - Pantanais Sul MT" numFmtId="0">
      <sharedItems containsSemiMixedTypes="0" containsString="0" containsNumber="1" minValue="-8.4241777846443" maxValue="45.779378969268862"/>
    </cacheField>
    <cacheField name="Ms - Centro Norte de MS" numFmtId="0">
      <sharedItems containsSemiMixedTypes="0" containsString="0" containsNumber="1" minValue="-41.111575905132213" maxValue="625.93586459606581"/>
    </cacheField>
    <cacheField name="Ms - Leste de MS" numFmtId="0">
      <sharedItems containsSemiMixedTypes="0" containsString="0" containsNumber="1" minValue="-165.75819064970409" maxValue="518.03040224461608"/>
    </cacheField>
    <cacheField name="Ms - Sudoeste de MS" numFmtId="0">
      <sharedItems containsSemiMixedTypes="0" containsString="0" containsNumber="1" minValue="-230.84688871700951" maxValue="599.91688699924282"/>
    </cacheField>
    <cacheField name="Mt - Norte MT" numFmtId="0">
      <sharedItems containsSemiMixedTypes="0" containsString="0" containsNumber="1" minValue="-522.21220270100855" maxValue="1083.6019504450892"/>
    </cacheField>
    <cacheField name="Mt - Nordeste MT" numFmtId="0">
      <sharedItems containsSemiMixedTypes="0" containsString="0" containsNumber="1" minValue="-80.240927738166803" maxValue="254.37844157936405"/>
    </cacheField>
    <cacheField name="Mt - Sudoeste MT" numFmtId="0">
      <sharedItems containsSemiMixedTypes="0" containsString="0" containsNumber="1" minValue="-293.67428459028821" maxValue="298.22130016985477"/>
    </cacheField>
    <cacheField name="Mt - Centro-Sul MT" numFmtId="0">
      <sharedItems containsSemiMixedTypes="0" containsString="0" containsNumber="1" minValue="-55.186530718054655" maxValue="453.92556366102724"/>
    </cacheField>
    <cacheField name="Mt - Sudeste MT" numFmtId="0">
      <sharedItems containsSemiMixedTypes="0" containsString="0" containsNumber="1" minValue="-385.68122685594108" maxValue="554.54355023404185"/>
    </cacheField>
    <cacheField name="Go - Noroeste Goiano" numFmtId="0">
      <sharedItems containsSemiMixedTypes="0" containsString="0" containsNumber="1" minValue="-15.056460234420317" maxValue="52.871855794475159"/>
    </cacheField>
    <cacheField name="Go - Norte Goiano" numFmtId="0">
      <sharedItems containsSemiMixedTypes="0" containsString="0" containsNumber="1" minValue="-24.601919049732128" maxValue="103.88283208687011"/>
    </cacheField>
    <cacheField name="Go - Centro Goiano" numFmtId="0">
      <sharedItems containsSemiMixedTypes="0" containsString="0" containsNumber="1" minValue="-671.68111882195808" maxValue="2271.4711137421496"/>
    </cacheField>
    <cacheField name="Go - Leste Goiano" numFmtId="0">
      <sharedItems containsSemiMixedTypes="0" containsString="0" containsNumber="1" minValue="-167.04295265344439" maxValue="395.85399904803353"/>
    </cacheField>
    <cacheField name="Go - Sul Goiano" numFmtId="0">
      <sharedItems containsSemiMixedTypes="0" containsString="0" containsNumber="1" minValue="-906.29723574983916" maxValue="1414.4307619665879"/>
    </cacheField>
    <cacheField name="Go - Distrito Federal" numFmtId="0">
      <sharedItems containsSemiMixedTypes="0" containsString="0" containsNumber="1" minValue="-183.1342479653656" maxValue="1041.6309385981735"/>
    </cacheField>
    <cacheField name="BRASIL" numFmtId="0">
      <sharedItems containsSemiMixedTypes="0" containsString="0" containsNumber="1" minValue="-8887.1308995066593" maxValue="101987.281766227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n v="319.60028464875114"/>
    <n v="346.5960396326717"/>
    <n v="6.0914460564066877"/>
    <n v="164.72550324607062"/>
    <n v="11.944164875996238"/>
    <n v="2.4530587034992379"/>
    <n v="1773.3851720403159"/>
    <n v="12.982749220250437"/>
    <n v="49.975769516814331"/>
    <n v="2.6449148103024638"/>
    <n v="124.3258363957822"/>
    <n v="17.90419308898786"/>
    <n v="653.77917910601104"/>
    <n v="140.11355118490513"/>
    <n v="218.49126070993665"/>
    <n v="752.14140541872291"/>
    <n v="28.533179694878903"/>
    <n v="112.86753952098168"/>
    <n v="220.35563244738091"/>
    <n v="250.62503874582899"/>
    <n v="614.91846659191924"/>
    <n v="271.82557110197729"/>
    <n v="43.279799013114406"/>
    <n v="207.42334873335176"/>
    <n v="262.33451489701469"/>
    <n v="22.825898384859808"/>
    <n v="411.18971128350734"/>
    <n v="88.497766741548688"/>
    <n v="74.864542818664759"/>
    <n v="289.22705908839606"/>
    <n v="180.0430762144677"/>
    <n v="858.87836719052825"/>
    <n v="71.087588278881867"/>
    <n v="287.92918877608213"/>
    <n v="52.579111086754963"/>
    <n v="193.09177703101329"/>
    <n v="333.72979471337266"/>
    <n v="50.187957359025468"/>
    <n v="21.061358385908946"/>
    <n v="492.08410149931677"/>
    <n v="59.290809644909196"/>
    <n v="15.188888975060282"/>
    <n v="187.77379221958444"/>
    <n v="799.28178788831565"/>
    <n v="63.94530518519219"/>
    <n v="212.15299539408898"/>
    <n v="224.64177375162382"/>
    <n v="616.03446674718225"/>
    <n v="872.86134740952207"/>
    <n v="1.4881763560360053"/>
    <n v="78.644251400591969"/>
    <n v="-228.2502987874683"/>
    <n v="11.001910104056771"/>
    <n v="15.297171915153875"/>
    <n v="403.05672484791023"/>
    <n v="397.31503064775382"/>
    <n v="169.50114716654454"/>
    <n v="295.31988274861021"/>
    <n v="121.85971967954561"/>
    <n v="1128.957260112797"/>
    <n v="313.39206745385076"/>
    <n v="359.13091023805782"/>
    <n v="189.39649497679264"/>
    <n v="171.37633184141458"/>
    <n v="79.994304871791314"/>
    <n v="96.517983037415945"/>
    <n v="2023.56177904372"/>
    <n v="348.38388372622774"/>
    <n v="4701.8868899654772"/>
    <n v="358.03724718926651"/>
    <n v="1269.0074575042754"/>
    <n v="1628.4863317056845"/>
    <n v="102.59554131866248"/>
    <n v="772.02662167493611"/>
    <n v="301.45882122217205"/>
    <n v="564.55865120185547"/>
    <n v="869.11200165272601"/>
    <n v="133.13468509775862"/>
    <n v="117.35027477000571"/>
    <n v="626.3185921974673"/>
    <n v="187.52461141132625"/>
    <n v="61.985839099512241"/>
    <n v="258.31475773660725"/>
    <n v="2590.5281271231702"/>
    <n v="2917.8883825369553"/>
    <n v="5588.3629019737218"/>
    <n v="1716.2308705011797"/>
    <n v="1898.1599487704807"/>
    <n v="1049.3457335196861"/>
    <n v="2109.3294483772202"/>
    <n v="3930.235008300031"/>
    <n v="722.37691242019923"/>
    <n v="212.78404651141827"/>
    <n v="790.5916772443104"/>
    <n v="969.83522022101874"/>
    <n v="2341.3893796245275"/>
    <n v="1244.0795380502359"/>
    <n v="33.808108940201286"/>
    <n v="13063.196188531863"/>
    <n v="1191.5016057172961"/>
    <n v="203.51289482089084"/>
    <n v="2128.2412395391839"/>
    <n v="329.94237310925564"/>
    <n v="378.49301872216677"/>
    <n v="888.37491286104682"/>
    <n v="351.91750889617538"/>
    <n v="236.66587469231109"/>
    <n v="100.11582502323512"/>
    <n v="2578.4127761838254"/>
    <n v="1153.0492399759551"/>
    <n v="1188.4574430470307"/>
    <n v="283.94139667252858"/>
    <n v="2052.0551330229346"/>
    <n v="646.43395549706702"/>
    <n v="496.81640503830499"/>
    <n v="970.66113499866424"/>
    <n v="1371.2695155408726"/>
    <n v="178.51644973518995"/>
    <n v="389.1842135369377"/>
    <n v="2380.0325301821917"/>
    <n v="142.55101099288689"/>
    <n v="439.00983504258585"/>
    <n v="45.779378969268862"/>
    <n v="625.93586459606581"/>
    <n v="518.03040224461608"/>
    <n v="599.91688699924282"/>
    <n v="1083.6019504450892"/>
    <n v="254.37844157936405"/>
    <n v="298.22130016985477"/>
    <n v="453.92556366102724"/>
    <n v="554.54355023404185"/>
    <n v="52.871855794475159"/>
    <n v="103.88283208687011"/>
    <n v="2271.4711137421496"/>
    <n v="395.85399904803353"/>
    <n v="1414.4307619665879"/>
    <n v="1041.6309385981735"/>
    <n v="101987.28176622784"/>
  </r>
  <r>
    <x v="1"/>
    <n v="154.75118095641321"/>
    <n v="131.27727957765973"/>
    <n v="-2.8634891127887232"/>
    <n v="101.70263371592455"/>
    <n v="-5.2646265625252546"/>
    <n v="1.2693800093959093"/>
    <n v="1153.6882470687103"/>
    <n v="2.1856113187933395"/>
    <n v="60.205142454389275"/>
    <n v="2.5356105249404397"/>
    <n v="118.71307516503072"/>
    <n v="13.557916074413521"/>
    <n v="531.34735249618257"/>
    <n v="165.30776399621141"/>
    <n v="176.84188178726498"/>
    <n v="504.97746128258427"/>
    <n v="19.367244608015266"/>
    <n v="179.96344904397648"/>
    <n v="56.081526576665468"/>
    <n v="61.330921743199411"/>
    <n v="556.78417702487798"/>
    <n v="209.58053880039739"/>
    <n v="48.989993948324454"/>
    <n v="157.47768028196253"/>
    <n v="161.90880120118368"/>
    <n v="31.446569200544182"/>
    <n v="262.13771983703231"/>
    <n v="61.511011594666478"/>
    <n v="46.373425558786273"/>
    <n v="239.46506344800241"/>
    <n v="220.98300518846997"/>
    <n v="1570.1686332077661"/>
    <n v="40.244222285688977"/>
    <n v="438.43962366660963"/>
    <n v="42.010963068698885"/>
    <n v="170.02360680255296"/>
    <n v="363.1678548122149"/>
    <n v="54.504591298984039"/>
    <n v="9.5157241965099733"/>
    <n v="813.42826830694355"/>
    <n v="64.40065335038183"/>
    <n v="8.2463869673126471"/>
    <n v="157.02856455073785"/>
    <n v="1055.3307677701259"/>
    <n v="48.833681461082307"/>
    <n v="306.82496971912337"/>
    <n v="304.8005003731156"/>
    <n v="2005.1941421257668"/>
    <n v="2006.674979344986"/>
    <n v="15.96104021827399"/>
    <n v="19.496258866689104"/>
    <n v="2379.0092608007753"/>
    <n v="11.546552643458112"/>
    <n v="72.509002909721318"/>
    <n v="452.75656391488911"/>
    <n v="-95.670978446862392"/>
    <n v="16.954501808917044"/>
    <n v="293.97277825341996"/>
    <n v="31.62170835285503"/>
    <n v="952.62919877065087"/>
    <n v="134.49343776277567"/>
    <n v="42.890833868065315"/>
    <n v="-13.737498090109256"/>
    <n v="92.606128042843139"/>
    <n v="113.60346712031486"/>
    <n v="5.8759042458077744"/>
    <n v="445.58086590460061"/>
    <n v="81.208093512213395"/>
    <n v="2928.0556957976787"/>
    <n v="274.16085622453664"/>
    <n v="140.66393758047963"/>
    <n v="731.18789375126198"/>
    <n v="91.049840591818636"/>
    <n v="313.29384104868319"/>
    <n v="20.175334774183398"/>
    <n v="-222.12268410487877"/>
    <n v="817.89554937679281"/>
    <n v="45.878185011244653"/>
    <n v="50.822415438360842"/>
    <n v="351.22525982432694"/>
    <n v="189.6843411734983"/>
    <n v="114.50661928636181"/>
    <n v="437.00261692320004"/>
    <n v="5411.1915121797392"/>
    <n v="-224.70836720241024"/>
    <n v="-893.5164858506613"/>
    <n v="50.237392106031791"/>
    <n v="576.7719833708652"/>
    <n v="304.96074613995165"/>
    <n v="475.94062712494355"/>
    <n v="1382.3311572783346"/>
    <n v="136.12644338090345"/>
    <n v="-17.577240807969645"/>
    <n v="15.033563292127184"/>
    <n v="449.95253167527756"/>
    <n v="1299.7789698408001"/>
    <n v="1027.5178538396872"/>
    <n v="56.002771294318826"/>
    <n v="9094.7738237200483"/>
    <n v="310.26714558132522"/>
    <n v="45.636318034129559"/>
    <n v="590.89925316595179"/>
    <n v="6.1653328883681553"/>
    <n v="295.71218621632022"/>
    <n v="310.37368985695088"/>
    <n v="135.43550089334735"/>
    <n v="76.100531873390509"/>
    <n v="74.19223054795809"/>
    <n v="1216.8502115036083"/>
    <n v="139.23869041921233"/>
    <n v="643.10075080337629"/>
    <n v="-0.1657815073347777"/>
    <n v="622.94442900963395"/>
    <n v="171.27988222687452"/>
    <n v="211.22163037984024"/>
    <n v="572.49648931450781"/>
    <n v="315.39668374769911"/>
    <n v="132.54383097456798"/>
    <n v="-149.88128529722275"/>
    <n v="1156.530306921507"/>
    <n v="85.850797352391012"/>
    <n v="579.77140915354983"/>
    <n v="4.1175293103526203"/>
    <n v="317.10957665617246"/>
    <n v="2.1593092324642811"/>
    <n v="-39.748587507700371"/>
    <n v="-9.1543162654422758"/>
    <n v="43.840935953413563"/>
    <n v="8.9605130351837268"/>
    <n v="414.70609004518826"/>
    <n v="-8.9964511122825996"/>
    <n v="15.458087150061033"/>
    <n v="28.356809785099777"/>
    <n v="762.98741390891098"/>
    <n v="60.654911411591719"/>
    <n v="-3.3028911484527157"/>
    <n v="640.86695229315319"/>
    <n v="55144.051903463798"/>
  </r>
  <r>
    <x v="2"/>
    <n v="9.6542848601653191"/>
    <n v="-74.854786388468312"/>
    <n v="-5.3091280815543449"/>
    <n v="-17.821569360414429"/>
    <n v="-0.7164004405584441"/>
    <n v="0.51973788539894406"/>
    <n v="525.47580862696577"/>
    <n v="0.26421353073566056"/>
    <n v="-2.193549302635617"/>
    <n v="0.39966625389907562"/>
    <n v="30.712735223051787"/>
    <n v="0.70435080797988825"/>
    <n v="145.7316117226535"/>
    <n v="100.25598102065169"/>
    <n v="55.072236526866917"/>
    <n v="88.376068018003082"/>
    <n v="10.715105314009467"/>
    <n v="70.027572509580409"/>
    <n v="-88.600667255009867"/>
    <n v="-11.397951445717524"/>
    <n v="423.72699247654555"/>
    <n v="116.74601212789901"/>
    <n v="43.987898901054479"/>
    <n v="46.652382839668888"/>
    <n v="-72.725480804808967"/>
    <n v="21.701292421825151"/>
    <n v="165.26349192502201"/>
    <n v="41.317695739225414"/>
    <n v="57.034218833471549"/>
    <n v="149.25789792077043"/>
    <n v="93.014188866948984"/>
    <n v="630.63634945197259"/>
    <n v="21.209294680950194"/>
    <n v="295.68071764336884"/>
    <n v="0.30751999045735445"/>
    <n v="114.24512843544247"/>
    <n v="310.98095035506947"/>
    <n v="38.588409190408179"/>
    <n v="-0.4091376402455893"/>
    <n v="374.15844177566385"/>
    <n v="39.157804775931297"/>
    <n v="10.110677934215104"/>
    <n v="102.72975734968075"/>
    <n v="742.70539828765311"/>
    <n v="41.326885800380083"/>
    <n v="131.43930817072882"/>
    <n v="218.40958526688505"/>
    <n v="1631.5292777473733"/>
    <n v="1279.6986452241902"/>
    <n v="6.6698796441689741"/>
    <n v="47.741736706418912"/>
    <n v="1520.7369530562819"/>
    <n v="11.704491015998713"/>
    <n v="53.940702675341996"/>
    <n v="329.23058589989353"/>
    <n v="-108.91600773100639"/>
    <n v="-175.4647014834986"/>
    <n v="121.80340613314016"/>
    <n v="-5.1791342868452261"/>
    <n v="511.81038075715401"/>
    <n v="12.150687399458519"/>
    <n v="-148.19182186367141"/>
    <n v="-79.834556011513484"/>
    <n v="3.6635782435047588"/>
    <n v="0.29726378274857268"/>
    <n v="-34.942421255994269"/>
    <n v="-523.1728876241126"/>
    <n v="-105.76361159578178"/>
    <n v="913.04256316799137"/>
    <n v="-19.98322511239644"/>
    <n v="-572.72250943297524"/>
    <n v="-572.53945377205218"/>
    <n v="-71.866813240251005"/>
    <n v="-120.64881020133441"/>
    <n v="-30.55189160637201"/>
    <n v="-358.09517703703784"/>
    <n v="440.51230634977003"/>
    <n v="-59.767216682501186"/>
    <n v="-13.94874454448205"/>
    <n v="133.4675578716936"/>
    <n v="96.919547372503416"/>
    <n v="70.98769425317802"/>
    <n v="221.65875830016682"/>
    <n v="1788.2504211163769"/>
    <n v="-2032.8231674871888"/>
    <n v="-3550.9151297000267"/>
    <n v="-1160.2077209634269"/>
    <n v="-829.06366879839061"/>
    <n v="-458.79887760234408"/>
    <n v="-573.75267601912867"/>
    <n v="-352.74760493006238"/>
    <n v="-468.49228258697724"/>
    <n v="-110.16670326031426"/>
    <n v="-641.71170539207287"/>
    <n v="-1.869056791780082"/>
    <n v="393.63212752665936"/>
    <n v="279.78190694109674"/>
    <n v="11.03334087455049"/>
    <n v="3549.9395700963196"/>
    <n v="-263.16934317926058"/>
    <n v="-42.60762328271494"/>
    <n v="-497.49326364875253"/>
    <n v="-311.0633341880515"/>
    <n v="146.79646697748717"/>
    <n v="61.431236889310185"/>
    <n v="-30.941669705048128"/>
    <n v="22.232126626051048"/>
    <n v="-9.2794558714671993"/>
    <n v="337.2492942385029"/>
    <n v="-162.79544773609041"/>
    <n v="-107.99073803651868"/>
    <n v="-251.61513470041029"/>
    <n v="-298.74824815066393"/>
    <n v="343.32566846999714"/>
    <n v="51.185779117969275"/>
    <n v="367.71496148820751"/>
    <n v="-562.97865969826285"/>
    <n v="34.229133818533299"/>
    <n v="-549.68991280085856"/>
    <n v="840.32062531295196"/>
    <n v="-22.633335239801156"/>
    <n v="250.35373881906793"/>
    <n v="-8.4241777846443"/>
    <n v="-41.111575905132213"/>
    <n v="-165.75819064970409"/>
    <n v="-230.84688871700951"/>
    <n v="-522.21220270100855"/>
    <n v="-80.240927738166803"/>
    <n v="-293.67428459028821"/>
    <n v="-6.7876797252800429"/>
    <n v="-385.68122685594108"/>
    <n v="-10.346379183886768"/>
    <n v="-16.022658199141858"/>
    <n v="-463.80130803211205"/>
    <n v="-75.00901828209804"/>
    <n v="-906.29723574983916"/>
    <n v="-181.00416894411069"/>
    <n v="1198.9497503460404"/>
  </r>
  <r>
    <x v="3"/>
    <n v="6.8395599279657233"/>
    <n v="65.948090209164462"/>
    <n v="-3.0686358504177171"/>
    <n v="27.294332527796939"/>
    <n v="1.0863568911049932"/>
    <n v="1.6858439775008254"/>
    <n v="704.04264310615281"/>
    <n v="-0.55653062705030254"/>
    <n v="50.775221766660209"/>
    <n v="3.4434081229971092"/>
    <n v="63.718760426889382"/>
    <n v="10.339578658334382"/>
    <n v="488.34624364742672"/>
    <n v="141.28947992529859"/>
    <n v="126.18856045270118"/>
    <n v="281.79969859136133"/>
    <n v="5.3295093004985779"/>
    <n v="126.90786006593686"/>
    <n v="-14.997415454242628"/>
    <n v="6.9190544167842489"/>
    <n v="508.75364007246174"/>
    <n v="138.95001004391909"/>
    <n v="42.157822360752078"/>
    <n v="2.5089088648838143"/>
    <n v="-93.5331061105461"/>
    <n v="15.206894794771053"/>
    <n v="190.07996629172061"/>
    <n v="8.4054151566890383"/>
    <n v="29.312010284696481"/>
    <n v="95.951812357304505"/>
    <n v="116.7411046519023"/>
    <n v="1276.1967320616036"/>
    <n v="20.068576292302996"/>
    <n v="183.86425544876977"/>
    <n v="18.508600832288785"/>
    <n v="87.931471071348639"/>
    <n v="268.94413470493959"/>
    <n v="38.938864523838113"/>
    <n v="-2.6388796872631364"/>
    <n v="510.05861657747448"/>
    <n v="48.385025736022961"/>
    <n v="6.9071327713217503"/>
    <n v="171.03221998232044"/>
    <n v="932.15992195751551"/>
    <n v="36.232656842854411"/>
    <n v="230.54174834641617"/>
    <n v="272.12489927779416"/>
    <n v="2011.8954718441446"/>
    <n v="2039.6308842373128"/>
    <n v="7.3082087351233129"/>
    <n v="7.5345594576495607"/>
    <n v="3429.0963777029597"/>
    <n v="11.454472140018064"/>
    <n v="132.87681188296571"/>
    <n v="468.41489155887803"/>
    <n v="50.302340744501024"/>
    <n v="-170.62487465488601"/>
    <n v="250.67967707663971"/>
    <n v="17.965068633421602"/>
    <n v="1316.7885369217879"/>
    <n v="97.606310375111448"/>
    <n v="-69.852780961975711"/>
    <n v="-0.49645909352494755"/>
    <n v="116.39312305578736"/>
    <n v="-47.486901592832922"/>
    <n v="2.8142754722330707"/>
    <n v="-86.666687394056908"/>
    <n v="-51.240956113485794"/>
    <n v="2216.0581742562763"/>
    <n v="184.13842347017527"/>
    <n v="-168.43904530385208"/>
    <n v="-775.69850218175407"/>
    <n v="-19.749447741771419"/>
    <n v="-56.599134402817015"/>
    <n v="4.3182949083487365"/>
    <n v="-188.20779028579892"/>
    <n v="825.11211846961089"/>
    <n v="-1.7326986946753848"/>
    <n v="34.242940016637945"/>
    <n v="101.94107711625125"/>
    <n v="140.91327622493259"/>
    <n v="218.59118605303269"/>
    <n v="345.67369817135119"/>
    <n v="3623.6001373026979"/>
    <n v="-233.76077464301795"/>
    <n v="-649.77169228061769"/>
    <n v="-339.22299543786886"/>
    <n v="83.678090171208396"/>
    <n v="131.51319324873242"/>
    <n v="142.22477669755187"/>
    <n v="988.20845730351516"/>
    <n v="-81.840581294955541"/>
    <n v="-6.2457659501089111"/>
    <n v="-159.72930050146877"/>
    <n v="277.6525769329271"/>
    <n v="1118.5730145064383"/>
    <n v="676.52649455793562"/>
    <n v="100.68959393227735"/>
    <n v="8214.9444694556296"/>
    <n v="-230.55800634179596"/>
    <n v="-27.45283033672602"/>
    <n v="288.40565327410218"/>
    <n v="-146.96484803629795"/>
    <n v="245.2502254060422"/>
    <n v="363.89360761957926"/>
    <n v="45.849885912123241"/>
    <n v="131.03619631514999"/>
    <n v="28.079505228269621"/>
    <n v="1413.9279241243764"/>
    <n v="865.7429881385234"/>
    <n v="368.99785867151598"/>
    <n v="363.88556697940896"/>
    <n v="666.75646993277371"/>
    <n v="708.87378646586217"/>
    <n v="302.55106176164662"/>
    <n v="421.28331800296468"/>
    <n v="1244.9976353115997"/>
    <n v="51.025510160005879"/>
    <n v="-705.22638850944111"/>
    <n v="1614.3702695036675"/>
    <n v="39.514625030052009"/>
    <n v="214.48424702694024"/>
    <n v="10.00522112190067"/>
    <n v="250.50415647919581"/>
    <n v="1.8347899404765258"/>
    <n v="-38.747874098452662"/>
    <n v="256.12679848547975"/>
    <n v="35.691241088050482"/>
    <n v="-158.07400280974815"/>
    <n v="250.58427801268536"/>
    <n v="57.41516305148032"/>
    <n v="-6.2865867750276418"/>
    <n v="-9.2325824381406605"/>
    <n v="295.02162149507581"/>
    <n v="-83.339817733193428"/>
    <n v="-102.57491809383455"/>
    <n v="566.95423488612278"/>
    <n v="43123.722673947981"/>
  </r>
  <r>
    <x v="4"/>
    <n v="-41.315408689776802"/>
    <n v="-33.438584720190903"/>
    <n v="-11.670558175874026"/>
    <n v="-37.899773217864549"/>
    <n v="-0.57487855261796539"/>
    <n v="0.90933835026377385"/>
    <n v="376.59426157313624"/>
    <n v="-0.2289133456142407"/>
    <n v="8.6052837061943492"/>
    <n v="0.99305969886760792"/>
    <n v="16.1462429625781"/>
    <n v="5.5633489018262354"/>
    <n v="219.93551599235582"/>
    <n v="49.699466257732013"/>
    <n v="64.264382831839015"/>
    <n v="60.373350834123983"/>
    <n v="1.8710341478472019"/>
    <n v="46.29742966666339"/>
    <n v="-7.4790384956017846"/>
    <n v="-18.884341833145854"/>
    <n v="303.26305754749512"/>
    <n v="75.564096590412362"/>
    <n v="29.733959117277774"/>
    <n v="-45.290148969948454"/>
    <n v="-81.314740139421602"/>
    <n v="13.163803353318592"/>
    <n v="49.476809029452433"/>
    <n v="7.7473575540400574"/>
    <n v="15.479349686433782"/>
    <n v="23.11726552662855"/>
    <n v="95.084569880727301"/>
    <n v="1037.9139056232548"/>
    <n v="11.930575114015824"/>
    <n v="25.87633418147923"/>
    <n v="16.675647079460884"/>
    <n v="94.521294663934242"/>
    <n v="165.39761774035554"/>
    <n v="27.502337161983629"/>
    <n v="-2.8342924561217782"/>
    <n v="268.02970303939009"/>
    <n v="25.061968658761806"/>
    <n v="8.199494274980994"/>
    <n v="96.295307914278979"/>
    <n v="446.58975520446347"/>
    <n v="19.605623916478642"/>
    <n v="-13.373650297497022"/>
    <n v="195.70008120009857"/>
    <n v="1743.913471403459"/>
    <n v="1592.601854168727"/>
    <n v="5.1432566315446584"/>
    <n v="12.735619074487904"/>
    <n v="3772.93579050786"/>
    <n v="18.092839698694526"/>
    <n v="107.35309477380365"/>
    <n v="482.88698218603776"/>
    <n v="-61.804345082599653"/>
    <n v="-176.23984833726729"/>
    <n v="136.64222546925629"/>
    <n v="10.967915469430665"/>
    <n v="580.5686507107921"/>
    <n v="18.158144315306401"/>
    <n v="-78.131523870074076"/>
    <n v="-92.606446195455888"/>
    <n v="-12.106094155793869"/>
    <n v="-115.59120236116841"/>
    <n v="-29.297415121127997"/>
    <n v="-697.2251229069999"/>
    <n v="-66.580735824582305"/>
    <n v="1418.1959444791191"/>
    <n v="98.184225626746013"/>
    <n v="-174.29964277474016"/>
    <n v="-1288.1203701399106"/>
    <n v="-58.84938354098999"/>
    <n v="-50.941279183046959"/>
    <n v="77.985473750839105"/>
    <n v="52.843406187679804"/>
    <n v="445.77893028698372"/>
    <n v="-77.941412367321306"/>
    <n v="-5.1327026294206846"/>
    <n v="142.39646902314701"/>
    <n v="69.555370270356036"/>
    <n v="91.890630120664582"/>
    <n v="246.20010232135655"/>
    <n v="2522.9952356018616"/>
    <n v="-399.97542088617257"/>
    <n v="-1912.9190737871829"/>
    <n v="-909.93211999752839"/>
    <n v="-935.17353944791978"/>
    <n v="-619.13505288509839"/>
    <n v="-392.7279967782805"/>
    <n v="-84.718073022090948"/>
    <n v="-210.9930868697333"/>
    <n v="-2.9957228479994313"/>
    <n v="-363.86424601855759"/>
    <n v="125.63750419853974"/>
    <n v="574.11524178338664"/>
    <n v="234.68209509203848"/>
    <n v="35.011043148892838"/>
    <n v="4793.1621451503561"/>
    <n v="-387.81671912806883"/>
    <n v="-1.5191842430358484"/>
    <n v="-130.35730333974891"/>
    <n v="-202.99517330183198"/>
    <n v="190.91827189251558"/>
    <n v="231.05941971857328"/>
    <n v="12.111617950522529"/>
    <n v="70.162140536470758"/>
    <n v="-9.578378853828255"/>
    <n v="569.61160595950105"/>
    <n v="323.69083227649088"/>
    <n v="234.79775747284884"/>
    <n v="62.758360380055777"/>
    <n v="250.08245626717303"/>
    <n v="314.31292500146367"/>
    <n v="11.087372758555659"/>
    <n v="305.76818523430518"/>
    <n v="175.22365264029429"/>
    <n v="15.278612473155789"/>
    <n v="-301.2404984428332"/>
    <n v="760.67094843321865"/>
    <n v="119.65016432269601"/>
    <n v="144.95166362179953"/>
    <n v="-5.5714643231254097"/>
    <n v="52.651569855777382"/>
    <n v="-86.998668966674813"/>
    <n v="-137.54157676285493"/>
    <n v="242.43539394515702"/>
    <n v="47.827610926199718"/>
    <n v="-274.23494730471305"/>
    <n v="-44.112303274890564"/>
    <n v="89.771562200683277"/>
    <n v="-15.056460234420317"/>
    <n v="-24.601919049732128"/>
    <n v="-671.68111882195808"/>
    <n v="-167.04295265344439"/>
    <n v="-177.82890222326398"/>
    <n v="99.206288126129607"/>
    <n v="15888.060945577943"/>
  </r>
  <r>
    <x v="5"/>
    <n v="37.57633346295512"/>
    <n v="61.394963116816598"/>
    <n v="-8.7306732684964246"/>
    <n v="16.285101581170267"/>
    <n v="2.8278088130366603"/>
    <n v="1.8541998337288284"/>
    <n v="719.65513222202856"/>
    <n v="2.0054216809101284"/>
    <n v="32.816356365961809"/>
    <n v="2.5593967341200212"/>
    <n v="47.11182083775244"/>
    <n v="9.5845576559913326"/>
    <n v="371.35306910625366"/>
    <n v="101.73637899639765"/>
    <n v="141.12286439284009"/>
    <n v="188.87722550180223"/>
    <n v="6.6934469676202095"/>
    <n v="89.930480577963962"/>
    <n v="31.551525998062786"/>
    <n v="49.002655834956983"/>
    <n v="409.23621082867612"/>
    <n v="129.69350369493958"/>
    <n v="38.153171469570097"/>
    <n v="24.039408622205201"/>
    <n v="10.554038847893253"/>
    <n v="10.309960511837339"/>
    <n v="163.68786427908748"/>
    <n v="28.316586356458636"/>
    <n v="26.96285670385069"/>
    <n v="82.034474970458604"/>
    <n v="117.41942928588583"/>
    <n v="1011.626926990868"/>
    <n v="27.074470381532052"/>
    <n v="66.51867332484278"/>
    <n v="25.149317730633584"/>
    <n v="111.02266501680205"/>
    <n v="222.96696998688236"/>
    <n v="34.847435626840472"/>
    <n v="2.3383325021045298"/>
    <n v="335.30124814585884"/>
    <n v="50.103620887310598"/>
    <n v="9.2127026878452458"/>
    <n v="153.75453513599911"/>
    <n v="533.43050326459729"/>
    <n v="19.698329668596742"/>
    <n v="-176.24204387987731"/>
    <n v="199.57942435612506"/>
    <n v="932.98616573064271"/>
    <n v="1655.0745340778935"/>
    <n v="10.23966975004242"/>
    <n v="16.603516073923011"/>
    <n v="1934.6698170639952"/>
    <n v="15.109187538622193"/>
    <n v="56.127534977254399"/>
    <n v="418.93839545989772"/>
    <n v="105.91941215054426"/>
    <n v="-156.71523994762788"/>
    <n v="238.53213179520239"/>
    <n v="41.954368597649832"/>
    <n v="1182.3008967937453"/>
    <n v="137.52183560760048"/>
    <n v="194.14289170645952"/>
    <n v="2.7895386546593244"/>
    <n v="85.685700168058972"/>
    <n v="-49.039799950638979"/>
    <n v="2.9235436841485836"/>
    <n v="218.73810575482196"/>
    <n v="18.75393167343293"/>
    <n v="2488.7408588497192"/>
    <n v="193.98805561023966"/>
    <n v="179.27243033651825"/>
    <n v="-722.98667194710515"/>
    <n v="-7.1220688573663011"/>
    <n v="161.54473262602778"/>
    <n v="58.075210342593962"/>
    <n v="118.94958532779063"/>
    <n v="683.07987504527227"/>
    <n v="10.551251444141741"/>
    <n v="42.012586938371321"/>
    <n v="259.20010288682124"/>
    <n v="122.0706763117671"/>
    <n v="150.2514525934385"/>
    <n v="290.79461498527922"/>
    <n v="3118.3336889322218"/>
    <n v="244.30723092826639"/>
    <n v="-197.42773646071964"/>
    <n v="153.33911816115116"/>
    <n v="42.057034110970676"/>
    <n v="-186.99953243382595"/>
    <n v="314.68691750492962"/>
    <n v="1028.6328052336858"/>
    <n v="52.30793725295834"/>
    <n v="37.275347012736702"/>
    <n v="-126.34038490142812"/>
    <n v="297.22194339994292"/>
    <n v="1126.3845179783809"/>
    <n v="610.20957604063358"/>
    <n v="46.799327308560642"/>
    <n v="7800.0963079698759"/>
    <n v="147.39027169669598"/>
    <n v="30.395035870717713"/>
    <n v="522.24518373922388"/>
    <n v="-121.62289751564465"/>
    <n v="269.7041446729159"/>
    <n v="390.64343093799721"/>
    <n v="82.221709801594301"/>
    <n v="135.29941483140746"/>
    <n v="38.747182500372837"/>
    <n v="1439.747445021213"/>
    <n v="512.94558139128026"/>
    <n v="590.22128468991593"/>
    <n v="203.51458078317086"/>
    <n v="860.29081864399097"/>
    <n v="497.40230822335661"/>
    <n v="299.86964501444839"/>
    <n v="678.49237965998293"/>
    <n v="696.06963916969517"/>
    <n v="148.94389617179257"/>
    <n v="69.469833408395459"/>
    <n v="1716.8007209424627"/>
    <n v="207.60954638540497"/>
    <n v="304.90089008199084"/>
    <n v="11.217492940518385"/>
    <n v="242.7677395882352"/>
    <n v="79.041931320709097"/>
    <n v="78.416484263834846"/>
    <n v="365.12531575671085"/>
    <n v="91.773553468889958"/>
    <n v="-72.355951118989935"/>
    <n v="210.82357330815222"/>
    <n v="190.64028483097138"/>
    <n v="1.279830573613399"/>
    <n v="6.5346126015583508"/>
    <n v="462.54657788070153"/>
    <n v="23.049739188356028"/>
    <n v="214.33996721308546"/>
    <n v="475.40995237545792"/>
    <n v="43126.474762016056"/>
  </r>
  <r>
    <x v="6"/>
    <n v="-16.342036042432198"/>
    <n v="12.268487799535393"/>
    <n v="-9.7619550165048175"/>
    <n v="1.4067109239097135"/>
    <n v="-0.91662432926312332"/>
    <n v="1.524767891241761"/>
    <n v="449.41361098966627"/>
    <n v="-7.3066612267909115E-2"/>
    <n v="24.385866143033276"/>
    <n v="1.8436527606521091"/>
    <n v="33.674152074883231"/>
    <n v="8.2113025349585484"/>
    <n v="280.55398341530571"/>
    <n v="92.835896377181953"/>
    <n v="125.14091746286157"/>
    <n v="125.8141740047073"/>
    <n v="4.5486872232610178"/>
    <n v="77.571598239506969"/>
    <n v="8.3239491355820689"/>
    <n v="10.43793509854396"/>
    <n v="350.4657087332742"/>
    <n v="106.23488639001206"/>
    <n v="33.057945877718787"/>
    <n v="32.772704405949312"/>
    <n v="-4.0537882914878054"/>
    <n v="16.649402833957438"/>
    <n v="138.23079625404785"/>
    <n v="19.198551709263803"/>
    <n v="18.648567255429668"/>
    <n v="43.207924214452838"/>
    <n v="124.83347321718171"/>
    <n v="1204.4928149322968"/>
    <n v="18.319797025065185"/>
    <n v="17.317892809071843"/>
    <n v="22.149636818821094"/>
    <n v="100.47745731000566"/>
    <n v="137.96436813038898"/>
    <n v="30.701663494054152"/>
    <n v="-0.87163824518651545"/>
    <n v="329.78139872039145"/>
    <n v="40.817444951486806"/>
    <n v="6.9791028787016973"/>
    <n v="112.78880374360119"/>
    <n v="399.00762328082612"/>
    <n v="3.0866224281770371"/>
    <n v="-269.37439046524219"/>
    <n v="174.68998826588808"/>
    <n v="840.3522911682071"/>
    <n v="1526.1025102019144"/>
    <n v="6.4045741309982596"/>
    <n v="9.707788219324252"/>
    <n v="1921.0876591262497"/>
    <n v="12.037422616029692"/>
    <n v="74.307272771159461"/>
    <n v="366.18532075972615"/>
    <n v="-19.465631602909468"/>
    <n v="-119.11806967655701"/>
    <n v="187.45006431130508"/>
    <n v="22.776102309935681"/>
    <n v="784.52509778252056"/>
    <n v="75.511666643112363"/>
    <n v="169.98398092308457"/>
    <n v="-26.55421422714717"/>
    <n v="49.172131568212706"/>
    <n v="-7.4035039167499335"/>
    <n v="-13.612677272325826"/>
    <n v="11.94510627047805"/>
    <n v="-38.096506546591769"/>
    <n v="1857.9602394236717"/>
    <n v="163.27408833365598"/>
    <n v="-60.105295382537406"/>
    <n v="-528.98630258451703"/>
    <n v="1.5195091697522969"/>
    <n v="48.815827591543211"/>
    <n v="36.024081087101401"/>
    <n v="2.9425606736481811"/>
    <n v="502.311757448344"/>
    <n v="-10.159151950897211"/>
    <n v="14.716730746590521"/>
    <n v="209.00884910896741"/>
    <n v="107.61067723568618"/>
    <n v="125.182163336702"/>
    <n v="293.92860770042466"/>
    <n v="3334.3931774735115"/>
    <n v="-290.00357991538647"/>
    <n v="-1335.7233118233644"/>
    <n v="-183.91147469053334"/>
    <n v="-208.67134668926906"/>
    <n v="-447.44132515325089"/>
    <n v="-39.815657491540037"/>
    <n v="407.83366421118581"/>
    <n v="-31.919674066869447"/>
    <n v="4.8741883725269304"/>
    <n v="-233.92534159709066"/>
    <n v="141.44069944065109"/>
    <n v="738.25582612410585"/>
    <n v="434.25351977448179"/>
    <n v="43.798521772269616"/>
    <n v="5845.3127771080126"/>
    <n v="-91.379209715149472"/>
    <n v="7.2821695837954081"/>
    <n v="151.8673115753727"/>
    <n v="-134.24873662814019"/>
    <n v="239.31712170039387"/>
    <n v="245.37078052797796"/>
    <n v="45.600193714810302"/>
    <n v="81.081574870706078"/>
    <n v="31.775580718679016"/>
    <n v="875.43061333662399"/>
    <n v="252.60075467657748"/>
    <n v="369.77786881754992"/>
    <n v="33.938253047390845"/>
    <n v="393.93251594937601"/>
    <n v="366.58232388532974"/>
    <n v="162.01082265041453"/>
    <n v="449.34345824586921"/>
    <n v="510.24475022144793"/>
    <n v="91.048046756675845"/>
    <n v="65.114071974685316"/>
    <n v="1147.340555132796"/>
    <n v="129.82705421399322"/>
    <n v="278.77247492645665"/>
    <n v="1.664431444762247"/>
    <n v="142.35198118207262"/>
    <n v="-32.291944519394775"/>
    <n v="-54.955429349520102"/>
    <n v="-34.713882355719988"/>
    <n v="6.6415994635178492"/>
    <n v="-109.88209372576068"/>
    <n v="139.17478116040303"/>
    <n v="-4.898205084384287"/>
    <n v="-3.9710043100341679"/>
    <n v="-6.5211183678810798"/>
    <n v="104.61092005558839"/>
    <n v="-55.703889892601694"/>
    <n v="-66.486702623679321"/>
    <n v="321.6291020720563"/>
    <n v="27263.809054433121"/>
  </r>
  <r>
    <x v="7"/>
    <n v="11.353432338114487"/>
    <n v="37.397891431349194"/>
    <n v="-4.9892081659881953"/>
    <n v="3.8709869675465995"/>
    <n v="1.7379778017569385"/>
    <n v="1.8646675989765022"/>
    <n v="504.84741768430877"/>
    <n v="1.1360287531171682"/>
    <n v="19.382827734840433"/>
    <n v="1.9121880759770009"/>
    <n v="28.047895425117389"/>
    <n v="8.2155177079932464"/>
    <n v="273.58724026114021"/>
    <n v="86.906275833921541"/>
    <n v="143.31478699930199"/>
    <n v="141.85423755373762"/>
    <n v="6.1468880892046771"/>
    <n v="60.887063346407615"/>
    <n v="14.409258200970072"/>
    <n v="40.910858142420409"/>
    <n v="337.47997319667962"/>
    <n v="94.205575093549882"/>
    <n v="33.586683062427184"/>
    <n v="14.865661700983793"/>
    <n v="-17.489237770278393"/>
    <n v="12.122442501484709"/>
    <n v="153.09337295991151"/>
    <n v="25.057531104314805"/>
    <n v="22.01701240556763"/>
    <n v="49.740102271575125"/>
    <n v="107.59354879559345"/>
    <n v="959.96955469481372"/>
    <n v="18.085665291047736"/>
    <n v="15.358838283722271"/>
    <n v="17.528835582845026"/>
    <n v="101.70377353391142"/>
    <n v="135.80082008432666"/>
    <n v="28.902953794924795"/>
    <n v="-0.3025969127110173"/>
    <n v="240.22871952102986"/>
    <n v="38.369233162018048"/>
    <n v="7.3952988953877492"/>
    <n v="119.98744929689018"/>
    <n v="385.19327501319981"/>
    <n v="2.5180103673485377"/>
    <n v="-244.75378488714358"/>
    <n v="157.00488315265946"/>
    <n v="623.5498594174062"/>
    <n v="1346.9163524317421"/>
    <n v="4.9065453569797146"/>
    <n v="21.217841575733527"/>
    <n v="1374.0389201884798"/>
    <n v="8.5992648910957445"/>
    <n v="65.438699359475294"/>
    <n v="335.62794244330138"/>
    <n v="43.313895279240199"/>
    <n v="-82.305097706606176"/>
    <n v="192.12027548198631"/>
    <n v="31.29252681602199"/>
    <n v="918.62859165271539"/>
    <n v="106.82450711718741"/>
    <n v="156.28339344526245"/>
    <n v="29.437112537812794"/>
    <n v="80.158759507604003"/>
    <n v="3.8306325729898134"/>
    <n v="1.1722333098227438"/>
    <n v="365.31326796231008"/>
    <n v="-15.952256361796827"/>
    <n v="2007.5776888693963"/>
    <n v="162.5780432715278"/>
    <n v="54.059202872924232"/>
    <n v="56.028355046110846"/>
    <n v="8.2529619916226125"/>
    <n v="155.27637369566628"/>
    <n v="67.443755370093157"/>
    <n v="85.054847242583079"/>
    <n v="508.21665707384091"/>
    <n v="13.767926751688606"/>
    <n v="21.985275368827821"/>
    <n v="263.14611462419424"/>
    <n v="103.67924111230818"/>
    <n v="116.99626131300953"/>
    <n v="267.48561642563033"/>
    <n v="2902.8143883955545"/>
    <n v="88.637448605016289"/>
    <n v="-331.25257362360799"/>
    <n v="-69.794424687037747"/>
    <n v="-5.2770066366801984"/>
    <n v="-206.97147506348938"/>
    <n v="183.18740980259179"/>
    <n v="779.16914889537156"/>
    <n v="39.408441933440827"/>
    <n v="45.674379022347608"/>
    <n v="-146.76505269307307"/>
    <n v="168.92516157128554"/>
    <n v="843.24005665355776"/>
    <n v="405.25441832846218"/>
    <n v="38.27861767374516"/>
    <n v="6100.3044477744588"/>
    <n v="72.096906656987414"/>
    <n v="21.829063868906033"/>
    <n v="308.49907199068207"/>
    <n v="-80.945804708527461"/>
    <n v="245.96930766215473"/>
    <n v="332.42030598065799"/>
    <n v="70.482614333730595"/>
    <n v="96.403487694176064"/>
    <n v="35.730664944316118"/>
    <n v="1100.3652732313203"/>
    <n v="327.41515104762175"/>
    <n v="422.23825890600301"/>
    <n v="63.016169072328182"/>
    <n v="547.49844315491146"/>
    <n v="443.85942595484244"/>
    <n v="222.72811694115268"/>
    <n v="493.72918684636511"/>
    <n v="383.17981723714695"/>
    <n v="82.828791910892448"/>
    <n v="117.55489082476447"/>
    <n v="1366.0239637950117"/>
    <n v="66.763268195828971"/>
    <n v="208.32887764590271"/>
    <n v="9.7399598382508294"/>
    <n v="169.86457665476951"/>
    <n v="34.513797662752836"/>
    <n v="50.256474705146758"/>
    <n v="63.279942850956445"/>
    <n v="15.268066986063857"/>
    <n v="-64.27984677366959"/>
    <n v="140.50602393668908"/>
    <n v="15.917390300527472"/>
    <n v="1.7078587872824684"/>
    <n v="6.8364612563508658"/>
    <n v="356.51253593856995"/>
    <n v="15.3735091243461"/>
    <n v="91.5035272568241"/>
    <n v="357.1431499793166"/>
    <n v="32747.011481927791"/>
  </r>
  <r>
    <x v="8"/>
    <n v="18.409452941054781"/>
    <n v="74.617242779519302"/>
    <n v="-1.5415093364617558"/>
    <n v="23.744601349899312"/>
    <n v="0.99148020595686148"/>
    <n v="2.0929651518044534"/>
    <n v="534.70051339844269"/>
    <n v="0.79240396281873471"/>
    <n v="31.406578885273518"/>
    <n v="2.3465567831150898"/>
    <n v="40.285785532513195"/>
    <n v="10.543928674989687"/>
    <n v="341.29380601615287"/>
    <n v="92.870854628144485"/>
    <n v="167.02973115998299"/>
    <n v="220.2942260937794"/>
    <n v="6.5157306856470658"/>
    <n v="79.376606476320887"/>
    <n v="33.936753542507475"/>
    <n v="47.784708085754147"/>
    <n v="367.0357408023101"/>
    <n v="103.10874099426157"/>
    <n v="32.23840142537567"/>
    <n v="29.343577362775854"/>
    <n v="-7.8638951120202165"/>
    <n v="15.891023935881339"/>
    <n v="188.87939392111775"/>
    <n v="23.221025738001309"/>
    <n v="18.199825445241597"/>
    <n v="49.589402187360093"/>
    <n v="121.5618207922889"/>
    <n v="1210.6057873020679"/>
    <n v="18.157905097404463"/>
    <n v="27.407907320547189"/>
    <n v="22.147185765690967"/>
    <n v="104.52343895183809"/>
    <n v="135.8033204590771"/>
    <n v="30.267204295370863"/>
    <n v="-7.2524330548668914E-2"/>
    <n v="306.58803796725203"/>
    <n v="40.207713786774576"/>
    <n v="6.5166185262257379"/>
    <n v="131.55013589750854"/>
    <n v="451.6593590087582"/>
    <n v="-1.9124242753399159"/>
    <n v="-126.17745451833983"/>
    <n v="171.2959058079571"/>
    <n v="850.42184432547583"/>
    <n v="1551.0765596362248"/>
    <n v="8.2283900206615801"/>
    <n v="12.447851213015477"/>
    <n v="1978.8959659425216"/>
    <n v="7.7853134015072261"/>
    <n v="85.014800326505338"/>
    <n v="381.45642366295181"/>
    <n v="50.036686038450142"/>
    <n v="-48.459993969227455"/>
    <n v="212.07415784946431"/>
    <n v="32.967410189708346"/>
    <n v="961.07416950037896"/>
    <n v="116.02216243586963"/>
    <n v="147.40029951214083"/>
    <n v="58.840933489609569"/>
    <n v="115.25346956430147"/>
    <n v="23.875976354079057"/>
    <n v="16.688429764690397"/>
    <n v="603.9747062833012"/>
    <n v="9.7018546894452413"/>
    <n v="2237.9866551192736"/>
    <n v="217.09809881796696"/>
    <n v="178.22296671918969"/>
    <n v="636.97678867907166"/>
    <n v="50.785276018398051"/>
    <n v="236.60904805395717"/>
    <n v="77.879871037865072"/>
    <n v="114.99599385788336"/>
    <n v="566.06133242086071"/>
    <n v="41.714706645071601"/>
    <n v="34.757094725214515"/>
    <n v="289.14610730259375"/>
    <n v="121.46833021622231"/>
    <n v="141.48787610785953"/>
    <n v="307.67651061037566"/>
    <n v="3620.7132259527771"/>
    <n v="489.83712337083"/>
    <n v="414.55080983848723"/>
    <n v="133.0522490565732"/>
    <n v="266.2682855537937"/>
    <n v="86.774449242137052"/>
    <n v="374.50300500565618"/>
    <n v="1096.0055399421176"/>
    <n v="153.494831113966"/>
    <n v="74.868295716644909"/>
    <n v="12.832351296820093"/>
    <n v="219.20002305305937"/>
    <n v="921.90791532150638"/>
    <n v="491.59371449818036"/>
    <n v="54.25981767936851"/>
    <n v="6721.9310933918241"/>
    <n v="107.75984967189939"/>
    <n v="33.205024492625682"/>
    <n v="459.41918644717884"/>
    <n v="10.727846515378516"/>
    <n v="264.93705077327667"/>
    <n v="360.73032284606421"/>
    <n v="88.732336002544443"/>
    <n v="94.88167828753852"/>
    <n v="48.032956831705867"/>
    <n v="1172.4035711571896"/>
    <n v="406.59344307648701"/>
    <n v="463.9352866994036"/>
    <n v="115.24802919525085"/>
    <n v="597.4536112251028"/>
    <n v="435.55201005079709"/>
    <n v="242.10308584472824"/>
    <n v="460.67912932746253"/>
    <n v="595.46071009428135"/>
    <n v="90.012207331240049"/>
    <n v="81.734315301580011"/>
    <n v="1361.9817746543117"/>
    <n v="57.432768886623691"/>
    <n v="212.37033585427321"/>
    <n v="13.147598679085576"/>
    <n v="227.36427916847072"/>
    <n v="53.624712920339732"/>
    <n v="84.526471713698314"/>
    <n v="232.31042289370873"/>
    <n v="40.887202511745535"/>
    <n v="-1.1541681386977132"/>
    <n v="215.44242279838511"/>
    <n v="97.852475562463567"/>
    <n v="5.1456606141940924"/>
    <n v="12.66565786425793"/>
    <n v="548.38131156017698"/>
    <n v="22.288047718263584"/>
    <n v="254.87442243618045"/>
    <n v="520.71021128824191"/>
    <n v="42846.15564832613"/>
  </r>
  <r>
    <x v="9"/>
    <n v="15.996068806351218"/>
    <n v="46.32221099231532"/>
    <n v="-0.29605854890136207"/>
    <n v="11.226569310537442"/>
    <n v="0.95470316775757036"/>
    <n v="1.8807004336323021"/>
    <n v="451.53751951778406"/>
    <n v="1.0243456474416242"/>
    <n v="18.242714560997072"/>
    <n v="1.5733834438223591"/>
    <n v="29.211124120455906"/>
    <n v="8.4284613887965882"/>
    <n v="254.08962767904313"/>
    <n v="70.607586590166918"/>
    <n v="150.35112157834763"/>
    <n v="173.7360662361159"/>
    <n v="6.8590894596269241"/>
    <n v="58.869401643681442"/>
    <n v="25.240852803844021"/>
    <n v="46.113420386678968"/>
    <n v="325.38941611744184"/>
    <n v="85.698762606614196"/>
    <n v="30.673686289771059"/>
    <n v="15.271649339857476"/>
    <n v="-12.547245132883162"/>
    <n v="14.982830213527507"/>
    <n v="171.19795629740941"/>
    <n v="27.789143572591819"/>
    <n v="17.681967853970107"/>
    <n v="48.408399048618293"/>
    <n v="113.58507877500033"/>
    <n v="1061.9276935552218"/>
    <n v="16.540493140760084"/>
    <n v="37.358698293760611"/>
    <n v="17.793886453049961"/>
    <n v="107.87257311597324"/>
    <n v="137.94275414797593"/>
    <n v="27.934993364625942"/>
    <n v="0.16188596389167031"/>
    <n v="246.2641794283474"/>
    <n v="34.653627314574962"/>
    <n v="7.0123019279910528"/>
    <n v="117.2540258595244"/>
    <n v="367.89765323730444"/>
    <n v="-5.9393098172534593"/>
    <n v="-113.92764856588204"/>
    <n v="150.21430247166776"/>
    <n v="803.32470030884178"/>
    <n v="1392.8087456354599"/>
    <n v="9.6456884912700591"/>
    <n v="17.593556509465824"/>
    <n v="1905.2019714746091"/>
    <n v="8.640096210252862"/>
    <n v="71.934617329759362"/>
    <n v="373.52639763265165"/>
    <n v="34.492392950352553"/>
    <n v="-43.062453642075226"/>
    <n v="174.95370076749884"/>
    <n v="28.275322733489645"/>
    <n v="789.11929301368286"/>
    <n v="99.342722339386199"/>
    <n v="134.59116907921143"/>
    <n v="48.981407763080341"/>
    <n v="96.872612005665133"/>
    <n v="21.525273804179641"/>
    <n v="14.988948119239836"/>
    <n v="501.77820586921723"/>
    <n v="10.357992980246252"/>
    <n v="1917.5219072338241"/>
    <n v="175.71535526095937"/>
    <n v="163.4167133454394"/>
    <n v="809.51605028979645"/>
    <n v="50.456559127893428"/>
    <n v="264.91472132663614"/>
    <n v="85.993771067700308"/>
    <n v="138.67293987343587"/>
    <n v="460.16079347936306"/>
    <n v="34.754997453318381"/>
    <n v="25.686211631470066"/>
    <n v="303.21820677962415"/>
    <n v="105.9786135183671"/>
    <n v="109.26041626597564"/>
    <n v="266.79431923363813"/>
    <n v="3126.3386578361969"/>
    <n v="280.90299282293108"/>
    <n v="157.86102521743533"/>
    <n v="23.08079030230499"/>
    <n v="64.426165345048958"/>
    <n v="49.903526999642281"/>
    <n v="261.50167398150143"/>
    <n v="811.01299254183641"/>
    <n v="91.916135595990539"/>
    <n v="67.787613355469801"/>
    <n v="-38.014454261240246"/>
    <n v="169.62533861377366"/>
    <n v="730.27935202661934"/>
    <n v="351.67842120165801"/>
    <n v="33.902693071516794"/>
    <n v="5391.6975425082619"/>
    <n v="93.837284280644269"/>
    <n v="37.471487926386544"/>
    <n v="330.46167050628901"/>
    <n v="16.582303485158448"/>
    <n v="235.36922372050617"/>
    <n v="302.79234130341092"/>
    <n v="76.295320524485589"/>
    <n v="67.809641788648506"/>
    <n v="37.639231749053579"/>
    <n v="913.29324577494208"/>
    <n v="224.66428873267216"/>
    <n v="344.8949569286367"/>
    <n v="10.415192911427852"/>
    <n v="421.42305658841019"/>
    <n v="346.51495898426356"/>
    <n v="171.85242931738384"/>
    <n v="423.44993556431064"/>
    <n v="279.33956242653107"/>
    <n v="74.922273782905393"/>
    <n v="103.12340329105001"/>
    <n v="1139.2631450812787"/>
    <n v="55.502172798034593"/>
    <n v="183.95318461844965"/>
    <n v="10.078009721066444"/>
    <n v="160.76609102077202"/>
    <n v="24.168244938799887"/>
    <n v="55.274980179646377"/>
    <n v="173.67996221187741"/>
    <n v="31.92384099260601"/>
    <n v="-20.079037818600767"/>
    <n v="142.22514816903902"/>
    <n v="54.12225308248577"/>
    <n v="4.1870004936006211"/>
    <n v="11.379695570655343"/>
    <n v="349.13857051761556"/>
    <n v="17.660620112055909"/>
    <n v="152.25591715981625"/>
    <n v="358.91109671237132"/>
    <n v="34818.479773662511"/>
  </r>
  <r>
    <x v="10"/>
    <n v="25.488009530388808"/>
    <n v="66.640943612486438"/>
    <n v="2.094437554903088"/>
    <n v="25.845682343023768"/>
    <n v="1.4728632146407672"/>
    <n v="2.0722118965432856"/>
    <n v="501.73953810281489"/>
    <n v="1.1095350283866554"/>
    <n v="27.685018652416495"/>
    <n v="2.0148843358904158"/>
    <n v="40.135986786592134"/>
    <n v="9.1537308350130271"/>
    <n v="296.82854859922719"/>
    <n v="84.134224661930688"/>
    <n v="160.80253865530037"/>
    <n v="219.16712495936247"/>
    <n v="7.6336746856630562"/>
    <n v="73.467294598186442"/>
    <n v="27.360822366047955"/>
    <n v="52.192490495388142"/>
    <n v="361.51602113791978"/>
    <n v="98.562651327495601"/>
    <n v="31.755287557118464"/>
    <n v="29.966278737726128"/>
    <n v="-7.6376846351682133"/>
    <n v="15.424458468712039"/>
    <n v="202.43939620873311"/>
    <n v="28.614405168025236"/>
    <n v="19.74256962833384"/>
    <n v="62.249689247825309"/>
    <n v="115.98548713879273"/>
    <n v="1090.3418540777377"/>
    <n v="18.483192168854259"/>
    <n v="74.733319941836271"/>
    <n v="18.733554716742489"/>
    <n v="106.48658089506681"/>
    <n v="159.76212482485349"/>
    <n v="29.471975657002801"/>
    <n v="0.63834970076751674"/>
    <n v="285.30930602922399"/>
    <n v="39.63196726569798"/>
    <n v="6.6624871393215903"/>
    <n v="133.44015035188463"/>
    <n v="431.90312531500882"/>
    <n v="-7.8102840845789956"/>
    <n v="-102.69810191329091"/>
    <n v="153.62238473770057"/>
    <n v="735.73581190176048"/>
    <n v="1428.8598880069362"/>
    <n v="10.304706560443163"/>
    <n v="15.986130780394141"/>
    <n v="1685.8469425987059"/>
    <n v="7.3191731628706478"/>
    <n v="68.430603438836499"/>
    <n v="359.75588944161183"/>
    <n v="57.181837697823255"/>
    <n v="-46.003346815016656"/>
    <n v="191.92686548531606"/>
    <n v="29.981466193101355"/>
    <n v="906.04137012844853"/>
    <n v="116.43466099061527"/>
    <n v="153.11974933668105"/>
    <n v="60.720548625304303"/>
    <n v="125.26561078079993"/>
    <n v="34.421734986062489"/>
    <n v="24.344441003461576"/>
    <n v="583.22783724626072"/>
    <n v="24.660832831779516"/>
    <n v="2001.8580902016483"/>
    <n v="188.41778469370473"/>
    <n v="197.73981881335334"/>
    <n v="775.16999746277156"/>
    <n v="63.377447116567311"/>
    <n v="289.2493314754206"/>
    <n v="66.696239916674472"/>
    <n v="86.209114014059566"/>
    <n v="518.93841305433511"/>
    <n v="55.579339262675617"/>
    <n v="36.209820009981179"/>
    <n v="301.14673927141814"/>
    <n v="120.50541825108917"/>
    <n v="133.23665356636374"/>
    <n v="273.93864290717255"/>
    <n v="3297.0394305558852"/>
    <n v="355.94609331240383"/>
    <n v="541.28112003883916"/>
    <n v="206.98334674844563"/>
    <n v="301.91027722626768"/>
    <n v="241.70689660391395"/>
    <n v="405.93737666026948"/>
    <n v="987.19776042897183"/>
    <n v="127.8247049839463"/>
    <n v="66.572872674222992"/>
    <n v="26.925008944799117"/>
    <n v="210.48544979015958"/>
    <n v="794.58741327311736"/>
    <n v="430.36258514943449"/>
    <n v="43.896498415801055"/>
    <n v="5776.5361182597717"/>
    <n v="145.92381896534837"/>
    <n v="36.495741812165242"/>
    <n v="425.10945252573083"/>
    <n v="41.496877778469369"/>
    <n v="240.63095483342673"/>
    <n v="310.60375603537318"/>
    <n v="83.316528310950957"/>
    <n v="75.439190836977019"/>
    <n v="45.471425773785228"/>
    <n v="1032.4981741317774"/>
    <n v="302.19805598399921"/>
    <n v="358.19070977502895"/>
    <n v="67.545007401998433"/>
    <n v="490.20958261997248"/>
    <n v="386.21712602185369"/>
    <n v="221.31007989301355"/>
    <n v="447.28507833125923"/>
    <n v="429.23081384206432"/>
    <n v="88.338563987327689"/>
    <n v="42.787040810372162"/>
    <n v="1258.2038245883527"/>
    <n v="61.039448478397077"/>
    <n v="202.44322381419579"/>
    <n v="13.371146752594896"/>
    <n v="196.93068544744108"/>
    <n v="45.844600659140326"/>
    <n v="83.791568485909522"/>
    <n v="164.72336715087465"/>
    <n v="32.870897126500722"/>
    <n v="15.011601114132802"/>
    <n v="199.70296839857366"/>
    <n v="58.488966448205559"/>
    <n v="6.4020604760091757"/>
    <n v="14.83840042355105"/>
    <n v="546.64458726441376"/>
    <n v="40.023316218377232"/>
    <n v="185.65624771504304"/>
    <n v="439.97527889041044"/>
    <n v="39357.658834312249"/>
  </r>
  <r>
    <x v="11"/>
    <n v="-2.2776442379025639"/>
    <n v="31.569368643193059"/>
    <n v="1.1186469872913936"/>
    <n v="11.238470667486524"/>
    <n v="0.49018726829828374"/>
    <n v="1.7889810604993011"/>
    <n v="364.70286653216817"/>
    <n v="0.43803041889294869"/>
    <n v="20.621759479661193"/>
    <n v="1.4729209719712011"/>
    <n v="31.834462193817345"/>
    <n v="7.2736652879111876"/>
    <n v="228.82130085216045"/>
    <n v="67.869071999133155"/>
    <n v="132.31864679120361"/>
    <n v="168.07674956250804"/>
    <n v="6.2262715807484525"/>
    <n v="59.745549659729932"/>
    <n v="11.733129537128946"/>
    <n v="29.688820236836506"/>
    <n v="317.39217091826248"/>
    <n v="80.731400244557989"/>
    <n v="28.338704799977876"/>
    <n v="13.392616933938847"/>
    <n v="-28.142818714942351"/>
    <n v="15.287912818506523"/>
    <n v="166.28388920597848"/>
    <n v="22.317253680730659"/>
    <n v="15.414089834886603"/>
    <n v="46.215558371774222"/>
    <n v="106.73167747258302"/>
    <n v="1038.2692134090566"/>
    <n v="14.23172007429703"/>
    <n v="70.26255235666946"/>
    <n v="15.043017677362883"/>
    <n v="97.807503937843094"/>
    <n v="139.03572125317248"/>
    <n v="26.428210017509503"/>
    <n v="-0.67235247246163254"/>
    <n v="255.44379319092724"/>
    <n v="32.642443894538914"/>
    <n v="5.9623415762029532"/>
    <n v="114.28398773136686"/>
    <n v="383.72842619532901"/>
    <n v="-13.24289853989174"/>
    <n v="-136.60754442985686"/>
    <n v="136.44652248903881"/>
    <n v="767.74133408117768"/>
    <n v="1281.9686144144987"/>
    <n v="8.4280059956894426"/>
    <n v="16.12127797834566"/>
    <n v="1751.4698515997686"/>
    <n v="6.7398117232105044"/>
    <n v="71.278233698267641"/>
    <n v="334.59652510240852"/>
    <n v="2.4615878953373453"/>
    <n v="-63.35740347234217"/>
    <n v="151.52323249822757"/>
    <n v="18.649136857826093"/>
    <n v="702.42861368430567"/>
    <n v="80.517136983583583"/>
    <n v="91.677362349462356"/>
    <n v="22.720125251232304"/>
    <n v="95.744585726471087"/>
    <n v="25.867035642447874"/>
    <n v="15.009798051325909"/>
    <n v="260.63653411178984"/>
    <n v="0.89977985779520964"/>
    <n v="1514.6459122553024"/>
    <n v="141.86992816933332"/>
    <n v="72.080645696575232"/>
    <n v="312.21114367151267"/>
    <n v="46.103911537875462"/>
    <n v="217.49642438125727"/>
    <n v="56.775778408460212"/>
    <n v="32.26946237030208"/>
    <n v="415.34530661077929"/>
    <n v="33.131383273470917"/>
    <n v="22.997373373984715"/>
    <n v="252.66333779581487"/>
    <n v="102.67904574214123"/>
    <n v="113.82180364388236"/>
    <n v="241.09390997351329"/>
    <n v="2946.1760557572366"/>
    <n v="53.212704069712117"/>
    <n v="-48.093215132453679"/>
    <n v="-83.164508138928625"/>
    <n v="45.89605304582642"/>
    <n v="109.67186463417596"/>
    <n v="187.67517770993686"/>
    <n v="534.61122848131799"/>
    <n v="32.553657581527602"/>
    <n v="41.09498497956622"/>
    <n v="-50.105426149141351"/>
    <n v="150.42331285243696"/>
    <n v="558.15583276258394"/>
    <n v="302.43830915169337"/>
    <n v="36.786392241981133"/>
    <n v="4373.5362892961384"/>
    <n v="0.15152425839329453"/>
    <n v="23.439824013953071"/>
    <n v="204.49324256698742"/>
    <n v="11.217040949712185"/>
    <n v="204.06070669041122"/>
    <n v="224.96760595658981"/>
    <n v="57.161386328886806"/>
    <n v="50.189301456855446"/>
    <n v="31.619719735910216"/>
    <n v="701.63267623196361"/>
    <n v="193.06753852699558"/>
    <n v="212.35085105218252"/>
    <n v="12.024995695789642"/>
    <n v="269.81016146058982"/>
    <n v="307.08853216780028"/>
    <n v="134.65770859520529"/>
    <n v="332.43206695547929"/>
    <n v="219.01880727867501"/>
    <n v="55.255046797751135"/>
    <n v="-58.672093404902853"/>
    <n v="927.95182215568229"/>
    <n v="37.838616520894817"/>
    <n v="159.65240372196922"/>
    <n v="7.7196009490318254"/>
    <n v="126.958573897218"/>
    <n v="-9.3797338535165409"/>
    <n v="12.286678738458448"/>
    <n v="44.915662329228667"/>
    <n v="11.045281431554372"/>
    <n v="-38.261345004751504"/>
    <n v="123.19727891774016"/>
    <n v="-1.7416659142523088"/>
    <n v="1.4451786957267316"/>
    <n v="4.4602306691645666"/>
    <n v="223.36364160608946"/>
    <n v="-10.030464775142065"/>
    <n v="25.245895433782493"/>
    <n v="290.28178233872518"/>
    <n v="27669.867710671577"/>
  </r>
  <r>
    <x v="12"/>
    <n v="-3.7182293701319509"/>
    <n v="29.741173395014584"/>
    <n v="0.76680476565930178"/>
    <n v="10.077334164906418"/>
    <n v="1.2727314784142669"/>
    <n v="1.7961362451590408"/>
    <n v="358.97442358251044"/>
    <n v="0.6772445965981313"/>
    <n v="21.07749962929018"/>
    <n v="1.4946676920583299"/>
    <n v="32.054713203446248"/>
    <n v="6.63649186064284"/>
    <n v="217.31230025269929"/>
    <n v="64.51638638337964"/>
    <n v="122.69169535246486"/>
    <n v="158.89349168365345"/>
    <n v="6.049263805717854"/>
    <n v="56.225376092973534"/>
    <n v="9.2328535837561105"/>
    <n v="29.146610313205258"/>
    <n v="305.43383193361745"/>
    <n v="77.911293103629049"/>
    <n v="27.175009192578813"/>
    <n v="6.9006731767628366"/>
    <n v="-33.642646667751052"/>
    <n v="12.674616618543844"/>
    <n v="157.51801250541047"/>
    <n v="20.446864804581395"/>
    <n v="15.390171297852742"/>
    <n v="48.186365621340869"/>
    <n v="96.695036866106392"/>
    <n v="917.14246615801881"/>
    <n v="14.41856576055233"/>
    <n v="79.125946497470295"/>
    <n v="13.397495343916539"/>
    <n v="91.659954555039022"/>
    <n v="144.48454557908502"/>
    <n v="25.325029100573012"/>
    <n v="-0.52250991032255101"/>
    <n v="232.63436059095284"/>
    <n v="31.915655235586826"/>
    <n v="5.8805229640939984"/>
    <n v="115.05031695268131"/>
    <n v="398.35241656355117"/>
    <n v="-13.647628238370444"/>
    <n v="-155.62363863689689"/>
    <n v="127.13900108014164"/>
    <n v="721.05986465378021"/>
    <n v="1164.2686816597409"/>
    <n v="8.1318987777403855"/>
    <n v="18.398911261100658"/>
    <n v="1555.5623247287592"/>
    <n v="5.7896485399697077"/>
    <n v="64.543540427234177"/>
    <n v="309.92546664092026"/>
    <n v="19.596288161417675"/>
    <n v="-82.87678121531772"/>
    <n v="143.70151911610941"/>
    <n v="18.269537590539755"/>
    <n v="714.21910856426939"/>
    <n v="81.606940874995985"/>
    <n v="75.645635057640249"/>
    <n v="14.510755800916399"/>
    <n v="93.524428523289998"/>
    <n v="19.788292942587987"/>
    <n v="15.743593160497497"/>
    <n v="191.83444072404359"/>
    <n v="5.2058167134508153"/>
    <n v="1396.9459026470795"/>
    <n v="121.96707411629865"/>
    <n v="74.15161880199372"/>
    <n v="-43.598729570434671"/>
    <n v="33.107674537569238"/>
    <n v="201.22730319838024"/>
    <n v="49.877520778729917"/>
    <n v="21.179490911647918"/>
    <n v="402.18647167078325"/>
    <n v="30.744999581728237"/>
    <n v="24.960074727266225"/>
    <n v="228.7985591270272"/>
    <n v="96.023914862446901"/>
    <n v="112.96490498320134"/>
    <n v="214.10291229376082"/>
    <n v="2610.4652468143831"/>
    <n v="48.744401693910845"/>
    <n v="38.092159990618939"/>
    <n v="-90.887644764840218"/>
    <n v="48.281273123937808"/>
    <n v="126.05342720602073"/>
    <n v="196.06344378673271"/>
    <n v="489.29137208121438"/>
    <n v="13.149408706981262"/>
    <n v="34.416455451701836"/>
    <n v="-49.375854015756317"/>
    <n v="163.36642605746383"/>
    <n v="536.87355645374487"/>
    <n v="291.63644028486897"/>
    <n v="35.499295177056858"/>
    <n v="4106.8886384365742"/>
    <n v="6.065959774276223"/>
    <n v="20.985974319164498"/>
    <n v="209.65515174300822"/>
    <n v="-1.9991305282833167"/>
    <n v="191.56881122558417"/>
    <n v="219.43223269792981"/>
    <n v="55.177981758921391"/>
    <n v="55.794899528110108"/>
    <n v="28.411256800625139"/>
    <n v="703.81731486007766"/>
    <n v="228.94404930900271"/>
    <n v="198.38622460535294"/>
    <n v="46.186485580567961"/>
    <n v="297.0657737461911"/>
    <n v="315.17207787457062"/>
    <n v="143.78488561149629"/>
    <n v="335.30746085625003"/>
    <n v="239.28374384060965"/>
    <n v="56.121064541910954"/>
    <n v="-107.8913213430219"/>
    <n v="941.19741780656113"/>
    <n v="35.174512685821298"/>
    <n v="140.40314445864794"/>
    <n v="8.1741235824335341"/>
    <n v="123.88434862318559"/>
    <n v="1.2479322068795682"/>
    <n v="21.873131787539705"/>
    <n v="97.804646176926099"/>
    <n v="22.777762128214164"/>
    <n v="-45.312028117127625"/>
    <n v="114.3090432735064"/>
    <n v="19.20120607604224"/>
    <n v="0.7679822501233744"/>
    <n v="3.0369777457796872"/>
    <n v="214.87749907605621"/>
    <n v="-5.2734408319910244"/>
    <n v="29.432566529652036"/>
    <n v="264.00212444476369"/>
    <n v="25836.838195321314"/>
  </r>
  <r>
    <x v="13"/>
    <n v="-18.850103099248656"/>
    <n v="17.313333828810642"/>
    <n v="-1.1624118794228409"/>
    <n v="6.0724613998664978"/>
    <n v="0.73429494614515978"/>
    <n v="1.6749410348439073"/>
    <n v="302.29311357498125"/>
    <n v="0.34517546653828823"/>
    <n v="21.118519666173071"/>
    <n v="1.3652548900900308"/>
    <n v="31.292537089757516"/>
    <n v="6.0398097891247051"/>
    <n v="194.85412760223278"/>
    <n v="59.29020846293335"/>
    <n v="108.21296695179865"/>
    <n v="138.67866937450498"/>
    <n v="5.1358543317491705"/>
    <n v="54.044158528684846"/>
    <n v="5.7300248188565632"/>
    <n v="16.880068046639479"/>
    <n v="281.00381084571001"/>
    <n v="72.932797811777178"/>
    <n v="24.641403754287872"/>
    <n v="4.6278684740601506"/>
    <n v="-34.316697643141509"/>
    <n v="12.122270070602521"/>
    <n v="137.56857432312216"/>
    <n v="16.018649061347311"/>
    <n v="12.284210562542746"/>
    <n v="41.170976024052919"/>
    <n v="93.191110818161974"/>
    <n v="903.46221676077198"/>
    <n v="13.341392752943662"/>
    <n v="74.724537151860034"/>
    <n v="13.448653047388174"/>
    <n v="84.69458023080071"/>
    <n v="133.82182568566222"/>
    <n v="23.942008429169388"/>
    <n v="-0.88655731707528496"/>
    <n v="229.5574339074355"/>
    <n v="29.818772171211236"/>
    <n v="5.3463668249306764"/>
    <n v="106.63902838538708"/>
    <n v="390.31109245999761"/>
    <n v="-15.890591145536845"/>
    <n v="-158.00636808692786"/>
    <n v="119.88903641616338"/>
    <n v="777.96770104702796"/>
    <n v="1088.4422434421399"/>
    <n v="8.2589331915188318"/>
    <n v="15.419483077231277"/>
    <n v="1666.742831163072"/>
    <n v="5.6373215954116844"/>
    <n v="65.611422001206591"/>
    <n v="298.19442318387632"/>
    <n v="3.6815847742758194"/>
    <n v="-97.073620542886104"/>
    <n v="127.39257769311121"/>
    <n v="13.633036742533946"/>
    <n v="615.48287790705012"/>
    <n v="64.331107080486817"/>
    <n v="52.28715393767547"/>
    <n v="-7.520108618264203"/>
    <n v="75.726800183608049"/>
    <n v="16.988426240993455"/>
    <n v="10.319566081572894"/>
    <n v="46.902491944244048"/>
    <n v="-1.2409834316669333"/>
    <n v="1192.5244212840244"/>
    <n v="104.13254308957926"/>
    <n v="35.909867910842081"/>
    <n v="-315.95088301243709"/>
    <n v="23.181293527024877"/>
    <n v="147.95494005292085"/>
    <n v="39.070005250902142"/>
    <n v="-7.9932179489447037"/>
    <n v="355.44623834156687"/>
    <n v="18.106123579221801"/>
    <n v="20.845807739994171"/>
    <n v="188.54982298114612"/>
    <n v="86.41785661076139"/>
    <n v="106.96252968619052"/>
    <n v="196.35995984465421"/>
    <n v="2445.1520151693776"/>
    <n v="-62.566671399432039"/>
    <n v="-235.39798566792876"/>
    <n v="-158.57922611048909"/>
    <n v="-43.044057278634227"/>
    <n v="39.707886908362354"/>
    <n v="102.7670763454654"/>
    <n v="301.97555949074103"/>
    <n v="-21.57373489978815"/>
    <n v="18.771457795146603"/>
    <n v="-73.522407798188411"/>
    <n v="149.96713048464554"/>
    <n v="446.53117589892304"/>
    <n v="262.66255749213428"/>
    <n v="34.843839590370777"/>
    <n v="3550.8809202400098"/>
    <n v="-57.740463284614407"/>
    <n v="14.679196510719322"/>
    <n v="139.4333783171835"/>
    <n v="-22.451183879415964"/>
    <n v="176.1216318177604"/>
    <n v="180.65178945154713"/>
    <n v="46.074556293422745"/>
    <n v="50.720442930581235"/>
    <n v="23.84640947618928"/>
    <n v="570.71747809726867"/>
    <n v="214.48773332833605"/>
    <n v="158.28551994515078"/>
    <n v="50.856233860949359"/>
    <n v="239.54638388887474"/>
    <n v="275.59416857004624"/>
    <n v="112.72535060698652"/>
    <n v="290.21155603770956"/>
    <n v="248.03204585305946"/>
    <n v="49.618102079719193"/>
    <n v="-146.52556858300397"/>
    <n v="793.15588765403118"/>
    <n v="39.781190810137758"/>
    <n v="135.08785894997686"/>
    <n v="5.1682492991192461"/>
    <n v="103.65007778043906"/>
    <n v="-17.281099042206733"/>
    <n v="-9.3346170351666444"/>
    <n v="105.88020559370574"/>
    <n v="24.145564125162707"/>
    <n v="-65.55361631877949"/>
    <n v="93.926850186211368"/>
    <n v="24.903949174387265"/>
    <n v="-1.7702130457291929"/>
    <n v="-2.8124585503194908"/>
    <n v="92.671340261262685"/>
    <n v="-29.654251824113089"/>
    <n v="-14.438827315556523"/>
    <n v="217.05410073809526"/>
    <n v="21473.264473253264"/>
  </r>
  <r>
    <x v="14"/>
    <n v="-24.531147364674496"/>
    <n v="4.310923159400545"/>
    <n v="-2.9368895652393263"/>
    <n v="-0.42113331613340677"/>
    <n v="0.93134903336940811"/>
    <n v="1.5922096394987644"/>
    <n v="269.90498946613286"/>
    <n v="0.47867260984974358"/>
    <n v="17.425680820307527"/>
    <n v="1.1628301759289332"/>
    <n v="27.261034068504166"/>
    <n v="5.0847178063168332"/>
    <n v="157.92912191304106"/>
    <n v="53.062153639628207"/>
    <n v="96.385737548277802"/>
    <n v="106.87046314464374"/>
    <n v="4.8277317725562092"/>
    <n v="45.765491758773692"/>
    <n v="1.0662380619586145"/>
    <n v="12.966985805771685"/>
    <n v="250.7954486044739"/>
    <n v="66.189486806847299"/>
    <n v="23.068083770469158"/>
    <n v="0.95002769054913472"/>
    <n v="-32.20540626377263"/>
    <n v="10.047080153640984"/>
    <n v="117.78451063583887"/>
    <n v="15.723717370436347"/>
    <n v="12.189022906137307"/>
    <n v="39.847270363009677"/>
    <n v="85.809959400108653"/>
    <n v="785.80342301727705"/>
    <n v="13.204586025631183"/>
    <n v="70.777536002937239"/>
    <n v="12.358389898434488"/>
    <n v="80.197003949783252"/>
    <n v="127.85916868407541"/>
    <n v="22.435134276689457"/>
    <n v="-0.82114203050281098"/>
    <n v="196.17503660000932"/>
    <n v="28.090270445665368"/>
    <n v="5.3207843530524492"/>
    <n v="98.956342941301273"/>
    <n v="358.2900380280438"/>
    <n v="-16.459138015111137"/>
    <n v="-159.65080234815056"/>
    <n v="107.52087956883463"/>
    <n v="731.45021099496978"/>
    <n v="950.90408501750926"/>
    <n v="7.9200079287678111"/>
    <n v="16.53075967082783"/>
    <n v="1519.7107950847794"/>
    <n v="5.5005518619238281"/>
    <n v="57.225252067056992"/>
    <n v="276.08987545402755"/>
    <n v="3.9339014687006966"/>
    <n v="-105.08481777713364"/>
    <n v="111.93932923836985"/>
    <n v="12.223958823379434"/>
    <n v="539.97634335331554"/>
    <n v="54.496732550016503"/>
    <n v="38.887124614749098"/>
    <n v="-19.405585196221693"/>
    <n v="56.90250674145841"/>
    <n v="12.625095965630919"/>
    <n v="4.4958163145720036"/>
    <n v="-28.981099271206404"/>
    <n v="-5.2546727117322831"/>
    <n v="1034.260923493508"/>
    <n v="78.98621905209626"/>
    <n v="12.221551111388635"/>
    <n v="-418.28625508998971"/>
    <n v="8.4527057734092352"/>
    <n v="108.10729923046051"/>
    <n v="33.372788934328938"/>
    <n v="-17.78941260504476"/>
    <n v="303.45791814176891"/>
    <n v="6.1068240469459028"/>
    <n v="16.567479807204769"/>
    <n v="163.43765576745102"/>
    <n v="73.70643819413263"/>
    <n v="92.720373126118488"/>
    <n v="167.53405904559014"/>
    <n v="2062.180609333217"/>
    <n v="-174.15798399270949"/>
    <n v="-458.40229703322143"/>
    <n v="-206.63769389789911"/>
    <n v="-138.09437588577418"/>
    <n v="-67.901605570158836"/>
    <n v="29.786348715804593"/>
    <n v="172.6457526725726"/>
    <n v="-57.318811823436675"/>
    <n v="7.0351883230848102"/>
    <n v="-114.41502512552712"/>
    <n v="134.92947254553152"/>
    <n v="385.36708477512093"/>
    <n v="221.84102799226571"/>
    <n v="27.928139995962795"/>
    <n v="3041.1384816406771"/>
    <n v="-67.760189348854624"/>
    <n v="11.630239624146313"/>
    <n v="92.803848766569445"/>
    <n v="-51.226718962305533"/>
    <n v="163.31339365165687"/>
    <n v="160.91379248604193"/>
    <n v="41.759976280366658"/>
    <n v="51.20793289432882"/>
    <n v="19.378918188045908"/>
    <n v="496.96331261146906"/>
    <n v="189.79747599619793"/>
    <n v="141.65455151380115"/>
    <n v="44.60691807829744"/>
    <n v="222.95784245844084"/>
    <n v="252.23770218305549"/>
    <n v="97.650397474581666"/>
    <n v="286.32442016998698"/>
    <n v="187.48576288518007"/>
    <n v="47.926887601717823"/>
    <n v="-127.0275637266372"/>
    <n v="727.1264129293113"/>
    <n v="47.580107154981846"/>
    <n v="130.00540826919814"/>
    <n v="3.2650842487656959"/>
    <n v="82.127186089198858"/>
    <n v="-20.94053089614863"/>
    <n v="-20.193431799083925"/>
    <n v="89.528445170341797"/>
    <n v="22.819365015746648"/>
    <n v="-83.062966710862128"/>
    <n v="64.817198682270941"/>
    <n v="20.445825823643503"/>
    <n v="-3.0892539380261965"/>
    <n v="-5.5226680827993633"/>
    <n v="20.152756374447563"/>
    <n v="-32.241770451106817"/>
    <n v="-46.859976511810146"/>
    <n v="150.13948651138526"/>
    <n v="17278.956504607806"/>
  </r>
  <r>
    <x v="15"/>
    <n v="-26.867011958291187"/>
    <n v="6.2695394710700043"/>
    <n v="-3.9941035185432607"/>
    <n v="0.94276122096106008"/>
    <n v="0.89933952911064652"/>
    <n v="1.6284056715590656"/>
    <n v="266.61054204907441"/>
    <n v="0.45376845042309633"/>
    <n v="19.471970914366018"/>
    <n v="1.2608464194407345"/>
    <n v="28.491585981105025"/>
    <n v="5.2043237959456636"/>
    <n v="157.22675338278873"/>
    <n v="56.038686388757384"/>
    <n v="96.896080651767363"/>
    <n v="102.91197084614328"/>
    <n v="4.6572917866377299"/>
    <n v="47.557050989374574"/>
    <n v="0.99880344006167832"/>
    <n v="11.648474329800791"/>
    <n v="240.50128972524465"/>
    <n v="66.53544265904759"/>
    <n v="22.096161757483152"/>
    <n v="7.1896376926116972"/>
    <n v="-25.10700113559335"/>
    <n v="9.3161184429482589"/>
    <n v="113.01704319228438"/>
    <n v="14.98726611847674"/>
    <n v="12.405326447387001"/>
    <n v="40.441782388113033"/>
    <n v="84.847418848683645"/>
    <n v="765.62487279630659"/>
    <n v="13.640173848385221"/>
    <n v="69.249805783271881"/>
    <n v="13.40277167344458"/>
    <n v="76.372907658923552"/>
    <n v="122.01439864331104"/>
    <n v="22.067242924204375"/>
    <n v="-0.80833651830533881"/>
    <n v="193.62715590123247"/>
    <n v="28.845369699613506"/>
    <n v="4.9971818605263172"/>
    <n v="97.853969122107372"/>
    <n v="354.7140199857555"/>
    <n v="-17.263880686884519"/>
    <n v="-133.82134389311184"/>
    <n v="103.58964880530471"/>
    <n v="709.23311528988916"/>
    <n v="906.29671478733417"/>
    <n v="7.7921911318792834"/>
    <n v="14.482505660013773"/>
    <n v="1441.8422445416847"/>
    <n v="4.9002598157768169"/>
    <n v="54.891520691550355"/>
    <n v="262.47295761740139"/>
    <n v="8.3412452723466686"/>
    <n v="-100.42390435944182"/>
    <n v="112.49677014708516"/>
    <n v="12.559553920443619"/>
    <n v="518.96574563536797"/>
    <n v="51.393607129688945"/>
    <n v="34.51969259554474"/>
    <n v="-19.414679469617511"/>
    <n v="51.230564085549219"/>
    <n v="13.937730024905612"/>
    <n v="1.7156782743763017"/>
    <n v="-12.426901569064967"/>
    <n v="-6.6614373732970478"/>
    <n v="1015.1272163714075"/>
    <n v="76.417114929233833"/>
    <n v="8.3129094054012853"/>
    <n v="-354.70532107017061"/>
    <n v="3.8446554409642033"/>
    <n v="75.420084069893392"/>
    <n v="25.249340071081335"/>
    <n v="-34.31138536364287"/>
    <n v="293.01050318857983"/>
    <n v="3.1611829677149927"/>
    <n v="16.897922191704545"/>
    <n v="143.51789170927594"/>
    <n v="70.263915069544851"/>
    <n v="92.37759923876996"/>
    <n v="160.92795057196196"/>
    <n v="1989.6836173844658"/>
    <n v="-175.46302332088658"/>
    <n v="-499.32870020827488"/>
    <n v="-177.9138474400319"/>
    <n v="-114.88062008743725"/>
    <n v="-110.14792228888786"/>
    <n v="24.763494638094812"/>
    <n v="193.57476186397253"/>
    <n v="-52.825644763836635"/>
    <n v="2.7450752455828251"/>
    <n v="-115.92190247293726"/>
    <n v="136.68980220784616"/>
    <n v="392.96951755602777"/>
    <n v="236.216867328842"/>
    <n v="29.393024191173765"/>
    <n v="3028.2971088612248"/>
    <n v="-59.861724482629654"/>
    <n v="9.1736798865269122"/>
    <n v="107.78564069278877"/>
    <n v="-63.969203757848959"/>
    <n v="164.39309148443451"/>
    <n v="161.66215762136721"/>
    <n v="44.389598748721482"/>
    <n v="57.855985222771324"/>
    <n v="21.352151876242019"/>
    <n v="511.01100554998629"/>
    <n v="218.03341189145863"/>
    <n v="166.52697920851665"/>
    <n v="68.207950802838113"/>
    <n v="258.83739939812449"/>
    <n v="253.33794713075736"/>
    <n v="108.2405093353903"/>
    <n v="290.93537193831605"/>
    <n v="259.88009586935493"/>
    <n v="53.062043260435019"/>
    <n v="-104.38517097267425"/>
    <n v="730.281681299703"/>
    <n v="55.45429504570852"/>
    <n v="140.67270924641753"/>
    <n v="2.8874168733247636"/>
    <n v="89.899295747803762"/>
    <n v="-14.447652832725112"/>
    <n v="-16.997014304982116"/>
    <n v="86.334485798883861"/>
    <n v="23.980041211354603"/>
    <n v="-79.407572743430364"/>
    <n v="74.163527760411398"/>
    <n v="30.106008518806931"/>
    <n v="-3.0873479804999633"/>
    <n v="-6.0530796070944106"/>
    <n v="61.156970086123238"/>
    <n v="-28.795782740917389"/>
    <n v="-28.870126585798175"/>
    <n v="160.35353304993623"/>
    <n v="17334.252193466295"/>
  </r>
  <r>
    <x v="16"/>
    <n v="-32.438009960522663"/>
    <n v="-1.8377492130130122"/>
    <n v="-4.8751450867503721"/>
    <n v="-4.0935200546904724"/>
    <n v="0.73185673797668316"/>
    <n v="1.5959186992244483"/>
    <n v="228.95691858842122"/>
    <n v="0.4036264970041028"/>
    <n v="16.392620360851858"/>
    <n v="1.1096850766180308"/>
    <n v="24.003674205854516"/>
    <n v="4.7614325660673451"/>
    <n v="128.75309514069238"/>
    <n v="51.497405649949314"/>
    <n v="93.422790360993361"/>
    <n v="78.069809778407262"/>
    <n v="4.3321197463208279"/>
    <n v="41.146372090790862"/>
    <n v="-2.7303597485161362"/>
    <n v="8.5715206140862961"/>
    <n v="213.90354723403641"/>
    <n v="59.067878061401316"/>
    <n v="20.585194132859755"/>
    <n v="6.435267365994612"/>
    <n v="-23.281300821723207"/>
    <n v="8.4377557313111922"/>
    <n v="97.82331031954439"/>
    <n v="14.738314449721607"/>
    <n v="12.318433379761981"/>
    <n v="36.168245078291996"/>
    <n v="81.276612861603951"/>
    <n v="711.77548461976539"/>
    <n v="12.814688371210543"/>
    <n v="58.814261178583578"/>
    <n v="13.004351724762181"/>
    <n v="73.276219143249662"/>
    <n v="108.90115777940616"/>
    <n v="20.75811097354234"/>
    <n v="-1.0709706118686384"/>
    <n v="165.91514783965562"/>
    <n v="27.047778612663059"/>
    <n v="4.8057662000016359"/>
    <n v="89.735628122785272"/>
    <n v="314.41317877830079"/>
    <n v="-19.067570633194677"/>
    <n v="-111.15008837860827"/>
    <n v="94.012951484608038"/>
    <n v="672.42528930460833"/>
    <n v="823.49258150408559"/>
    <n v="7.374819034103453"/>
    <n v="14.149569608303581"/>
    <n v="1363.1638728937985"/>
    <n v="4.4474781183269556"/>
    <n v="51.859871502681798"/>
    <n v="247.43208177332525"/>
    <n v="2.5570245866947232"/>
    <n v="-88.506035870841004"/>
    <n v="101.96575928809233"/>
    <n v="11.318130945937028"/>
    <n v="436.31414289660233"/>
    <n v="40.48768064304187"/>
    <n v="22.556498949173175"/>
    <n v="-21.827582268387744"/>
    <n v="36.680932433719505"/>
    <n v="9.7694777830265593"/>
    <n v="-3.5617229619119826"/>
    <n v="-34.830904809923595"/>
    <n v="-14.372311363459971"/>
    <n v="898.1775506960148"/>
    <n v="61.783676573359912"/>
    <n v="-16.935109456213013"/>
    <n v="-259.39717529542929"/>
    <n v="-4.4234873428839308"/>
    <n v="41.888749534141084"/>
    <n v="24.310969849392336"/>
    <n v="-32.638647422590822"/>
    <n v="248.02551642319781"/>
    <n v="-5.2816385170168587"/>
    <n v="12.487603415842266"/>
    <n v="128.71955069832831"/>
    <n v="60.59562396354093"/>
    <n v="80.454447790458914"/>
    <n v="146.13352336630879"/>
    <n v="1795.5091487710433"/>
    <n v="-226.9110842932422"/>
    <n v="-663.92875028264348"/>
    <n v="-226.55837565742891"/>
    <n v="-185.1609329204432"/>
    <n v="-197.26987339355668"/>
    <n v="-36.923770329450804"/>
    <n v="118.25554200117085"/>
    <n v="-67.187053368784149"/>
    <n v="-0.50088111578298822"/>
    <n v="-143.18824285712253"/>
    <n v="113.55762938356415"/>
    <n v="343.87282393542841"/>
    <n v="196.22771704403999"/>
    <n v="24.932952553139557"/>
    <n v="2650.5937946036192"/>
    <n v="-69.999224698891823"/>
    <n v="7.147873667344129"/>
    <n v="68.231464414171342"/>
    <n v="-79.82834624546058"/>
    <n v="158.94135770711972"/>
    <n v="151.07131380322778"/>
    <n v="41.982938051561945"/>
    <n v="56.552365237281421"/>
    <n v="19.432943084408691"/>
    <n v="444.96024299310557"/>
    <n v="190.24752634689673"/>
    <n v="160.48715985577928"/>
    <n v="53.745737570515502"/>
    <n v="233.54081769719733"/>
    <n v="232.07540509840419"/>
    <n v="93.157249801343255"/>
    <n v="276.04130608738285"/>
    <n v="217.08447906175297"/>
    <n v="49.006035799899735"/>
    <n v="-65.02624164906922"/>
    <n v="658.87561229840821"/>
    <n v="54.35823690790771"/>
    <n v="135.92373053084407"/>
    <n v="1.3459496978534453"/>
    <n v="75.33211543624941"/>
    <n v="-19.79381770668806"/>
    <n v="-25.164828377347305"/>
    <n v="64.16733929591112"/>
    <n v="20.323536315961"/>
    <n v="-87.053087370164548"/>
    <n v="54.418361536956581"/>
    <n v="23.166401493326845"/>
    <n v="-3.6989252425878334"/>
    <n v="-7.413324677162386"/>
    <n v="19.026819539782991"/>
    <n v="-31.287172364268287"/>
    <n v="-41.143745035580878"/>
    <n v="120.0767449610687"/>
    <n v="14541.664218312875"/>
  </r>
  <r>
    <x v="17"/>
    <n v="-29.086977298274178"/>
    <n v="4.8773753540039024"/>
    <n v="-4.5704948780164347"/>
    <n v="-2.2418181038799503"/>
    <n v="0.95367121675042943"/>
    <n v="1.6904571054149042"/>
    <n v="233.00873304135257"/>
    <n v="0.52659617155307537"/>
    <n v="17.095558155090067"/>
    <n v="1.1937638911626554"/>
    <n v="23.442349756372025"/>
    <n v="5.0083118479076365"/>
    <n v="127.82212925720125"/>
    <n v="52.669692262822707"/>
    <n v="100.35144353404918"/>
    <n v="77.418810224334777"/>
    <n v="4.4715161311030975"/>
    <n v="40.752466805303442"/>
    <n v="-1.5924637065183731"/>
    <n v="12.912431710535515"/>
    <n v="206.31878283093124"/>
    <n v="57.646186249626908"/>
    <n v="19.98019320717453"/>
    <n v="10.897552790683484"/>
    <n v="-17.683313266016114"/>
    <n v="7.6832576295243271"/>
    <n v="98.446633706240846"/>
    <n v="15.761856022409482"/>
    <n v="13.333744193700337"/>
    <n v="37.448108266259183"/>
    <n v="79.952398276499878"/>
    <n v="681.73147391416387"/>
    <n v="13.114547801655483"/>
    <n v="54.690154230269187"/>
    <n v="13.520761505534132"/>
    <n v="71.959735282062638"/>
    <n v="104.44910424334088"/>
    <n v="20.431311625035907"/>
    <n v="-0.98518251610539309"/>
    <n v="151.4011129971999"/>
    <n v="27.685956493580697"/>
    <n v="4.6806890230993652"/>
    <n v="89.935899859467014"/>
    <n v="299.35469297892342"/>
    <n v="-20.395833984494573"/>
    <n v="-83.956228741053707"/>
    <n v="89.343402079866678"/>
    <n v="613.9313743840986"/>
    <n v="790.44471577515787"/>
    <n v="7.582929297990427"/>
    <n v="13.537967695775773"/>
    <n v="1237.909456112759"/>
    <n v="3.6842607130249512"/>
    <n v="48.791123240368726"/>
    <n v="236.8153508641044"/>
    <n v="15.578808480078834"/>
    <n v="-70.51011764583086"/>
    <n v="105.14598342616313"/>
    <n v="13.220248319714543"/>
    <n v="432.20789371469027"/>
    <n v="42.715286920907602"/>
    <n v="30.337683779152115"/>
    <n v="-10.533718732931618"/>
    <n v="37.670471674518552"/>
    <n v="8.3859748320243028"/>
    <n v="-3.3658786272151033"/>
    <n v="45.375944533280972"/>
    <n v="-12.594028102039516"/>
    <n v="914.44220419796693"/>
    <n v="62.070724219702129"/>
    <n v="0.66360723323731463"/>
    <n v="-111.76260252085285"/>
    <n v="-4.8231744479756742"/>
    <n v="39.647083221435423"/>
    <n v="24.899384717497213"/>
    <n v="-18.074965639413193"/>
    <n v="242.78784094270213"/>
    <n v="-2.1650641451469994"/>
    <n v="14.102019419582724"/>
    <n v="128.93059317483824"/>
    <n v="58.758968033404045"/>
    <n v="79.13601717379666"/>
    <n v="141.99865929992723"/>
    <n v="1745.2055273306223"/>
    <n v="-148.87434827023549"/>
    <n v="-529.62787806233234"/>
    <n v="-160.55085408955972"/>
    <n v="-132.95429775418359"/>
    <n v="-187.72167943265327"/>
    <n v="-2.9926627185450343"/>
    <n v="200.4476176442754"/>
    <n v="-43.697354028144673"/>
    <n v="5.9620782161236434"/>
    <n v="-127.97083462803279"/>
    <n v="114.83773395120716"/>
    <n v="366.78074007312853"/>
    <n v="199.61480435421231"/>
    <n v="24.825799974022203"/>
    <n v="2704.7536803571529"/>
    <n v="-32.344362824937548"/>
    <n v="9.1420469707103393"/>
    <n v="108.23968593078303"/>
    <n v="-76.006267176520041"/>
    <n v="163.77888027133721"/>
    <n v="166.92610481945189"/>
    <n v="47.490864730990893"/>
    <n v="62.422811942275544"/>
    <n v="22.576679120682954"/>
    <n v="487.34342350914494"/>
    <n v="207.38995638187691"/>
    <n v="190.9144507033925"/>
    <n v="65.002133278766507"/>
    <n v="275.2649816785015"/>
    <n v="240.05240750854523"/>
    <n v="109.59022606579299"/>
    <n v="289.47383409505369"/>
    <n v="252.14921704894743"/>
    <n v="54.476427912412618"/>
    <n v="-18.960069582103586"/>
    <n v="693.14614260188955"/>
    <n v="54.97513742863255"/>
    <n v="139.0447541719293"/>
    <n v="2.26961654013828"/>
    <n v="87.316595603369251"/>
    <n v="-5.5959647394437866"/>
    <n v="-5.7735488942615802"/>
    <n v="87.188916419649786"/>
    <n v="23.698936280811822"/>
    <n v="-71.115905091633522"/>
    <n v="65.857431376605859"/>
    <n v="36.665523813486573"/>
    <n v="-2.4629848428880265"/>
    <n v="-5.0938722722921952"/>
    <n v="100.44593123961022"/>
    <n v="-16.309771137032754"/>
    <n v="3.7403733152571021"/>
    <n v="138.83651952198602"/>
    <n v="15850.188911352319"/>
  </r>
  <r>
    <x v="18"/>
    <n v="-30.808792897826606"/>
    <n v="5.6427487821931663"/>
    <n v="-4.1417579115518581"/>
    <n v="-2.6777483148805459"/>
    <n v="0.80400437323534191"/>
    <n v="1.7251538269224385"/>
    <n v="209.13419495015819"/>
    <n v="0.46737933749104066"/>
    <n v="16.215131739294073"/>
    <n v="1.1473606095171989"/>
    <n v="21.088664620715434"/>
    <n v="5.0157623527307438"/>
    <n v="115.72026148359168"/>
    <n v="50.002408987398283"/>
    <n v="103.61216730383696"/>
    <n v="70.402757420054058"/>
    <n v="4.3837201589140804"/>
    <n v="38.201085200774912"/>
    <n v="-2.228455315618703"/>
    <n v="13.192835409073268"/>
    <n v="193.4197661425934"/>
    <n v="53.017159341946694"/>
    <n v="18.826712301532815"/>
    <n v="12.538598233080762"/>
    <n v="-15.306652901755115"/>
    <n v="7.5685228587348092"/>
    <n v="94.822286375076089"/>
    <n v="15.870076084755325"/>
    <n v="13.012946290338711"/>
    <n v="34.893067074139303"/>
    <n v="78.986251912063324"/>
    <n v="672.49993842238837"/>
    <n v="12.442810296589595"/>
    <n v="46.862682803793049"/>
    <n v="13.54697895236384"/>
    <n v="70.675769192431289"/>
    <n v="95.472223237345261"/>
    <n v="19.750303421022213"/>
    <n v="-1.1473107436089798"/>
    <n v="136.35870883325219"/>
    <n v="26.919574210004157"/>
    <n v="4.4423112732202368"/>
    <n v="86.245407605503999"/>
    <n v="271.46107782531124"/>
    <n v="-23.009085619612833"/>
    <n v="-68.53774863082964"/>
    <n v="83.364148473088335"/>
    <n v="577.25502048932822"/>
    <n v="758.56075423437733"/>
    <n v="7.7228787073192855"/>
    <n v="12.431624140880411"/>
    <n v="1193.2138713869608"/>
    <n v="3.0674153110354396"/>
    <n v="48.084062043453329"/>
    <n v="228.81848736811747"/>
    <n v="13.659381969224881"/>
    <n v="-52.326115156646765"/>
    <n v="101.16876292785662"/>
    <n v="12.781162995834791"/>
    <n v="383.3270592590552"/>
    <n v="37.994132892472294"/>
    <n v="33.392557485720744"/>
    <n v="-4.7667233805870524"/>
    <n v="34.532242800672265"/>
    <n v="6.8035614172504424"/>
    <n v="-4.057701672892037"/>
    <n v="80.412922677074675"/>
    <n v="-14.541031635381373"/>
    <n v="852.79899254453903"/>
    <n v="57.694984800216218"/>
    <n v="3.2483869183977276E-2"/>
    <n v="-25.250245548700832"/>
    <n v="-3.7620208566241047"/>
    <n v="37.335295343770099"/>
    <n v="26.914284431817507"/>
    <n v="-4.3949931836459655"/>
    <n v="218.93147255865256"/>
    <n v="-1.5916532075575276"/>
    <n v="13.079001854303883"/>
    <n v="128.1385396077373"/>
    <n v="55.279462742471196"/>
    <n v="74.12156995274708"/>
    <n v="137.29050679250645"/>
    <n v="1711.4857675525436"/>
    <n v="-113.81717085302535"/>
    <n v="-489.26668379794955"/>
    <n v="-139.72889773048377"/>
    <n v="-126.77046048181342"/>
    <n v="-188.41098638691784"/>
    <n v="-6.8614022501043337"/>
    <n v="198.39730069023744"/>
    <n v="-31.505047292909921"/>
    <n v="10.31392532936556"/>
    <n v="-120.75314629815601"/>
    <n v="102.90195649573656"/>
    <n v="341.97006752074503"/>
    <n v="176.39398625753529"/>
    <n v="23.331686749911981"/>
    <n v="2508.7423975488509"/>
    <n v="-23.82983594493129"/>
    <n v="10.328412003969746"/>
    <n v="105.61741504690372"/>
    <n v="-68.566687695225355"/>
    <n v="163.19800742813214"/>
    <n v="166.25717257556835"/>
    <n v="47.832014388868629"/>
    <n v="60.323481365572661"/>
    <n v="23.525295392350216"/>
    <n v="454.78645954693093"/>
    <n v="187.83116986536538"/>
    <n v="188.95169841382608"/>
    <n v="53.473939678112927"/>
    <n v="258.63153199282874"/>
    <n v="226.2369186786143"/>
    <n v="104.028120941368"/>
    <n v="276.18971089957506"/>
    <n v="234.79253776540941"/>
    <n v="52.781814148184736"/>
    <n v="13.956767548184359"/>
    <n v="650.25694344328394"/>
    <n v="50.646643484398794"/>
    <n v="135.62807706626904"/>
    <n v="2.0759923062686809"/>
    <n v="85.65629969184431"/>
    <n v="-5.052031743005557"/>
    <n v="-1.7985608566285123"/>
    <n v="82.055581442396203"/>
    <n v="21.004996610651489"/>
    <n v="-61.588102947458395"/>
    <n v="63.408912961434339"/>
    <n v="35.559536005210617"/>
    <n v="-1.9788856089255731"/>
    <n v="-4.3273077385705534"/>
    <n v="115.13082034536546"/>
    <n v="-12.44117892227942"/>
    <n v="18.596934690954185"/>
    <n v="133.41934388424238"/>
    <n v="15295.070664551966"/>
  </r>
  <r>
    <x v="19"/>
    <n v="-29.124944411214756"/>
    <n v="8.9454439082027761"/>
    <n v="-3.2456547713452046"/>
    <n v="-1.8768658343192612"/>
    <n v="0.95617309760641112"/>
    <n v="1.7827711756735418"/>
    <n v="198.34705843843778"/>
    <n v="0.54823528914505193"/>
    <n v="15.520861975324728"/>
    <n v="1.1251460826991817"/>
    <n v="19.339354505744993"/>
    <n v="4.982910517078821"/>
    <n v="106.5933267325463"/>
    <n v="47.502733602711317"/>
    <n v="107.40747907637876"/>
    <n v="68.233470128653096"/>
    <n v="4.5303751219768573"/>
    <n v="35.713834217326195"/>
    <n v="-2.2645267227509578"/>
    <n v="16.295566160281624"/>
    <n v="185.50070831779135"/>
    <n v="49.454655036700785"/>
    <n v="18.051127376368598"/>
    <n v="13.144662385712031"/>
    <n v="-13.72893258609065"/>
    <n v="7.0864343072494194"/>
    <n v="95.557677464827975"/>
    <n v="16.69074469563224"/>
    <n v="13.144386110342921"/>
    <n v="35.305486964978186"/>
    <n v="76.755380282429385"/>
    <n v="641.32693105460476"/>
    <n v="12.156179508100891"/>
    <n v="43.558600894030356"/>
    <n v="13.099893989668139"/>
    <n v="70.017995546074815"/>
    <n v="92.104532929990171"/>
    <n v="19.249304812766034"/>
    <n v="-1.1145436905497412"/>
    <n v="119.80046742491106"/>
    <n v="26.535205734550694"/>
    <n v="4.3213901000410795"/>
    <n v="85.132673619994577"/>
    <n v="251.55661377680372"/>
    <n v="-25.166499005510886"/>
    <n v="-65.660826197410159"/>
    <n v="77.338975528467643"/>
    <n v="518.86091737982645"/>
    <n v="720.19393171534239"/>
    <n v="7.861650259006228"/>
    <n v="12.597503530065589"/>
    <n v="1082.6388980600116"/>
    <n v="2.3391486045776162"/>
    <n v="45.328673207694365"/>
    <n v="218.75775930531023"/>
    <n v="18.607428355358365"/>
    <n v="-38.149060629190288"/>
    <n v="98.70632474852647"/>
    <n v="13.108290534828839"/>
    <n v="361.57840841762209"/>
    <n v="38.114935633438279"/>
    <n v="40.996395311254986"/>
    <n v="3.8729556135581049"/>
    <n v="36.050124784726961"/>
    <n v="6.6004872521295326"/>
    <n v="-2.5401834500274134"/>
    <n v="135.82829594772375"/>
    <n v="-12.393374292253839"/>
    <n v="810.01723980132101"/>
    <n v="53.016640590059581"/>
    <n v="12.505466971741612"/>
    <n v="24.058889819839351"/>
    <n v="-1.3914157173016122"/>
    <n v="50.976631688126986"/>
    <n v="29.68950932193853"/>
    <n v="12.074923933983882"/>
    <n v="203.25917301210234"/>
    <n v="2.4102978284900018"/>
    <n v="13.761690844438903"/>
    <n v="132.80050942236647"/>
    <n v="53.246022533719042"/>
    <n v="70.619409776613537"/>
    <n v="130.44401499024718"/>
    <n v="1645.3557509512402"/>
    <n v="-59.048797054477518"/>
    <n v="-351.85821761841407"/>
    <n v="-97.516367702836078"/>
    <n v="-91.950116994293808"/>
    <n v="-151.40359670634138"/>
    <n v="17.946903300686813"/>
    <n v="225.3220925846399"/>
    <n v="-15.817040820215709"/>
    <n v="16.153455179388118"/>
    <n v="-104.17990658472588"/>
    <n v="99.139182971691184"/>
    <n v="330.16428925830178"/>
    <n v="158.17992487980155"/>
    <n v="21.589405001123438"/>
    <n v="2363.7164968901379"/>
    <n v="1.4617739142347546"/>
    <n v="12.886575800782865"/>
    <n v="120.91771746337645"/>
    <n v="-55.694449820038344"/>
    <n v="162.40829743427446"/>
    <n v="171.29357430737548"/>
    <n v="49.421510497243531"/>
    <n v="59.467787180149202"/>
    <n v="24.736965130490589"/>
    <n v="448.0223879027958"/>
    <n v="174.78936982551863"/>
    <n v="187.02650886816855"/>
    <n v="46.071990898109334"/>
    <n v="255.78462950699259"/>
    <n v="220.84877388369091"/>
    <n v="106.35800140292258"/>
    <n v="272.7884597701468"/>
    <n v="212.00975998999479"/>
    <n v="52.672593806794509"/>
    <n v="38.819248738545809"/>
    <n v="639.67700241653984"/>
    <n v="45.048493914945311"/>
    <n v="129.66362944608477"/>
    <n v="2.7101339637918613"/>
    <n v="87.409720945843901"/>
    <n v="1.4189431870983071"/>
    <n v="10.944581384768753"/>
    <n v="80.060566291425232"/>
    <n v="20.07531375495482"/>
    <n v="-47.758283087132654"/>
    <n v="63.811997136745504"/>
    <n v="35.191809120309074"/>
    <n v="-1.0298036935966763"/>
    <n v="-2.4726081146719423"/>
    <n v="154.16263985534397"/>
    <n v="-1.8984464329667219"/>
    <n v="40.435189258065066"/>
    <n v="131.96609097559872"/>
    <n v="15326.282394140268"/>
  </r>
  <r>
    <x v="20"/>
    <n v="-30.065535859498027"/>
    <n v="11.631266082337902"/>
    <n v="-2.3989789815180345"/>
    <n v="-0.36749422037749468"/>
    <n v="0.92919598741870746"/>
    <n v="1.8193741961130434"/>
    <n v="182.38434818851181"/>
    <n v="0.51316994709701813"/>
    <n v="15.763187153141381"/>
    <n v="1.1115550031767865"/>
    <n v="18.705833096263888"/>
    <n v="4.975466154640749"/>
    <n v="100.92546678761289"/>
    <n v="45.297024771482569"/>
    <n v="109.32887147254358"/>
    <n v="69.906743882937405"/>
    <n v="4.5617680660331477"/>
    <n v="34.933541036848993"/>
    <n v="-2.2714161021632719"/>
    <n v="16.95005265575108"/>
    <n v="180.25769529084187"/>
    <n v="46.679177276030401"/>
    <n v="17.127909206619151"/>
    <n v="13.688786659226515"/>
    <n v="-13.393385392088419"/>
    <n v="7.0155397788813332"/>
    <n v="96.972038077634068"/>
    <n v="16.450628260766102"/>
    <n v="12.422625237660384"/>
    <n v="35.071068534848806"/>
    <n v="75.358956843895712"/>
    <n v="634.58650975660044"/>
    <n v="11.67686650979541"/>
    <n v="42.317373107794523"/>
    <n v="12.778476983199702"/>
    <n v="68.813226237011236"/>
    <n v="89.05779338158095"/>
    <n v="18.833140703803991"/>
    <n v="-1.1651395871313355"/>
    <n v="113.08717304875529"/>
    <n v="26.017529408915607"/>
    <n v="4.0839258414044028"/>
    <n v="84.046476219501599"/>
    <n v="241.47649545231258"/>
    <n v="-27.500117841993188"/>
    <n v="-67.902363927239094"/>
    <n v="72.946600181608346"/>
    <n v="489.58799057774911"/>
    <n v="696.28346789211855"/>
    <n v="8.0021762802731597"/>
    <n v="11.982833424558276"/>
    <n v="1032.862276713955"/>
    <n v="1.6249180004053017"/>
    <n v="44.798079091271447"/>
    <n v="210.92516341233608"/>
    <n v="18.076099504127939"/>
    <n v="-29.334367092365653"/>
    <n v="95.324891266931502"/>
    <n v="12.302054864810984"/>
    <n v="335.392189724731"/>
    <n v="36.287634715443403"/>
    <n v="43.741181068166071"/>
    <n v="8.8950160465578278"/>
    <n v="38.008559946891296"/>
    <n v="8.7619347613467085"/>
    <n v="-0.74215126609294657"/>
    <n v="167.65485207069173"/>
    <n v="-10.5872875329392"/>
    <n v="751.73446354027146"/>
    <n v="49.522144983777935"/>
    <n v="19.668074187269042"/>
    <n v="34.185263220038905"/>
    <n v="2.7743687707419724"/>
    <n v="62.705766878322606"/>
    <n v="30.239009552962543"/>
    <n v="17.368440505455993"/>
    <n v="189.01890567110399"/>
    <n v="6.1963596989564849"/>
    <n v="14.414528601476235"/>
    <n v="132.83578706517636"/>
    <n v="52.228906650690789"/>
    <n v="69.3228211406512"/>
    <n v="125.74032105196943"/>
    <n v="1625.4030923934652"/>
    <n v="-20.906064546265156"/>
    <n v="-238.82786070770794"/>
    <n v="-68.410328146365885"/>
    <n v="-57.159407648069873"/>
    <n v="-104.62161765704263"/>
    <n v="36.163493966214446"/>
    <n v="230.41122571592905"/>
    <n v="-3.8648230679476683"/>
    <n v="19.395221843061222"/>
    <n v="-84.561169361896418"/>
    <n v="96.75540017022405"/>
    <n v="308.00405233683659"/>
    <n v="143.4013526934616"/>
    <n v="21.408094010569499"/>
    <n v="2189.0124693856815"/>
    <n v="10.19500583422672"/>
    <n v="14.208274798148025"/>
    <n v="125.91584201342357"/>
    <n v="-40.901491229206243"/>
    <n v="159.76104028346856"/>
    <n v="169.24105987679047"/>
    <n v="49.141088022370042"/>
    <n v="56.575287398746568"/>
    <n v="25.538821548873827"/>
    <n v="421.42222839682245"/>
    <n v="163.14116842633132"/>
    <n v="173.66784790119164"/>
    <n v="41.06871300274706"/>
    <n v="237.83802313190131"/>
    <n v="210.75401816896033"/>
    <n v="103.39072675802254"/>
    <n v="257.50085675174591"/>
    <n v="199.97702045709161"/>
    <n v="50.548463499890914"/>
    <n v="39.900832485606827"/>
    <n v="605.03141306320549"/>
    <n v="38.099015517161376"/>
    <n v="123.43151757388989"/>
    <n v="2.9934664020136594"/>
    <n v="88.010343774346666"/>
    <n v="2.7507423089316489"/>
    <n v="16.520536689847916"/>
    <n v="75.215479944757931"/>
    <n v="18.923602546059442"/>
    <n v="-36.309478794840473"/>
    <n v="65.250307096221263"/>
    <n v="33.406891253946384"/>
    <n v="-0.5048083702496271"/>
    <n v="-1.6311368826370369"/>
    <n v="173.7780789027579"/>
    <n v="2.1241333537085438"/>
    <n v="51.539127802258008"/>
    <n v="132.36307226772124"/>
    <n v="15124.721382914822"/>
  </r>
  <r>
    <x v="21"/>
    <n v="-32.584258429610372"/>
    <n v="9.7348598700297089"/>
    <n v="-1.8355320872788603"/>
    <n v="-0.9505292394993603"/>
    <n v="0.94059779355622775"/>
    <n v="1.8144100624321138"/>
    <n v="159.33619250296158"/>
    <n v="0.49977051582515486"/>
    <n v="14.692858956619247"/>
    <n v="1.0217846607404093"/>
    <n v="17.075102432415846"/>
    <n v="4.6654538380714232"/>
    <n v="86.707123958345278"/>
    <n v="41.008081110526831"/>
    <n v="106.9875018938894"/>
    <n v="64.997900180802958"/>
    <n v="4.5386437613797277"/>
    <n v="31.957779766666533"/>
    <n v="-3.7097572025473937"/>
    <n v="16.201843921848649"/>
    <n v="170.6048148138309"/>
    <n v="42.382598697420832"/>
    <n v="16.100696412487231"/>
    <n v="11.28954813849068"/>
    <n v="-15.083702426468108"/>
    <n v="6.6308742979820323"/>
    <n v="94.366386507247739"/>
    <n v="16.061634125251246"/>
    <n v="11.503052185572081"/>
    <n v="34.560701255377069"/>
    <n v="72.300399427555107"/>
    <n v="604.93757883596277"/>
    <n v="11.05421256087773"/>
    <n v="42.27783668264987"/>
    <n v="11.879868663514138"/>
    <n v="67.251193196658221"/>
    <n v="86.824173750004007"/>
    <n v="18.151491322368102"/>
    <n v="-1.221372760320218"/>
    <n v="101.06369115074182"/>
    <n v="24.814739238344274"/>
    <n v="3.9213467443754375"/>
    <n v="81.343845744975752"/>
    <n v="228.88387089644925"/>
    <n v="-29.470108851580292"/>
    <n v="-76.610998930658752"/>
    <n v="67.070581926297848"/>
    <n v="464.39369132077707"/>
    <n v="650.5821847604866"/>
    <n v="8.0100064949368246"/>
    <n v="12.20902858944577"/>
    <n v="977.01517313244506"/>
    <n v="1.0522083971743506"/>
    <n v="43.147512901726685"/>
    <n v="201.26217710500879"/>
    <n v="15.307780168456134"/>
    <n v="-27.186276420978686"/>
    <n v="87.528839654524461"/>
    <n v="10.751486459278681"/>
    <n v="296.29755214087618"/>
    <n v="32.1855613727638"/>
    <n v="39.554882932196278"/>
    <n v="9.3343980513431575"/>
    <n v="36.305518242444919"/>
    <n v="10.439349136722349"/>
    <n v="8.2929601653589202E-2"/>
    <n v="163.53779075328839"/>
    <n v="-9.9043543361792103"/>
    <n v="656.55631344375342"/>
    <n v="40.16612767384737"/>
    <n v="18.660076047923781"/>
    <n v="16.072824798117949"/>
    <n v="4.0697326029431906"/>
    <n v="69.506701568336894"/>
    <n v="30.30186588831711"/>
    <n v="17.947406317875505"/>
    <n v="165.1834257099456"/>
    <n v="6.9703618897965782"/>
    <n v="13.748755895791305"/>
    <n v="129.19474518960249"/>
    <n v="48.889975665362698"/>
    <n v="64.955668840214031"/>
    <n v="115.33959426667479"/>
    <n v="1524.2204319026505"/>
    <n v="-25.159614385250507"/>
    <n v="-194.51317314133462"/>
    <n v="-71.515786318436199"/>
    <n v="-57.905506097286093"/>
    <n v="-76.660588197735251"/>
    <n v="32.236827295209309"/>
    <n v="191.0315033758302"/>
    <n v="-6.4040204949980648"/>
    <n v="19.192718665024302"/>
    <n v="-77.368184605432333"/>
    <n v="90.691174232994854"/>
    <n v="267.08143035006651"/>
    <n v="116.16936394862478"/>
    <n v="19.428097127036082"/>
    <n v="1884.8007762103953"/>
    <n v="8.621314537433534"/>
    <n v="14.618609321005053"/>
    <n v="110.43323790436625"/>
    <n v="-32.271319611688668"/>
    <n v="152.79778168526747"/>
    <n v="160.15864228480052"/>
    <n v="46.481620889976398"/>
    <n v="52.044722963940558"/>
    <n v="24.298249824646732"/>
    <n v="369.33168040373403"/>
    <n v="141.11423399657633"/>
    <n v="147.06901592983922"/>
    <n v="30.872896684509215"/>
    <n v="204.87102458039726"/>
    <n v="194.70161878849103"/>
    <n v="92.806757812288765"/>
    <n v="238.26760934555682"/>
    <n v="158.29605429439835"/>
    <n v="46.008461449436652"/>
    <n v="30.640262766043293"/>
    <n v="549.80593987817338"/>
    <n v="30.764772080158764"/>
    <n v="113.04063424857679"/>
    <n v="2.7472292661119297"/>
    <n v="80.232100114920058"/>
    <n v="-2.7274005565516291E-2"/>
    <n v="15.845768511453883"/>
    <n v="67.555087052669137"/>
    <n v="17.358389775650437"/>
    <n v="-33.036000365953456"/>
    <n v="56.308304192873265"/>
    <n v="27.49366133650642"/>
    <n v="-0.52217700818424362"/>
    <n v="-1.7656485869653977"/>
    <n v="155.85316002309173"/>
    <n v="2.4913368312229522"/>
    <n v="44.057331456573593"/>
    <n v="111.61979514587119"/>
    <n v="13711.770133795038"/>
  </r>
  <r>
    <x v="22"/>
    <n v="-35.035844437615651"/>
    <n v="9.0358247722588771"/>
    <n v="-1.4928623721610244"/>
    <n v="-0.51488138758222135"/>
    <n v="0.97503783576647285"/>
    <n v="1.8137039056450543"/>
    <n v="144.06679223516835"/>
    <n v="0.48451127928632864"/>
    <n v="14.76106070519225"/>
    <n v="0.98522377976395692"/>
    <n v="16.847556204556668"/>
    <n v="4.4429544948229864"/>
    <n v="78.445326762019249"/>
    <n v="38.544429910282631"/>
    <n v="104.47070555131667"/>
    <n v="63.718163662686493"/>
    <n v="4.5142690084920734"/>
    <n v="30.879625293948948"/>
    <n v="-4.6369447200756895"/>
    <n v="15.180891530526054"/>
    <n v="164.25383538994538"/>
    <n v="39.973583384820159"/>
    <n v="15.223475337112575"/>
    <n v="10.111490801791533"/>
    <n v="-15.959485570637881"/>
    <n v="6.2323101542916532"/>
    <n v="93.029747697048037"/>
    <n v="15.388430127630627"/>
    <n v="10.632210035822432"/>
    <n v="35.118904530884507"/>
    <n v="69.728035731494174"/>
    <n v="581.49889872268341"/>
    <n v="10.747314927549567"/>
    <n v="45.388827954718259"/>
    <n v="11.322937376622008"/>
    <n v="65.32488920217645"/>
    <n v="86.794829110106065"/>
    <n v="17.673178734974645"/>
    <n v="-1.2280011560825912"/>
    <n v="95.491910133384522"/>
    <n v="24.17607843998303"/>
    <n v="3.7490822134768198"/>
    <n v="80.085505950014692"/>
    <n v="226.99754296792764"/>
    <n v="-30.891338476571704"/>
    <n v="-82.103340489792231"/>
    <n v="62.83933622121333"/>
    <n v="450.26691511776312"/>
    <n v="612.85792158396953"/>
    <n v="8.0812178921215576"/>
    <n v="12.058482225519811"/>
    <n v="931.60615552364698"/>
    <n v="0.52421459077217847"/>
    <n v="41.722610855233896"/>
    <n v="192.28586201403522"/>
    <n v="14.62490218644399"/>
    <n v="-29.372845221946065"/>
    <n v="81.905902057796595"/>
    <n v="9.4253855095045367"/>
    <n v="270.87999607159782"/>
    <n v="29.248163275292484"/>
    <n v="33.649015143287045"/>
    <n v="8.469537718547457"/>
    <n v="35.566896394274465"/>
    <n v="13.100983219618108"/>
    <n v="0.94612389620036197"/>
    <n v="153.14377153657711"/>
    <n v="-8.4863034485306059"/>
    <n v="581.62735904840156"/>
    <n v="32.938060293592002"/>
    <n v="19.242807596801754"/>
    <n v="-1.6388626686361931"/>
    <n v="4.9112889072411861"/>
    <n v="71.159435297543268"/>
    <n v="27.790721232120376"/>
    <n v="10.429448813700105"/>
    <n v="149.28081496288564"/>
    <n v="7.8051484561335087"/>
    <n v="13.897926351447879"/>
    <n v="121.97607471088162"/>
    <n v="46.605072294636557"/>
    <n v="63.213239612771559"/>
    <n v="106.24423537703069"/>
    <n v="1439.4043266920016"/>
    <n v="-31.625503688766571"/>
    <n v="-152.87164589407939"/>
    <n v="-67.042921598672876"/>
    <n v="-47.63660412306001"/>
    <n v="-48.289748789336954"/>
    <n v="34.000590607752088"/>
    <n v="165.46689051211024"/>
    <n v="-9.1170954984711443"/>
    <n v="17.333219267584724"/>
    <n v="-68.827082368538328"/>
    <n v="90.106677664939411"/>
    <n v="238.14665885945897"/>
    <n v="101.88565742707169"/>
    <n v="18.802415631811982"/>
    <n v="1659.3619265319394"/>
    <n v="6.5348559885833311"/>
    <n v="14.268809021720898"/>
    <n v="102.75416087928738"/>
    <n v="-26.643104692583705"/>
    <n v="146.73954834798695"/>
    <n v="152.20772475269655"/>
    <n v="44.444861348740233"/>
    <n v="49.625868348540777"/>
    <n v="23.497943868515634"/>
    <n v="333.40831030105073"/>
    <n v="134.23964608275128"/>
    <n v="127.05772681999224"/>
    <n v="31.351351411354358"/>
    <n v="186.17216084424831"/>
    <n v="183.88679515571766"/>
    <n v="87.168364153870698"/>
    <n v="223.66730062110787"/>
    <n v="145.44321987216267"/>
    <n v="43.476054634798032"/>
    <n v="13.117322530677143"/>
    <n v="509.96305340601612"/>
    <n v="26.473552748032603"/>
    <n v="106.58048673287567"/>
    <n v="2.5829321946630941"/>
    <n v="76.359943708141145"/>
    <n v="-1.2070622388710035"/>
    <n v="15.379141144210053"/>
    <n v="68.226354953354871"/>
    <n v="17.474549722884177"/>
    <n v="-30.322517623897738"/>
    <n v="52.797892748820914"/>
    <n v="26.422672188916522"/>
    <n v="-0.61461412679228999"/>
    <n v="-2.1415348472082343"/>
    <n v="147.82675688104337"/>
    <n v="2.434100471241436"/>
    <n v="38.95499943480138"/>
    <n v="99.456162090295265"/>
    <n v="12765.23696300866"/>
  </r>
  <r>
    <x v="23"/>
    <n v="-40.066001262085479"/>
    <n v="4.0614644174172554"/>
    <n v="-1.6112445315717814"/>
    <n v="-2.0923951373765703"/>
    <n v="0.91177418009415556"/>
    <n v="1.7771944187804971"/>
    <n v="119.14303280553167"/>
    <n v="0.42367635512293145"/>
    <n v="13.929391816095659"/>
    <n v="0.89522906105346589"/>
    <n v="15.719567689121959"/>
    <n v="4.0402820765184408"/>
    <n v="63.494663477565382"/>
    <n v="35.012250210933729"/>
    <n v="98.970707343042093"/>
    <n v="55.287454321581492"/>
    <n v="4.3439251550731282"/>
    <n v="28.417486874230292"/>
    <n v="-6.9977356738915546"/>
    <n v="11.950051609347014"/>
    <n v="152.93327359851435"/>
    <n v="36.296117416313393"/>
    <n v="14.162698817775464"/>
    <n v="7.7596506659906339"/>
    <n v="-17.64438224103796"/>
    <n v="5.7557788448107203"/>
    <n v="86.864880610340435"/>
    <n v="14.336909771188587"/>
    <n v="9.572640798174902"/>
    <n v="34.197624903420675"/>
    <n v="66.649357499597713"/>
    <n v="551.27976872794488"/>
    <n v="10.220637957193574"/>
    <n v="47.334840821564228"/>
    <n v="10.626951302941556"/>
    <n v="62.81973180328734"/>
    <n v="84.802851510439666"/>
    <n v="16.964055121006972"/>
    <n v="-1.3283024700018231"/>
    <n v="86.894178422689151"/>
    <n v="23.051036255958977"/>
    <n v="3.5773421283731137"/>
    <n v="76.760364998513722"/>
    <n v="219.62024803166565"/>
    <n v="-32.193285683536089"/>
    <n v="-85.802780208912679"/>
    <n v="57.665123808045507"/>
    <n v="443.66214348214135"/>
    <n v="562.72462014533357"/>
    <n v="8.009823794303415"/>
    <n v="11.895914672426796"/>
    <n v="901.11039210434842"/>
    <n v="0.14609947836586912"/>
    <n v="40.199127427994455"/>
    <n v="182.38997245734697"/>
    <n v="9.5943186103176856"/>
    <n v="-34.178273365230154"/>
    <n v="73.158401275036908"/>
    <n v="7.386174565920939"/>
    <n v="227.09027270056868"/>
    <n v="22.860368162345708"/>
    <n v="21.865339598638741"/>
    <n v="2.9632126462516339"/>
    <n v="30.139252488790589"/>
    <n v="14.250558727561838"/>
    <n v="-8.2661999589049628E-2"/>
    <n v="107.40702137776361"/>
    <n v="-10.118198853133791"/>
    <n v="475.19958365527418"/>
    <n v="21.734037324257145"/>
    <n v="6.5155102173325758"/>
    <n v="-35.902868610509358"/>
    <n v="2.4209151019659885"/>
    <n v="59.828350344256933"/>
    <n v="24.123481988930124"/>
    <n v="-2.1125818752149144"/>
    <n v="124.30105520791017"/>
    <n v="4.8839963684633574"/>
    <n v="12.412187190935157"/>
    <n v="109.4137689196001"/>
    <n v="42.184803569864698"/>
    <n v="58.968480483558665"/>
    <n v="94.418744069386662"/>
    <n v="1313.6073307176503"/>
    <n v="-77.613868959431329"/>
    <n v="-209.1761888702373"/>
    <n v="-94.315748771377287"/>
    <n v="-74.17690913217325"/>
    <n v="-54.49652964014382"/>
    <n v="7.3177136139933054"/>
    <n v="97.209897334922061"/>
    <n v="-23.527605738544992"/>
    <n v="12.208355685888904"/>
    <n v="-74.665942521249079"/>
    <n v="83.240492243564347"/>
    <n v="192.97304596613139"/>
    <n v="78.327096729432014"/>
    <n v="17.133889776498805"/>
    <n v="1338.2357450190684"/>
    <n v="-9.3042877148297407"/>
    <n v="12.462527236489677"/>
    <n v="73.674073401132091"/>
    <n v="-29.378988135068411"/>
    <n v="138.26081804319625"/>
    <n v="137.41397401846586"/>
    <n v="40.26544627971748"/>
    <n v="46.090191517914676"/>
    <n v="21.302024276575693"/>
    <n v="272.80811290509291"/>
    <n v="118.72426184143694"/>
    <n v="100.26718600958998"/>
    <n v="27.315791566418483"/>
    <n v="153.96190477698383"/>
    <n v="166.85636075560024"/>
    <n v="74.186895904601897"/>
    <n v="204.01169998835837"/>
    <n v="117.66938432930306"/>
    <n v="39.144055553487306"/>
    <n v="-5.6504014271087613"/>
    <n v="446.88416732184305"/>
    <n v="23.481074696364232"/>
    <n v="99.488260617412379"/>
    <n v="1.7002255811486862"/>
    <n v="65.710945127000173"/>
    <n v="-7.4513274559225238"/>
    <n v="6.972272205863959"/>
    <n v="59.10854143078916"/>
    <n v="16.122787908628595"/>
    <n v="-35.306645235018976"/>
    <n v="41.375556497155912"/>
    <n v="21.377655108206"/>
    <n v="-1.2851648283842749"/>
    <n v="-3.6809218542931887"/>
    <n v="106.25043956969739"/>
    <n v="-2.7064702437716051"/>
    <n v="17.962829407027357"/>
    <n v="71.752840720635277"/>
    <n v="10731.770303028097"/>
  </r>
  <r>
    <x v="24"/>
    <n v="-44.317176648621285"/>
    <n v="-6.2307132622720474E-2"/>
    <n v="-1.9069469512450752"/>
    <n v="-3.5001372948743779"/>
    <n v="0.92866967358182106"/>
    <n v="1.7526198056393691"/>
    <n v="100.32245840105861"/>
    <n v="0.40001789130704157"/>
    <n v="13.418119513842782"/>
    <n v="0.8382149614756873"/>
    <n v="14.894793236341087"/>
    <n v="3.6875887652616339"/>
    <n v="50.817802335243982"/>
    <n v="32.594952294627035"/>
    <n v="94.154475299117237"/>
    <n v="46.740722971696698"/>
    <n v="4.1897774158630261"/>
    <n v="26.369041793030675"/>
    <n v="-9.2131327784855443"/>
    <n v="9.3590598835189382"/>
    <n v="142.17324366795413"/>
    <n v="33.381956333284194"/>
    <n v="13.23816128206515"/>
    <n v="6.2156127081333636"/>
    <n v="-18.42911232330421"/>
    <n v="5.0877792197813889"/>
    <n v="80.644741212532608"/>
    <n v="13.456386704147249"/>
    <n v="8.9185478145166357"/>
    <n v="33.805869105544659"/>
    <n v="63.506865680004537"/>
    <n v="515.1094211719801"/>
    <n v="9.9295806981122396"/>
    <n v="49.538362104498439"/>
    <n v="10.107037802424273"/>
    <n v="60.158020431008424"/>
    <n v="83.312390005368485"/>
    <n v="16.324968170757266"/>
    <n v="-1.3902531258641027"/>
    <n v="77.754378997681101"/>
    <n v="22.322317399239935"/>
    <n v="3.4364490147236086"/>
    <n v="74.157410341471319"/>
    <n v="214.06905165289999"/>
    <n v="-33.084741862293342"/>
    <n v="-84.676135839385239"/>
    <n v="52.790170096365273"/>
    <n v="430.31561981356919"/>
    <n v="511.00813284652804"/>
    <n v="7.915687537207992"/>
    <n v="11.766429673430046"/>
    <n v="850.01988092454428"/>
    <n v="-0.22490264172628827"/>
    <n v="38.00873472360577"/>
    <n v="171.6124449141073"/>
    <n v="7.9452122793904039"/>
    <n v="-38.921612066149237"/>
    <n v="66.280452320970426"/>
    <n v="5.9703588703333565"/>
    <n v="193.39914946228828"/>
    <n v="17.830817208330302"/>
    <n v="11.292519762052279"/>
    <n v="-2.0875289153840413"/>
    <n v="24.770626527017214"/>
    <n v="14.365963299150415"/>
    <n v="-1.4528176417205856"/>
    <n v="66.235074905415104"/>
    <n v="-11.763025991222662"/>
    <n v="386.06949980106037"/>
    <n v="11.17055296176278"/>
    <n v="-5.1420734583617786"/>
    <n v="-72.06454357927214"/>
    <n v="-1.7453577636728426"/>
    <n v="43.981129534838942"/>
    <n v="19.728431891847109"/>
    <n v="-14.63049520710544"/>
    <n v="103.50440565588792"/>
    <n v="1.7433725668664977"/>
    <n v="11.325160649783271"/>
    <n v="95.951393829375036"/>
    <n v="37.86334066670787"/>
    <n v="55.455762882069877"/>
    <n v="82.689277581298825"/>
    <n v="1179.7844153207525"/>
    <n v="-118.07310213891958"/>
    <n v="-264.02584272006288"/>
    <n v="-114.1827689239629"/>
    <n v="-95.733497166287066"/>
    <n v="-69.234718984183758"/>
    <n v="-15.266267644225422"/>
    <n v="44.021586439615021"/>
    <n v="-36.681038946249316"/>
    <n v="7.1001992766285866"/>
    <n v="-82.184910365331731"/>
    <n v="78.475969242394342"/>
    <n v="159.65147124171608"/>
    <n v="61.18496453206194"/>
    <n v="15.740377689101692"/>
    <n v="1081.8270605172547"/>
    <n v="-19.616818462065453"/>
    <n v="10.494621422484897"/>
    <n v="52.688414607047662"/>
    <n v="-35.880358124613835"/>
    <n v="131.29929110604144"/>
    <n v="126.41638301620173"/>
    <n v="37.125576962934929"/>
    <n v="44.926918835693257"/>
    <n v="19.548083023987274"/>
    <n v="231.0067712710993"/>
    <n v="112.50862022213016"/>
    <n v="83.258147434828061"/>
    <n v="29.103850622895521"/>
    <n v="137.18811828403818"/>
    <n v="155.64102270451599"/>
    <n v="66.651091398545077"/>
    <n v="191.99889940227661"/>
    <n v="104.65872607953258"/>
    <n v="36.858373237649175"/>
    <n v="-18.448732386029064"/>
    <n v="403.9723344852714"/>
    <n v="22.871552227892721"/>
    <n v="94.840088327375611"/>
    <n v="0.98699881960467906"/>
    <n v="57.965504576781427"/>
    <n v="-10.674443429726125"/>
    <n v="1.4298312715187649"/>
    <n v="54.206328064143122"/>
    <n v="15.986621742386475"/>
    <n v="-40.080078863497434"/>
    <n v="32.663954559966328"/>
    <n v="19.749488407905233"/>
    <n v="-1.8650975128707046"/>
    <n v="-5.0366002899051807"/>
    <n v="78.212995311460872"/>
    <n v="-5.6932517661370525"/>
    <n v="2.9833640556704495"/>
    <n v="48.677878171008615"/>
    <n v="9024.5425339125741"/>
  </r>
  <r>
    <x v="25"/>
    <n v="-49.436230196965653"/>
    <n v="-4.6910500998675957"/>
    <n v="-2.3879730300755533"/>
    <n v="-5.3259842557056061"/>
    <n v="0.8785804266911873"/>
    <n v="1.7257796684097759"/>
    <n v="78.748774583728277"/>
    <n v="0.34434748982596464"/>
    <n v="12.860170372670254"/>
    <n v="0.78172992595430646"/>
    <n v="13.81845546908103"/>
    <n v="3.3635732712993187"/>
    <n v="37.701352489736792"/>
    <n v="30.322242156558417"/>
    <n v="89.510858755761774"/>
    <n v="36.306776167704243"/>
    <n v="3.9618560407426191"/>
    <n v="24.247102726959838"/>
    <n v="-11.579764053306462"/>
    <n v="6.1570709144264697"/>
    <n v="129.92241094074427"/>
    <n v="30.236099743903083"/>
    <n v="12.231104057882391"/>
    <n v="5.1016485799164855"/>
    <n v="-18.805295718193776"/>
    <n v="4.4758674057999457"/>
    <n v="72.936089045666165"/>
    <n v="12.422418088059558"/>
    <n v="8.251141271542437"/>
    <n v="32.408523818572007"/>
    <n v="60.70824369092081"/>
    <n v="483.81543685425822"/>
    <n v="9.5538363540209659"/>
    <n v="49.598655849861089"/>
    <n v="9.7549015169346447"/>
    <n v="57.295036083438674"/>
    <n v="79.807605889854756"/>
    <n v="15.641300157821462"/>
    <n v="-1.5082281586213995"/>
    <n v="68.219327559159524"/>
    <n v="21.565412473069436"/>
    <n v="3.2678770445943588"/>
    <n v="70.891913477480912"/>
    <n v="205.37382635544151"/>
    <n v="-34.037064020275807"/>
    <n v="-79.157176293048821"/>
    <n v="47.925620350644351"/>
    <n v="419.16041592412336"/>
    <n v="460.66394393234896"/>
    <n v="7.7842102232513639"/>
    <n v="11.281095632119872"/>
    <n v="810.84580580600164"/>
    <n v="-0.56372609800688878"/>
    <n v="36.267150114172267"/>
    <n v="161.14970924747382"/>
    <n v="5.0117749450992619"/>
    <n v="-41.672468162388171"/>
    <n v="59.519614736278413"/>
    <n v="4.5405658619336293"/>
    <n v="154.35122748569484"/>
    <n v="11.806525911336053"/>
    <n v="0.85643366936761822"/>
    <n v="-7.6885855729556738"/>
    <n v="17.998892076046047"/>
    <n v="13.279957264504887"/>
    <n v="-3.5861790918273755"/>
    <n v="22.420239234443898"/>
    <n v="-14.79008909183527"/>
    <n v="295.15691592975327"/>
    <n v="0.76973064642544387"/>
    <n v="-20.799340638658748"/>
    <n v="-115.96534572435803"/>
    <n v="-6.8961972389180346"/>
    <n v="22.711765154674822"/>
    <n v="15.325746340215829"/>
    <n v="-26.093444099239406"/>
    <n v="81.149051116902228"/>
    <n v="-2.466148483843341"/>
    <n v="9.795213572623382"/>
    <n v="81.179467632247224"/>
    <n v="33.110578429496314"/>
    <n v="51.56329614208866"/>
    <n v="71.777518723106368"/>
    <n v="1055.0366496967245"/>
    <n v="-159.9689636682906"/>
    <n v="-344.9105722026211"/>
    <n v="-138.25016973222694"/>
    <n v="-124.68026873189672"/>
    <n v="-98.320585578744101"/>
    <n v="-45.283804283359245"/>
    <n v="-14.907779084124286"/>
    <n v="-49.892651242430276"/>
    <n v="1.9051005029451744"/>
    <n v="-92.932418118127828"/>
    <n v="71.403685108163018"/>
    <n v="125.59508495236105"/>
    <n v="43.45936749614043"/>
    <n v="14.428966112368059"/>
    <n v="828.74112177258576"/>
    <n v="-33.030474258596143"/>
    <n v="8.1879570199619565"/>
    <n v="28.571449299522328"/>
    <n v="-44.776347593443944"/>
    <n v="124.9689201419136"/>
    <n v="115.15721596735636"/>
    <n v="33.866946506106842"/>
    <n v="43.987757665630653"/>
    <n v="17.854056319080343"/>
    <n v="186.8271853600495"/>
    <n v="105.67868997079756"/>
    <n v="69.114035599807266"/>
    <n v="30.243473626443233"/>
    <n v="119.97048780355021"/>
    <n v="143.61159939400295"/>
    <n v="58.215773941063276"/>
    <n v="179.08349000271448"/>
    <n v="95.40857457531763"/>
    <n v="34.581016962315573"/>
    <n v="-25.400660736897009"/>
    <n v="357.39936652910865"/>
    <n v="23.032092167983336"/>
    <n v="91.248781374767873"/>
    <n v="9.4668946760386063E-2"/>
    <n v="49.955450367656908"/>
    <n v="-14.747337950494682"/>
    <n v="-5.614204009873589"/>
    <n v="47.924158289938987"/>
    <n v="15.436566158535925"/>
    <n v="-45.829498433440691"/>
    <n v="23.505647309880374"/>
    <n v="18.366663327987283"/>
    <n v="-2.5423578850048401"/>
    <n v="-6.6224378099633583"/>
    <n v="46.701560398922993"/>
    <n v="-9.9039826733462633"/>
    <n v="-11.753272607122312"/>
    <n v="25.634715784071432"/>
    <n v="7209.9900126453067"/>
  </r>
  <r>
    <x v="26"/>
    <n v="-53.706615381710094"/>
    <n v="-8.6422225971275566"/>
    <n v="-2.8657228266926644"/>
    <n v="-7.2227367874573645"/>
    <n v="0.87550961150281492"/>
    <n v="1.709220618382725"/>
    <n v="59.439966694459031"/>
    <n v="0.32125168437172569"/>
    <n v="12.110248241579932"/>
    <n v="0.72961052506836843"/>
    <n v="12.426222900770597"/>
    <n v="3.0703232880102749"/>
    <n v="24.490170357213742"/>
    <n v="28.097389680100719"/>
    <n v="85.904216145657145"/>
    <n v="25.178500612873677"/>
    <n v="3.7644338999748035"/>
    <n v="21.742420509319061"/>
    <n v="-13.699343903245648"/>
    <n v="3.8493123900851742"/>
    <n v="117.15829245863085"/>
    <n v="26.973454043766395"/>
    <n v="11.271879106174239"/>
    <n v="4.216118069251948"/>
    <n v="-18.558844810881439"/>
    <n v="3.7726925752277012"/>
    <n v="65.230580035282685"/>
    <n v="11.715940581527633"/>
    <n v="7.8485382789002855"/>
    <n v="31.014905133041097"/>
    <n v="57.861120716354634"/>
    <n v="448.09288195361114"/>
    <n v="9.2374288211226627"/>
    <n v="48.08081163346489"/>
    <n v="9.4352900879710973"/>
    <n v="54.661813110953716"/>
    <n v="75.690960453425959"/>
    <n v="14.955380481361303"/>
    <n v="-1.6021703407417469"/>
    <n v="56.046402835416075"/>
    <n v="20.891019044360881"/>
    <n v="3.1281056001396994"/>
    <n v="67.677754770369717"/>
    <n v="193.42182697925648"/>
    <n v="-34.937633433264097"/>
    <n v="-71.517023927008665"/>
    <n v="42.792770756559946"/>
    <n v="399.50607239638788"/>
    <n v="408.76288728216832"/>
    <n v="7.6494797253950049"/>
    <n v="10.931461385199411"/>
    <n v="756.99914519114134"/>
    <n v="-0.90651133808625062"/>
    <n v="34.078263530480115"/>
    <n v="150.48859123348643"/>
    <n v="3.8984461828688097"/>
    <n v="-41.667010386496472"/>
    <n v="53.564475777505493"/>
    <n v="3.5743044288618364"/>
    <n v="117.95967729140648"/>
    <n v="6.6412804953325804"/>
    <n v="-6.7067707464383375"/>
    <n v="-11.616315080864467"/>
    <n v="11.317403624358747"/>
    <n v="11.228657043556488"/>
    <n v="-5.740506487287405"/>
    <n v="-7.8906754130534864"/>
    <n v="-17.629079363069252"/>
    <n v="214.08061495088259"/>
    <n v="-9.23116030480071"/>
    <n v="-33.782187005024525"/>
    <n v="-156.77271956093091"/>
    <n v="-12.334058139570516"/>
    <n v="3.0085467649029169"/>
    <n v="12.045141243600796"/>
    <n v="-32.206559839818368"/>
    <n v="59.232317541993552"/>
    <n v="-6.4196354560152713"/>
    <n v="8.3642801405052722"/>
    <n v="68.470653519790346"/>
    <n v="28.23516549047406"/>
    <n v="47.192730452941134"/>
    <n v="61.023794873210704"/>
    <n v="926.7411564345166"/>
    <n v="-190.10615768810783"/>
    <n v="-410.72909282231819"/>
    <n v="-155.03561398422218"/>
    <n v="-150.66533066011152"/>
    <n v="-129.9085430168621"/>
    <n v="-71.348638313503216"/>
    <n v="-63.1524777699683"/>
    <n v="-60.000656911524601"/>
    <n v="-1.9273268642155301"/>
    <n v="-103.27955928164013"/>
    <n v="64.229583561964034"/>
    <n v="97.160826522586376"/>
    <n v="25.910242509665295"/>
    <n v="12.81130312917027"/>
    <n v="602.90015760140159"/>
    <n v="-40.368800132235208"/>
    <n v="6.4565431778004836"/>
    <n v="9.9816707383390622"/>
    <n v="-53.521953099497281"/>
    <n v="119.82611449157224"/>
    <n v="107.21487874602713"/>
    <n v="31.478407580632279"/>
    <n v="43.878126398618292"/>
    <n v="16.50126208791086"/>
    <n v="151.72669603390977"/>
    <n v="99.150507752812359"/>
    <n v="60.448988167432844"/>
    <n v="30.75569304169376"/>
    <n v="109.08508906756879"/>
    <n v="133.64694599436712"/>
    <n v="52.075688502398862"/>
    <n v="170.17704209615465"/>
    <n v="85.494674776635748"/>
    <n v="33.126583334339244"/>
    <n v="-22.759910778380174"/>
    <n v="320.55386606836646"/>
    <n v="23.492720404400899"/>
    <n v="87.996115940500772"/>
    <n v="-0.63534608331994491"/>
    <n v="43.237527716031423"/>
    <n v="-16.753430367285318"/>
    <n v="-9.7241235013773917"/>
    <n v="43.897309505357839"/>
    <n v="15.096215649954559"/>
    <n v="-50.017802540194495"/>
    <n v="14.915279454589268"/>
    <n v="18.117547637285668"/>
    <n v="-3.037244277402074"/>
    <n v="-7.7935869196653726"/>
    <n v="24.370711064808802"/>
    <n v="-11.8173984682889"/>
    <n v="-20.428344927456578"/>
    <n v="4.478848838684371"/>
    <n v="5601.4056377423276"/>
  </r>
  <r>
    <x v="27"/>
    <n v="-57.089982368700362"/>
    <n v="-10.754985044149123"/>
    <n v="-3.2282368314857308"/>
    <n v="-8.3632794943659121"/>
    <n v="0.87113178754824194"/>
    <n v="1.7084844674861208"/>
    <n v="43.716535155011911"/>
    <n v="0.30346338821798646"/>
    <n v="11.713969583821317"/>
    <n v="0.70114043569252615"/>
    <n v="11.298142852324403"/>
    <n v="2.8910611340389751"/>
    <n v="14.311451902012436"/>
    <n v="26.48302914184589"/>
    <n v="84.043669177603661"/>
    <n v="16.584947815871487"/>
    <n v="3.6082790977529755"/>
    <n v="19.86782757034635"/>
    <n v="-15.08927753424544"/>
    <n v="2.3883317158301054"/>
    <n v="106.0584229212235"/>
    <n v="24.238146045294087"/>
    <n v="10.380933174206582"/>
    <n v="4.2791370882817006"/>
    <n v="-17.432153573381058"/>
    <n v="3.1792066977550917"/>
    <n v="59.216664803307651"/>
    <n v="11.200042763183546"/>
    <n v="7.5576153211273009"/>
    <n v="29.809654961303181"/>
    <n v="55.641850260926873"/>
    <n v="419.93622343398374"/>
    <n v="8.9928783141924313"/>
    <n v="45.654377214531884"/>
    <n v="9.3092849732596861"/>
    <n v="52.370131908792047"/>
    <n v="71.285269774105529"/>
    <n v="14.376724573582408"/>
    <n v="-1.6747440651903673"/>
    <n v="45.33838521929232"/>
    <n v="20.443059442919903"/>
    <n v="2.9790423178345939"/>
    <n v="65.054005106095886"/>
    <n v="181.69564846496087"/>
    <n v="-35.911779854107607"/>
    <n v="-62.081220824214512"/>
    <n v="38.253367973075115"/>
    <n v="378.11896559935519"/>
    <n v="365.40349422361123"/>
    <n v="7.5724382716384806"/>
    <n v="10.374189636168177"/>
    <n v="705.43024739943485"/>
    <n v="-1.2784636939389102"/>
    <n v="32.231044125676931"/>
    <n v="140.96326520241183"/>
    <n v="3.9448770094581107"/>
    <n v="-38.653724726364686"/>
    <n v="49.304776621818348"/>
    <n v="2.9900858317293455"/>
    <n v="87.007346786529979"/>
    <n v="2.6234446196173167"/>
    <n v="-10.842820885894923"/>
    <n v="-13.24826700068337"/>
    <n v="6.1009355247055055"/>
    <n v="9.402472689675669"/>
    <n v="-7.410402383139008"/>
    <n v="-19.088210248648465"/>
    <n v="-19.694394954236571"/>
    <n v="150.80662752531043"/>
    <n v="-16.785693681305474"/>
    <n v="-41.873349062274144"/>
    <n v="-182.92971825728557"/>
    <n v="-16.348834177252456"/>
    <n v="-12.502819896981123"/>
    <n v="9.6129050904877289"/>
    <n v="-34.586678040491933"/>
    <n v="40.858687924471042"/>
    <n v="-9.1081417443694193"/>
    <n v="7.4343919810482646"/>
    <n v="58.326531728953512"/>
    <n v="24.226487955624691"/>
    <n v="43.664262287609915"/>
    <n v="52.479928561254837"/>
    <n v="828.13515273684334"/>
    <n v="-201.40547363049302"/>
    <n v="-444.35057361492625"/>
    <n v="-158.15746286777744"/>
    <n v="-163.04157515513839"/>
    <n v="-153.27967544887645"/>
    <n v="-87.701444189927997"/>
    <n v="-92.173729936951077"/>
    <n v="-63.927319667309661"/>
    <n v="-4.0251064938376828"/>
    <n v="-108.42226527205237"/>
    <n v="58.640719243381966"/>
    <n v="76.921652719673148"/>
    <n v="12.727826439980163"/>
    <n v="11.679385188966847"/>
    <n v="430.85804669483696"/>
    <n v="-42.182991259296671"/>
    <n v="5.3916082952481048"/>
    <n v="0.41800716461557386"/>
    <n v="-59.170971586437069"/>
    <n v="116.50140501069643"/>
    <n v="102.76164078463137"/>
    <n v="30.227467196657273"/>
    <n v="44.35334305767185"/>
    <n v="15.936212578461408"/>
    <n v="127.51342719523745"/>
    <n v="95.417047873133697"/>
    <n v="57.313144070534236"/>
    <n v="32.159116062514784"/>
    <n v="104.39262346397254"/>
    <n v="125.91828095000801"/>
    <n v="48.840826879163387"/>
    <n v="163.54782815509191"/>
    <n v="83.777151238049782"/>
    <n v="32.595078282091492"/>
    <n v="-14.266600088637631"/>
    <n v="292.99997416744645"/>
    <n v="23.86875471930648"/>
    <n v="86.094736944212627"/>
    <n v="-1.1214648375495244"/>
    <n v="39.717177806044447"/>
    <n v="-16.823543838513103"/>
    <n v="-10.80776389285802"/>
    <n v="42.340693442690849"/>
    <n v="14.989551984780135"/>
    <n v="-50.768960700897807"/>
    <n v="9.9607433201631466"/>
    <n v="19.505709793585254"/>
    <n v="-3.2758077895454178"/>
    <n v="-8.4580468872586749"/>
    <n v="16.939913449611595"/>
    <n v="-11.816769133973196"/>
    <n v="-20.919004593670707"/>
    <n v="-8.7548669257330403"/>
    <n v="4508.2345953301692"/>
  </r>
  <r>
    <x v="28"/>
    <n v="-59.912409908184713"/>
    <n v="-12.39935767781725"/>
    <n v="-3.4551375246904783"/>
    <n v="-9.4061008377307758"/>
    <n v="0.86548015063057115"/>
    <n v="1.7120265609218175"/>
    <n v="28.342595150717671"/>
    <n v="0.29480319569737823"/>
    <n v="11.120212715784938"/>
    <n v="0.66551240529267996"/>
    <n v="9.9490451647251348"/>
    <n v="2.7325306762215762"/>
    <n v="3.9313502158091751"/>
    <n v="24.614560635179998"/>
    <n v="82.941555532234446"/>
    <n v="8.5505294083160948"/>
    <n v="3.4915778620107436"/>
    <n v="17.766693773321634"/>
    <n v="-16.230733693040662"/>
    <n v="1.4995446957705099"/>
    <n v="95.216034601147726"/>
    <n v="21.308253705693943"/>
    <n v="9.5248708859203433"/>
    <n v="4.3272701054983145"/>
    <n v="-16.181609993978597"/>
    <n v="2.6544823004191969"/>
    <n v="53.969353934083813"/>
    <n v="10.915993544542005"/>
    <n v="7.3145899224685849"/>
    <n v="28.639031451482452"/>
    <n v="53.606912844590894"/>
    <n v="393.4122645960183"/>
    <n v="8.7183988734459206"/>
    <n v="42.439355060241084"/>
    <n v="9.15055481843455"/>
    <n v="50.483886407398643"/>
    <n v="66.627084529230302"/>
    <n v="13.813517584478944"/>
    <n v="-1.7371460933557366"/>
    <n v="33.920317171501893"/>
    <n v="19.93682676726452"/>
    <n v="2.8426386958896437"/>
    <n v="62.398775744979289"/>
    <n v="167.79997481222932"/>
    <n v="-37.000384310550402"/>
    <n v="-53.698634991571851"/>
    <n v="33.686290054583651"/>
    <n v="354.25593914515491"/>
    <n v="324.72646103383568"/>
    <n v="7.5132959801010752"/>
    <n v="9.9149375555316901"/>
    <n v="653.22578808196317"/>
    <n v="-1.6544666220009745"/>
    <n v="30.446699425293062"/>
    <n v="132.14829126712078"/>
    <n v="3.9420542036900201"/>
    <n v="-33.578413010977428"/>
    <n v="45.175465121257787"/>
    <n v="2.512416396262239"/>
    <n v="55.634932967700024"/>
    <n v="-1.043637066224619"/>
    <n v="-13.241572789207055"/>
    <n v="-13.390049086572589"/>
    <n v="1.4799230892170385"/>
    <n v="7.820932184284402"/>
    <n v="-8.7546971604200081"/>
    <n v="-19.399713408925891"/>
    <n v="-21.350516799916591"/>
    <n v="92.416497011796309"/>
    <n v="-23.640152045563752"/>
    <n v="-47.348707652736039"/>
    <n v="-191.7013657927879"/>
    <n v="-19.245482378534831"/>
    <n v="-23.362006989108068"/>
    <n v="8.3711378221839681"/>
    <n v="-33.470853331532766"/>
    <n v="22.307452255310636"/>
    <n v="-11.119263527966467"/>
    <n v="6.528904854190472"/>
    <n v="50.843055313414936"/>
    <n v="20.436968052348249"/>
    <n v="39.774595795214793"/>
    <n v="44.639242745746287"/>
    <n v="738.46622512094928"/>
    <n v="-205.19759291138757"/>
    <n v="-461.53538675681807"/>
    <n v="-157.70719127631958"/>
    <n v="-172.27258886043614"/>
    <n v="-171.07095702846254"/>
    <n v="-100.55373626125447"/>
    <n v="-115.23355406372048"/>
    <n v="-65.364363337334595"/>
    <n v="-4.9301584780261578"/>
    <n v="-111.44372603066471"/>
    <n v="52.611748294780398"/>
    <n v="57.409288311642285"/>
    <n v="-1.8263262769480662"/>
    <n v="10.332791777093973"/>
    <n v="263.06127287130948"/>
    <n v="-41.117445918346107"/>
    <n v="4.9173750707341526"/>
    <n v="-7.1591265932790975"/>
    <n v="-62.203017143911275"/>
    <n v="113.68162058737107"/>
    <n v="99.560652990359927"/>
    <n v="29.354502130992216"/>
    <n v="44.376828171250423"/>
    <n v="15.562151438351393"/>
    <n v="103.85625426549404"/>
    <n v="88.374649192939728"/>
    <n v="54.243697212158168"/>
    <n v="30.676556565770014"/>
    <n v="98.210962055931986"/>
    <n v="117.71124706117484"/>
    <n v="45.404159263262272"/>
    <n v="156.93238905927865"/>
    <n v="76.090745525752141"/>
    <n v="31.852828086992076"/>
    <n v="-1.9007386721056037"/>
    <n v="265.77901316136013"/>
    <n v="23.28329949517817"/>
    <n v="83.723478519074774"/>
    <n v="-1.5075374971329509"/>
    <n v="36.409778879239411"/>
    <n v="-16.544998563923116"/>
    <n v="-10.648946829682814"/>
    <n v="39.410918933625567"/>
    <n v="14.507936040565568"/>
    <n v="-49.923157207217216"/>
    <n v="5.0352404737578809"/>
    <n v="19.936784688854175"/>
    <n v="-3.3683911875066244"/>
    <n v="-8.7902841674866181"/>
    <n v="12.973714648721398"/>
    <n v="-10.786784195923872"/>
    <n v="-19.136681926107485"/>
    <n v="-21.047140040034947"/>
    <n v="3545.4555528323353"/>
  </r>
  <r>
    <x v="29"/>
    <n v="-61.689034514918035"/>
    <n v="-12.546682105476805"/>
    <n v="-3.4821036827383196"/>
    <n v="-9.719185586948214"/>
    <n v="0.88347912832865105"/>
    <n v="1.727057851976612"/>
    <n v="16.891122334189049"/>
    <n v="0.30118863412420538"/>
    <n v="10.784756392941418"/>
    <n v="0.64548634545985539"/>
    <n v="8.9189982575754385"/>
    <n v="2.6438444538998853"/>
    <n v="-3.9125653284783084"/>
    <n v="23.14329929772498"/>
    <n v="83.036967727230035"/>
    <n v="3.446271405620962"/>
    <n v="3.4430892043865713"/>
    <n v="16.192467551373767"/>
    <n v="-16.816517033657647"/>
    <n v="1.4810254796190634"/>
    <n v="86.598445323253145"/>
    <n v="18.884656735840991"/>
    <n v="8.7870831766413531"/>
    <n v="4.793115232277529"/>
    <n v="-14.67682820530888"/>
    <n v="2.2186791866855344"/>
    <n v="50.818478705776101"/>
    <n v="10.839814679016669"/>
    <n v="7.1555082406182748"/>
    <n v="28.089834370747013"/>
    <n v="51.941609330353472"/>
    <n v="371.41464696846106"/>
    <n v="8.521648656956522"/>
    <n v="39.828726896535549"/>
    <n v="9.0408356875633515"/>
    <n v="49.018027256549402"/>
    <n v="62.86023374378226"/>
    <n v="13.361501768363347"/>
    <n v="-1.7646037325669113"/>
    <n v="24.125730331967077"/>
    <n v="19.593842813026285"/>
    <n v="2.7168258481285523"/>
    <n v="60.510234940185754"/>
    <n v="155.89892975181044"/>
    <n v="-38.101400520953646"/>
    <n v="-46.527202528226439"/>
    <n v="29.694108208906187"/>
    <n v="329.32278219035334"/>
    <n v="291.26688049781978"/>
    <n v="7.5102742994621723"/>
    <n v="9.4956165366371454"/>
    <n v="599.74829850353171"/>
    <n v="-2.0580446622763411"/>
    <n v="28.825747382157743"/>
    <n v="124.34507204395453"/>
    <n v="5.1083959096422689"/>
    <n v="-27.425141640351896"/>
    <n v="42.226090919550529"/>
    <n v="2.2796891641406773"/>
    <n v="31.003674479665733"/>
    <n v="-3.4424807679770879"/>
    <n v="-13.664783432283855"/>
    <n v="-11.644012775145853"/>
    <n v="-1.2790164897387513"/>
    <n v="7.1155974849631747"/>
    <n v="-9.3620995932659099"/>
    <n v="-6.1427394927607111"/>
    <n v="-21.886473138535578"/>
    <n v="48.578727499928391"/>
    <n v="-28.622214179021739"/>
    <n v="-47.76417839737212"/>
    <n v="-178.56167819839015"/>
    <n v="-20.494682933511683"/>
    <n v="-28.426313574605729"/>
    <n v="7.7737574262785927"/>
    <n v="-30.62150360036182"/>
    <n v="7.4510811151599228"/>
    <n v="-11.667714851766135"/>
    <n v="6.1629309707393389"/>
    <n v="46.098246359555048"/>
    <n v="17.593988504580636"/>
    <n v="36.754579320270977"/>
    <n v="38.313993249206874"/>
    <n v="669.49286603924975"/>
    <n v="-196.04336971922203"/>
    <n v="-444.88266599585393"/>
    <n v="-147.15315081351892"/>
    <n v="-168.87663741313077"/>
    <n v="-175.43177989746624"/>
    <n v="-103.22167116106118"/>
    <n v="-121.70256220952342"/>
    <n v="-62.622709563778443"/>
    <n v="-4.5386969344997965"/>
    <n v="-109.37797997098777"/>
    <n v="48.638339058810232"/>
    <n v="44.001421080942691"/>
    <n v="-13.047615375456189"/>
    <n v="9.3283052284719901"/>
    <n v="133.74496655943221"/>
    <n v="-35.267661602756903"/>
    <n v="5.044027127096129"/>
    <n v="-7.5237223026974789"/>
    <n v="-61.744856721097122"/>
    <n v="111.88432312724706"/>
    <n v="98.844555116016977"/>
    <n v="29.285949906291364"/>
    <n v="44.554097566905511"/>
    <n v="15.695594269120704"/>
    <n v="88.684543222711909"/>
    <n v="83.345665482025652"/>
    <n v="53.227748634306636"/>
    <n v="29.810326828159191"/>
    <n v="95.727277543815717"/>
    <n v="111.53379743580126"/>
    <n v="44.20692447752549"/>
    <n v="152.05582999092451"/>
    <n v="71.668437432243536"/>
    <n v="31.595271859329529"/>
    <n v="10.950066946710194"/>
    <n v="246.54716458082567"/>
    <n v="22.065396334393796"/>
    <n v="81.733324662929931"/>
    <n v="-1.6378640907513997"/>
    <n v="35.356313516281944"/>
    <n v="-14.792959586072641"/>
    <n v="-7.9269416606748848"/>
    <n v="38.484497653861354"/>
    <n v="14.310988076498575"/>
    <n v="-46.350458951690726"/>
    <n v="2.8700400863614277"/>
    <n v="21.024950230450145"/>
    <n v="-3.2375317666816841"/>
    <n v="-8.6568563129851981"/>
    <n v="20.417483516186621"/>
    <n v="-8.0385252816420802"/>
    <n v="-12.44260955955292"/>
    <n v="-27.685244929836244"/>
    <n v="3008.8542165788454"/>
  </r>
  <r>
    <x v="30"/>
    <n v="-63.394287134632123"/>
    <n v="-12.637312401469387"/>
    <n v="-3.3888232127357369"/>
    <n v="-9.9114647874569926"/>
    <n v="0.88260069232702143"/>
    <n v="1.7404949805206658"/>
    <n v="5.0759909821540532"/>
    <n v="0.2992340086738503"/>
    <n v="10.415302762359048"/>
    <n v="0.61976500741954244"/>
    <n v="7.9184088321317603"/>
    <n v="2.558369758052919"/>
    <n v="-11.527153091129094"/>
    <n v="21.520899581781094"/>
    <n v="83.224115601273937"/>
    <n v="-0.68197554077704581"/>
    <n v="3.4121072053148374"/>
    <n v="14.692314764397281"/>
    <n v="-17.348096649987269"/>
    <n v="1.4839390286705907"/>
    <n v="78.801522740238397"/>
    <n v="16.446824691989718"/>
    <n v="8.0829957173458808"/>
    <n v="5.0747707947232783"/>
    <n v="-13.537296869772334"/>
    <n v="1.886694490476728"/>
    <n v="48.386538543107747"/>
    <n v="10.772758807931396"/>
    <n v="6.913650057561938"/>
    <n v="27.604055298711714"/>
    <n v="50.459304538493512"/>
    <n v="353.23740018332046"/>
    <n v="8.2786144511599318"/>
    <n v="37.658981032083247"/>
    <n v="8.8841913257739051"/>
    <n v="47.785755271771393"/>
    <n v="59.454882645461282"/>
    <n v="12.937289941059838"/>
    <n v="-1.7971343275867433"/>
    <n v="15.325671276758271"/>
    <n v="19.187668731338519"/>
    <n v="2.5929131620223576"/>
    <n v="58.692959422229336"/>
    <n v="144.56478351404479"/>
    <n v="-39.276959969127759"/>
    <n v="-41.514714606605708"/>
    <n v="25.947674019107922"/>
    <n v="307.10551579633534"/>
    <n v="261.73938424454354"/>
    <n v="7.5266731716614563"/>
    <n v="9.1121646714079425"/>
    <n v="553.82155098144904"/>
    <n v="-2.4542789348715068"/>
    <n v="27.513829845441762"/>
    <n v="117.39466026627514"/>
    <n v="5.4690554474972828"/>
    <n v="-21.400405873998722"/>
    <n v="39.117554021080934"/>
    <n v="1.9157752747662471"/>
    <n v="6.1527178995984286"/>
    <n v="-5.8562349368256719"/>
    <n v="-14.30342537914936"/>
    <n v="-9.6755402382252385"/>
    <n v="-3.435184265897874"/>
    <n v="7.0269422108566317"/>
    <n v="-9.6681314781940699"/>
    <n v="7.123344961576322"/>
    <n v="-22.202581121233891"/>
    <n v="4.9603686875143467"/>
    <n v="-33.146155657971235"/>
    <n v="-47.559618247278252"/>
    <n v="-153.74138540910258"/>
    <n v="-20.798901121462535"/>
    <n v="-30.713474938595709"/>
    <n v="7.511691517038571"/>
    <n v="-27.908359332334385"/>
    <n v="-6.9941543080410611"/>
    <n v="-11.759864082178609"/>
    <n v="5.8102085373517554"/>
    <n v="42.529460599174854"/>
    <n v="15.099411721343756"/>
    <n v="33.87813348523764"/>
    <n v="32.623357442392262"/>
    <n v="610.80387600795257"/>
    <n v="-186.90285045110227"/>
    <n v="-422.44048735583522"/>
    <n v="-137.75308607139391"/>
    <n v="-164.4658060341302"/>
    <n v="-173.61735343002499"/>
    <n v="-104.73660887591495"/>
    <n v="-128.18873456847723"/>
    <n v="-59.646331081148759"/>
    <n v="-3.8876473201467832"/>
    <n v="-105.93640337429186"/>
    <n v="44.567206349362834"/>
    <n v="29.019133755098665"/>
    <n v="-25.041078390244138"/>
    <n v="8.362261352613416"/>
    <n v="-0.64376040843126248"/>
    <n v="-30.325276003735212"/>
    <n v="5.3139643323917909"/>
    <n v="-8.9562685020630397"/>
    <n v="-59.441414732738238"/>
    <n v="109.93550489529747"/>
    <n v="97.569412913669794"/>
    <n v="29.059844208604488"/>
    <n v="44.015310868120778"/>
    <n v="15.792612407560739"/>
    <n v="70.505423674174835"/>
    <n v="76.207346067201911"/>
    <n v="49.590955427242307"/>
    <n v="27.345059939295936"/>
    <n v="89.351520094097168"/>
    <n v="104.47777662286353"/>
    <n v="41.933759210325888"/>
    <n v="145.5218280328113"/>
    <n v="63.388275465684274"/>
    <n v="30.802588223184898"/>
    <n v="21.158179895882085"/>
    <n v="224.07334639514283"/>
    <n v="19.988677319604392"/>
    <n v="79.170341988623136"/>
    <n v="-1.7527180201890005"/>
    <n v="33.916336011259546"/>
    <n v="-13.77225679945002"/>
    <n v="-5.6648820350285689"/>
    <n v="36.472429787587885"/>
    <n v="13.790370892159544"/>
    <n v="-42.460602900109848"/>
    <n v="0.60459917954017328"/>
    <n v="20.988339120839214"/>
    <n v="-3.0872483898937304"/>
    <n v="-8.4727107878465802"/>
    <n v="26.045137365551909"/>
    <n v="-5.6695444641047175"/>
    <n v="-7.1570089553399612"/>
    <n v="-34.252400143238219"/>
    <n v="2495.1192694365564"/>
  </r>
  <r>
    <x v="31"/>
    <n v="-64.858651291198385"/>
    <n v="-12.615945800518944"/>
    <n v="-3.205906463494717"/>
    <n v="-9.9652005633490717"/>
    <n v="0.89577128984438392"/>
    <n v="1.7535254190881682"/>
    <n v="-5.7469127319541258"/>
    <n v="0.30190551761885054"/>
    <n v="10.076625349211703"/>
    <n v="0.59408782769893786"/>
    <n v="7.0445999438949229"/>
    <n v="2.4672389706211275"/>
    <n v="-18.615225586346469"/>
    <n v="19.899233890611896"/>
    <n v="83.348918601792491"/>
    <n v="-3.882087476983429"/>
    <n v="3.4041425381871835"/>
    <n v="13.308661651752516"/>
    <n v="-17.862819400232098"/>
    <n v="1.6126905034983849"/>
    <n v="72.020775047554139"/>
    <n v="14.161787029983429"/>
    <n v="7.441732971556533"/>
    <n v="5.1331699685683105"/>
    <n v="-12.778836957456207"/>
    <n v="1.5808667267217515"/>
    <n v="46.634434021478285"/>
    <n v="10.725093994170564"/>
    <n v="6.6553338829645554"/>
    <n v="27.412075226488369"/>
    <n v="48.971808144189723"/>
    <n v="335.53948600168451"/>
    <n v="8.0484053472009123"/>
    <n v="36.446298142388287"/>
    <n v="8.6664893202922499"/>
    <n v="46.697374219544002"/>
    <n v="56.919080596722978"/>
    <n v="12.549177385035712"/>
    <n v="-1.8194792576182195"/>
    <n v="7.2869574311466181"/>
    <n v="18.792955247408287"/>
    <n v="2.4820082245602624"/>
    <n v="57.177504615372442"/>
    <n v="134.92742880646114"/>
    <n v="-40.411458185795283"/>
    <n v="-38.635130186718413"/>
    <n v="22.428925276458131"/>
    <n v="285.82888126303504"/>
    <n v="234.19664049632001"/>
    <n v="7.5576230884800131"/>
    <n v="8.8499012425785111"/>
    <n v="508.3955649987073"/>
    <n v="-2.8440581512842442"/>
    <n v="26.233136109284956"/>
    <n v="110.82951664996887"/>
    <n v="5.9389531357836063"/>
    <n v="-16.419218643092037"/>
    <n v="36.054216675167538"/>
    <n v="1.5160311609415658"/>
    <n v="-16.030438050908288"/>
    <n v="-7.920438165512337"/>
    <n v="-15.213289724127947"/>
    <n v="-7.7266841378863376"/>
    <n v="-4.9143707654314994"/>
    <n v="7.3747098169302845"/>
    <n v="-9.6758693993579925"/>
    <n v="18.610076446137555"/>
    <n v="-22.153243688127745"/>
    <n v="-37.200072775723129"/>
    <n v="-37.4900871973677"/>
    <n v="-46.531329265546901"/>
    <n v="-126.07807459954995"/>
    <n v="-20.676890482524442"/>
    <n v="-31.062881782240424"/>
    <n v="7.2588348901849997"/>
    <n v="-25.922145167385253"/>
    <n v="-20.15283872702571"/>
    <n v="-11.436532217044117"/>
    <n v="5.600645612804513"/>
    <n v="39.663684521444168"/>
    <n v="12.939640147516656"/>
    <n v="31.345815058044252"/>
    <n v="27.099979316520148"/>
    <n v="554.73386780802593"/>
    <n v="-178.26378561072011"/>
    <n v="-392.99213097661948"/>
    <n v="-128.48572099738078"/>
    <n v="-158.22637941386779"/>
    <n v="-166.17323021596849"/>
    <n v="-104.0404110714129"/>
    <n v="-133.42344694300709"/>
    <n v="-56.956407812180601"/>
    <n v="-3.2202674121466259"/>
    <n v="-101.54422026793439"/>
    <n v="41.210765038548629"/>
    <n v="14.203072540571611"/>
    <n v="-36.693497007914857"/>
    <n v="7.4507041205014843"/>
    <n v="-132.75763199256471"/>
    <n v="-25.338698614338341"/>
    <n v="5.6430344853425822"/>
    <n v="-10.138010250486332"/>
    <n v="-56.228726497992604"/>
    <n v="107.79216826231618"/>
    <n v="96.143689139959406"/>
    <n v="28.747789207091046"/>
    <n v="43.230483826034984"/>
    <n v="15.830500522048311"/>
    <n v="52.764071242537284"/>
    <n v="69.136725160683113"/>
    <n v="44.329827935225467"/>
    <n v="24.881390730098943"/>
    <n v="82.076363125772104"/>
    <n v="97.82794353350846"/>
    <n v="39.695214353764527"/>
    <n v="138.94546172219202"/>
    <n v="53.51240199560948"/>
    <n v="29.864951510330002"/>
    <n v="27.935549251547684"/>
    <n v="202.61553797140914"/>
    <n v="17.539853713860737"/>
    <n v="76.172692254700792"/>
    <n v="-1.810928293049777"/>
    <n v="32.437816817436101"/>
    <n v="-12.846049588296637"/>
    <n v="-3.3137126763467961"/>
    <n v="34.810541261290609"/>
    <n v="13.32922368065492"/>
    <n v="-38.511930830770126"/>
    <n v="-1.4908424182405042"/>
    <n v="20.582555949490711"/>
    <n v="-2.9225837307506808"/>
    <n v="-8.2441104312778748"/>
    <n v="31.502878378308196"/>
    <n v="-3.2716232301499417"/>
    <n v="-2.9056782540918675"/>
    <n v="-40.662617674094236"/>
    <n v="2023.3387362470771"/>
  </r>
  <r>
    <x v="32"/>
    <n v="-66.619762344892706"/>
    <n v="-12.92110502769998"/>
    <n v="-3.014526592742456"/>
    <n v="-10.038273148063837"/>
    <n v="0.89699791279996199"/>
    <n v="1.7618812867476648"/>
    <n v="-17.118490432446151"/>
    <n v="0.2934389931646102"/>
    <n v="9.7922440192400657"/>
    <n v="0.56665408764740999"/>
    <n v="6.2927819272705534"/>
    <n v="2.3608647597801964"/>
    <n v="-25.493935824659616"/>
    <n v="18.259383624276467"/>
    <n v="83.015393307074874"/>
    <n v="-6.7936322553587161"/>
    <n v="3.3843315642600342"/>
    <n v="12.061598365678407"/>
    <n v="-18.503752629592185"/>
    <n v="1.401906004691341"/>
    <n v="65.768181047480994"/>
    <n v="11.973460480543707"/>
    <n v="6.8144997486139687"/>
    <n v="4.961317962808522"/>
    <n v="-12.45964068586558"/>
    <n v="1.3134058874406946"/>
    <n v="44.92261572911957"/>
    <n v="10.548573481231514"/>
    <n v="6.301340151479593"/>
    <n v="27.201402585228692"/>
    <n v="47.499938924009527"/>
    <n v="319.61451367545806"/>
    <n v="7.7951364263308633"/>
    <n v="35.941942298118086"/>
    <n v="8.4149618900038732"/>
    <n v="45.573394420712361"/>
    <n v="54.82802102683624"/>
    <n v="12.174214955226283"/>
    <n v="-1.8517176591518201"/>
    <n v="0.34811029984689412"/>
    <n v="18.373378039582896"/>
    <n v="2.3688617400358645"/>
    <n v="55.727103121421209"/>
    <n v="126.92197948721935"/>
    <n v="-41.517296827708606"/>
    <n v="-37.239352429451515"/>
    <n v="19.12614617297686"/>
    <n v="267.99991250912262"/>
    <n v="208.10234629222577"/>
    <n v="7.5874380436278495"/>
    <n v="8.5866485449656249"/>
    <n v="469.38524023651007"/>
    <n v="-3.2149322969448377"/>
    <n v="25.144852953287128"/>
    <n v="104.57851035818635"/>
    <n v="5.7395968501394634"/>
    <n v="-12.929865349050033"/>
    <n v="32.754349658057379"/>
    <n v="0.9493643132979912"/>
    <n v="-37.903227602505012"/>
    <n v="-10.173966200889708"/>
    <n v="-17.105154080058298"/>
    <n v="-6.615504938378109"/>
    <n v="-6.3020824913024285"/>
    <n v="7.9406906008084235"/>
    <n v="-9.6434390912026089"/>
    <n v="22.980961830953447"/>
    <n v="-22.192910975023707"/>
    <n v="-82.52994734143158"/>
    <n v="-41.984710508231501"/>
    <n v="-46.7733710282929"/>
    <n v="-106.60164348601415"/>
    <n v="-20.562505956553622"/>
    <n v="-31.848744083009706"/>
    <n v="6.6416612368306858"/>
    <n v="-25.807373330940209"/>
    <n v="-32.878852610403328"/>
    <n v="-11.197842058712411"/>
    <n v="5.366236691422543"/>
    <n v="36.267151658572743"/>
    <n v="10.921288024483601"/>
    <n v="29.109038418870455"/>
    <n v="21.642675486483313"/>
    <n v="500.93403735666379"/>
    <n v="-174.47877888416508"/>
    <n v="-369.69475480249662"/>
    <n v="-122.79006144317179"/>
    <n v="-153.83701048629223"/>
    <n v="-157.5929672779522"/>
    <n v="-104.85611682039939"/>
    <n v="-143.54629472566512"/>
    <n v="-55.783637265035281"/>
    <n v="-3.0736893660120472"/>
    <n v="-97.594521790731989"/>
    <n v="37.980194410239505"/>
    <n v="-2.5297933566507709"/>
    <n v="-48.384870425347344"/>
    <n v="6.6552608339491286"/>
    <n v="-272.1189851384479"/>
    <n v="-22.959476335681757"/>
    <n v="5.7447053445502547"/>
    <n v="-13.71591262901029"/>
    <n v="-53.194836646946534"/>
    <n v="105.18008268539262"/>
    <n v="93.444529970395592"/>
    <n v="28.023202180886699"/>
    <n v="42.099019229013919"/>
    <n v="15.681496168185546"/>
    <n v="32.071864875619667"/>
    <n v="61.931224452404649"/>
    <n v="36.692646263361439"/>
    <n v="22.561344462732677"/>
    <n v="72.227673457964556"/>
    <n v="90.755684930213874"/>
    <n v="36.596782514052052"/>
    <n v="131.09914316406821"/>
    <n v="43.141036964250816"/>
    <n v="28.594998889188076"/>
    <n v="30.242610724415329"/>
    <n v="178.4633216255379"/>
    <n v="14.985757926734749"/>
    <n v="72.872780918681201"/>
    <n v="-1.9194950473908463"/>
    <n v="30.355559610955879"/>
    <n v="-12.78125561156611"/>
    <n v="-2.1521210975965346"/>
    <n v="32.548552435038687"/>
    <n v="12.802578885453528"/>
    <n v="-35.42614723463825"/>
    <n v="-3.947216776245341"/>
    <n v="19.672904250624924"/>
    <n v="-2.8399446663506893"/>
    <n v="-8.1878893858402364"/>
    <n v="32.561550010396786"/>
    <n v="-1.8545923615868674"/>
    <n v="-1.4807560153230952"/>
    <n v="-47.966871623571478"/>
    <n v="1467.6729271524819"/>
  </r>
  <r>
    <x v="33"/>
    <n v="-68.759345701867005"/>
    <n v="-13.902236403417362"/>
    <n v="-2.8739267807626234"/>
    <n v="-10.363468003094937"/>
    <n v="0.89718735192269228"/>
    <n v="1.7635726818130015"/>
    <n v="-29.476313821369104"/>
    <n v="0.28030054216391331"/>
    <n v="9.4308080546231992"/>
    <n v="0.53266348609264647"/>
    <n v="5.5168749190337678"/>
    <n v="2.2162983060780368"/>
    <n v="-33.025715413534158"/>
    <n v="16.46253021635269"/>
    <n v="81.960342532397647"/>
    <n v="-10.398925717504369"/>
    <n v="3.3443570181563489"/>
    <n v="10.687944742014423"/>
    <n v="-19.391547515003225"/>
    <n v="0.80639206338040026"/>
    <n v="59.325514790838611"/>
    <n v="9.7235467438153194"/>
    <n v="6.1839388024490631"/>
    <n v="4.400914286241445"/>
    <n v="-12.571440137515154"/>
    <n v="1.0224149843799353"/>
    <n v="42.669400510532626"/>
    <n v="10.262899101748928"/>
    <n v="5.8866016203478964"/>
    <n v="26.890332126820923"/>
    <n v="45.855603539777434"/>
    <n v="302.11721149135838"/>
    <n v="7.5198431173199864"/>
    <n v="35.845899681291954"/>
    <n v="8.0986159769840498"/>
    <n v="44.339593973549881"/>
    <n v="52.989955732813996"/>
    <n v="11.779235383899973"/>
    <n v="-1.8925095388054984"/>
    <n v="-6.5588753335842966"/>
    <n v="17.891733564961427"/>
    <n v="2.2605870998541828"/>
    <n v="54.158998175964555"/>
    <n v="119.60489493182968"/>
    <n v="-42.550454239904511"/>
    <n v="-36.935279923249652"/>
    <n v="15.792231005301915"/>
    <n v="252.09508015696153"/>
    <n v="180.28808958920035"/>
    <n v="7.5952557166918275"/>
    <n v="8.3902849264111641"/>
    <n v="432.56783515702989"/>
    <n v="-3.5584289492844583"/>
    <n v="24.028937225017401"/>
    <n v="98.204526163536684"/>
    <n v="5.0141497080167312"/>
    <n v="-11.038632433784954"/>
    <n v="28.961169216964265"/>
    <n v="0.23504973063327839"/>
    <n v="-60.51382183304213"/>
    <n v="-12.751042480390595"/>
    <n v="-20.116035713457791"/>
    <n v="-6.6035336268570859"/>
    <n v="-8.1066027650988985"/>
    <n v="8.3701872112539277"/>
    <n v="-9.7576623474538806"/>
    <n v="18.848849639360424"/>
    <n v="-22.502427989664298"/>
    <n v="-133.51091546097996"/>
    <n v="-47.22811932673136"/>
    <n v="-49.017425357253728"/>
    <n v="-101.80976298977214"/>
    <n v="-21.002135682254789"/>
    <n v="-34.15622102941802"/>
    <n v="5.665542023590092"/>
    <n v="-27.242350994594233"/>
    <n v="-46.184786413522033"/>
    <n v="-11.41705855031725"/>
    <n v="4.9833473303622782"/>
    <n v="31.926562511480824"/>
    <n v="8.7224090997882229"/>
    <n v="26.786032253941698"/>
    <n v="15.629328392405228"/>
    <n v="439.6196510679747"/>
    <n v="-177.86326948899716"/>
    <n v="-358.94075626682547"/>
    <n v="-122.43199556608221"/>
    <n v="-154.44127460014238"/>
    <n v="-151.79966080926994"/>
    <n v="-109.18083713239321"/>
    <n v="-161.54329183725213"/>
    <n v="-57.052171174311212"/>
    <n v="-3.6525517613194722"/>
    <n v="-95.546849496131472"/>
    <n v="34.454965932964285"/>
    <n v="-21.912494578003134"/>
    <n v="-61.071908318371925"/>
    <n v="5.7725249828431657"/>
    <n v="-426.17640232423582"/>
    <n v="-23.224083855552465"/>
    <n v="5.5618015592914247"/>
    <n v="-20.694380840417352"/>
    <n v="-51.363876162135178"/>
    <n v="101.913699748238"/>
    <n v="89.345393422810844"/>
    <n v="26.812188131493599"/>
    <n v="40.746546110338173"/>
    <n v="15.223258292094769"/>
    <n v="7.811013232498226"/>
    <n v="54.10646223535116"/>
    <n v="26.862625189740356"/>
    <n v="20.16427700822949"/>
    <n v="60.077886354258681"/>
    <n v="83.131467878611602"/>
    <n v="32.469422919016097"/>
    <n v="122.43834226446552"/>
    <n v="30.560381640605556"/>
    <n v="27.004205556034776"/>
    <n v="29.245840916814529"/>
    <n v="151.52328359858166"/>
    <n v="12.549679976755584"/>
    <n v="69.112576736282335"/>
    <n v="-2.1154733066958116"/>
    <n v="27.166696306227777"/>
    <n v="-13.544617919596192"/>
    <n v="-2.3090588837606845"/>
    <n v="29.474620094686429"/>
    <n v="12.228084904453354"/>
    <n v="-33.804573648182398"/>
    <n v="-7.6109642013578878"/>
    <n v="18.221752505992413"/>
    <n v="-2.8718173466955008"/>
    <n v="-8.358931443052299"/>
    <n v="27.420652539869934"/>
    <n v="-1.3977361783531137"/>
    <n v="-3.4371367354574431"/>
    <n v="-57.829075728345288"/>
    <n v="732.45898363885453"/>
  </r>
  <r>
    <x v="34"/>
    <n v="-71.188720975601768"/>
    <n v="-15.232124605614217"/>
    <n v="-2.8095100927220962"/>
    <n v="-10.795751690928768"/>
    <n v="0.89669529324206554"/>
    <n v="1.7613925005380073"/>
    <n v="-41.932690028338698"/>
    <n v="0.26301669756215329"/>
    <n v="9.1177008955944956"/>
    <n v="0.49958116987762313"/>
    <n v="4.8234567592106572"/>
    <n v="2.0568068586568362"/>
    <n v="-40.48773611246088"/>
    <n v="14.731119845253488"/>
    <n v="80.426845662646201"/>
    <n v="-14.330866446703112"/>
    <n v="3.2844185248149858"/>
    <n v="9.3776342741830376"/>
    <n v="-20.390210313172588"/>
    <n v="-9.3503970600124831E-2"/>
    <n v="52.890989712509963"/>
    <n v="7.5862559631387114"/>
    <n v="5.5546040791548705"/>
    <n v="3.7277968816638207"/>
    <n v="-12.830279719563549"/>
    <n v="0.70876227315536511"/>
    <n v="40.021271657309228"/>
    <n v="9.8721329066447794"/>
    <n v="5.4413774548048437"/>
    <n v="26.518891595607215"/>
    <n v="44.144445865886581"/>
    <n v="284.12621785766169"/>
    <n v="7.2552722823049862"/>
    <n v="36.010371085592723"/>
    <n v="7.7830589690992298"/>
    <n v="42.971449368531069"/>
    <n v="51.306507388471687"/>
    <n v="11.383658643022471"/>
    <n v="-1.9368638624981855"/>
    <n v="-13.013285184368215"/>
    <n v="17.41865941484258"/>
    <n v="2.1521225744300096"/>
    <n v="52.589664727189458"/>
    <n v="113.37654207408559"/>
    <n v="-43.486847442951543"/>
    <n v="-36.630979501860963"/>
    <n v="12.556315655402273"/>
    <n v="238.24863307704979"/>
    <n v="151.77757937359911"/>
    <n v="7.5875098858580845"/>
    <n v="8.1819536763477458"/>
    <n v="398.20642851831434"/>
    <n v="-3.8790330240070823"/>
    <n v="22.921755469933004"/>
    <n v="91.762469321740127"/>
    <n v="4.1182030882038134"/>
    <n v="-10.376481050036972"/>
    <n v="25.067348325407181"/>
    <n v="-0.53958993016615864"/>
    <n v="-82.65381559726211"/>
    <n v="-15.472968382722286"/>
    <n v="-23.816881974525813"/>
    <n v="-7.4400157428145519"/>
    <n v="-10.227422485677948"/>
    <n v="8.6416026910920465"/>
    <n v="-10.024060966638736"/>
    <n v="9.140543125411341"/>
    <n v="-22.999384248323608"/>
    <n v="-186.46886173116854"/>
    <n v="-52.790073744832739"/>
    <n v="-52.624694110855046"/>
    <n v="-110.96589560145412"/>
    <n v="-21.965032380419956"/>
    <n v="-38.277242211899079"/>
    <n v="4.2553341192254095"/>
    <n v="-30.095624136127896"/>
    <n v="-59.318569937585835"/>
    <n v="-12.021652048744755"/>
    <n v="4.5510731413615844"/>
    <n v="26.534111493916612"/>
    <n v="6.443702521796439"/>
    <n v="24.594710449222646"/>
    <n v="9.3780403592462562"/>
    <n v="374.77642746502261"/>
    <n v="-185.70737243281587"/>
    <n v="-357.87152408207578"/>
    <n v="-124.84533035471998"/>
    <n v="-157.69336477845309"/>
    <n v="-149.08896294576482"/>
    <n v="-115.71125147448561"/>
    <n v="-183.88406217705324"/>
    <n v="-59.833122360718704"/>
    <n v="-4.8407813217492048"/>
    <n v="-94.816900966599391"/>
    <n v="31.118453111108636"/>
    <n v="-41.852859180266933"/>
    <n v="-73.24300194551688"/>
    <n v="4.9524973322021992"/>
    <n v="-581.89002346213965"/>
    <n v="-25.295327179267247"/>
    <n v="5.1173916966215103"/>
    <n v="-29.178607050491109"/>
    <n v="-50.792870553304908"/>
    <n v="98.363784134199193"/>
    <n v="84.506471037795905"/>
    <n v="25.3579224849517"/>
    <n v="39.506259021899638"/>
    <n v="14.614799064066645"/>
    <n v="-17.189160371617618"/>
    <n v="47.276687117328379"/>
    <n v="16.603494688133196"/>
    <n v="18.684383216549222"/>
    <n v="47.987007714635183"/>
    <n v="75.627259540175146"/>
    <n v="28.151114900821995"/>
    <n v="113.721342282058"/>
    <n v="19.530361579367764"/>
    <n v="25.422828062367074"/>
    <n v="26.076802306676655"/>
    <n v="124.22889533090165"/>
    <n v="10.536497748488955"/>
    <n v="65.460544459912171"/>
    <n v="-2.3693896729725097"/>
    <n v="23.642535226079531"/>
    <n v="-14.663006760202279"/>
    <n v="-3.3029066614082296"/>
    <n v="26.578824323594517"/>
    <n v="11.778938409931413"/>
    <n v="-33.218527865889641"/>
    <n v="-11.61190517184059"/>
    <n v="16.955985371345832"/>
    <n v="-2.9899724845353148"/>
    <n v="-8.7116712800087015"/>
    <n v="19.112313202596397"/>
    <n v="-1.6227130509083167"/>
    <n v="-7.0887484436295836"/>
    <n v="-68.544015871999363"/>
    <n v="-85.23819277443647"/>
  </r>
  <r>
    <x v="35"/>
    <n v="-73.946583408555625"/>
    <n v="-17.065457590238509"/>
    <n v="-2.8413307602277555"/>
    <n v="-11.459247250960118"/>
    <n v="0.88997510964675619"/>
    <n v="1.7545076977933998"/>
    <n v="-55.020249091182791"/>
    <n v="0.24186411965088883"/>
    <n v="8.7517383512008138"/>
    <n v="0.46313430276435685"/>
    <n v="4.0888450297335481"/>
    <n v="1.877247876043449"/>
    <n v="-48.428670076041612"/>
    <n v="12.960788805209745"/>
    <n v="78.423857236814428"/>
    <n v="-19.09628437982002"/>
    <n v="3.2013935264952327"/>
    <n v="7.9716393314905361"/>
    <n v="-21.527756622556581"/>
    <n v="-1.3011114059333693"/>
    <n v="45.986443544612712"/>
    <n v="5.4194944260914042"/>
    <n v="4.9117481444408781"/>
    <n v="2.9260556875155004"/>
    <n v="-13.149235092377666"/>
    <n v="0.36791274995583478"/>
    <n v="36.712527973058002"/>
    <n v="9.4098358517529448"/>
    <n v="4.9809249482782647"/>
    <n v="25.979250864122449"/>
    <n v="42.359086604901961"/>
    <n v="265.06340399976261"/>
    <n v="6.9868749937147001"/>
    <n v="36.033515411458559"/>
    <n v="7.4671246286703692"/>
    <n v="41.48693234891573"/>
    <n v="49.457144417710253"/>
    <n v="10.969032859808188"/>
    <n v="-1.9879908188867965"/>
    <n v="-19.581697400713722"/>
    <n v="16.916018711359158"/>
    <n v="2.0449093522783794"/>
    <n v="50.839734001356561"/>
    <n v="107.1239964219053"/>
    <n v="-44.34285365157443"/>
    <n v="-35.862544927161935"/>
    <n v="9.2954221242700896"/>
    <n v="225.9989906235495"/>
    <n v="121.72831547204987"/>
    <n v="7.5574399088489157"/>
    <n v="7.9661776443861596"/>
    <n v="366.13604397034374"/>
    <n v="-4.1711849827078069"/>
    <n v="21.790063417895865"/>
    <n v="85.221487855689247"/>
    <n v="2.88819095666679"/>
    <n v="-10.430554034022563"/>
    <n v="20.927323070465775"/>
    <n v="-1.3699610737805301"/>
    <n v="-105.88967278680229"/>
    <n v="-18.509565556060295"/>
    <n v="-28.166015459340827"/>
    <n v="-9.0359098493963472"/>
    <n v="-12.961508188129187"/>
    <n v="8.6250985149146189"/>
    <n v="-10.55100911449351"/>
    <n v="-5.2472018068356192"/>
    <n v="-23.827002048056187"/>
    <n v="-242.12134826728106"/>
    <n v="-58.798897693448225"/>
    <n v="-57.853881315969431"/>
    <n v="-130.40741259300125"/>
    <n v="-23.527405618746201"/>
    <n v="-44.440438433056556"/>
    <n v="2.5837582124677567"/>
    <n v="-33.777978136371445"/>
    <n v="-73.093356920742053"/>
    <n v="-13.179654347905171"/>
    <n v="3.9582761096277039"/>
    <n v="20.17123714581237"/>
    <n v="3.9192930707462494"/>
    <n v="22.227771692562214"/>
    <n v="2.7869325679251915"/>
    <n v="304.35244730120758"/>
    <n v="-198.51996128428311"/>
    <n v="-369.87761291178128"/>
    <n v="-130.88907670045671"/>
    <n v="-165.35659256019858"/>
    <n v="-151.59033018887948"/>
    <n v="-125.68696111485394"/>
    <n v="-211.54502421836105"/>
    <n v="-64.210821462500462"/>
    <n v="-6.5779912497351347"/>
    <n v="-96.018383566840456"/>
    <n v="27.425328934935351"/>
    <n v="-62.922942414068075"/>
    <n v="-85.705476851627964"/>
    <n v="4.0684726414356192"/>
    <n v="-743.56796547587874"/>
    <n v="-29.150942056904455"/>
    <n v="4.4438664064220035"/>
    <n v="-39.812632782969786"/>
    <n v="-51.682507393192765"/>
    <n v="94.554568768875356"/>
    <n v="78.927564061047065"/>
    <n v="23.672054538439568"/>
    <n v="38.329134206531279"/>
    <n v="13.833819946471166"/>
    <n v="-43.917748215902066"/>
    <n v="40.451655116251686"/>
    <n v="6.0989522213571945"/>
    <n v="17.397092921077501"/>
    <n v="35.465475165048929"/>
    <n v="67.805200634785251"/>
    <n v="23.290029336838302"/>
    <n v="104.86963069709373"/>
    <n v="8.4746708867630787"/>
    <n v="23.777068054805937"/>
    <n v="22.363209930178868"/>
    <n v="95.526896395997028"/>
    <n v="8.9407694636690564"/>
    <n v="61.903815964321552"/>
    <n v="-2.7090841927899518"/>
    <n v="19.49514783245354"/>
    <n v="-16.238927514804175"/>
    <n v="-5.2504956529499225"/>
    <n v="23.32427713601885"/>
    <n v="11.325433247497926"/>
    <n v="-33.782681914603913"/>
    <n v="-16.4005931281215"/>
    <n v="15.643897380902786"/>
    <n v="-3.196101198195521"/>
    <n v="-9.2434658704233215"/>
    <n v="6.8049393363467061"/>
    <n v="-2.5274008962394419"/>
    <n v="-12.484659141747215"/>
    <n v="-80.818501583707302"/>
    <n v="-1022.2416520308853"/>
  </r>
  <r>
    <x v="36"/>
    <n v="-76.712902194554772"/>
    <n v="-18.963586021057381"/>
    <n v="-2.9425344767119022"/>
    <n v="-12.182933955846067"/>
    <n v="0.8870137772983111"/>
    <n v="1.7470927002193224"/>
    <n v="-67.477206132152673"/>
    <n v="0.22360492359366102"/>
    <n v="8.402551975738703"/>
    <n v="0.4292420623397506"/>
    <n v="3.3770102883199797"/>
    <n v="1.7002348856504454"/>
    <n v="-56.209058941066701"/>
    <n v="11.320891082606977"/>
    <n v="76.357991242307293"/>
    <n v="-24.15184638305476"/>
    <n v="3.1119412330024745"/>
    <n v="6.5914721578251658"/>
    <n v="-22.650683060745081"/>
    <n v="-2.5371157573953269"/>
    <n v="38.974768073326686"/>
    <n v="3.3569639319473481"/>
    <n v="4.2827577014707998"/>
    <n v="2.2136409090285412"/>
    <n v="-13.299601472371918"/>
    <n v="2.0871783074625228E-3"/>
    <n v="33.157734687052539"/>
    <n v="8.9534246607771166"/>
    <n v="4.5670367753016308"/>
    <n v="25.427926999819007"/>
    <n v="40.587002461282637"/>
    <n v="245.36988905444514"/>
    <n v="6.749776935214868"/>
    <n v="35.900453171796329"/>
    <n v="7.1870148152171254"/>
    <n v="39.966443841031975"/>
    <n v="47.531885919823679"/>
    <n v="10.559998353526652"/>
    <n v="-2.035199402389857"/>
    <n v="-26.147916993488252"/>
    <n v="16.449907598248814"/>
    <n v="1.9422445355622919"/>
    <n v="49.090509774657477"/>
    <n v="100.99695053873575"/>
    <n v="-45.108274682122726"/>
    <n v="-34.138441632033391"/>
    <n v="6.1062389856614345"/>
    <n v="214.13157954242433"/>
    <n v="91.35494297546893"/>
    <n v="7.5176856661882834"/>
    <n v="7.7386400517376899"/>
    <n v="333.92098864407996"/>
    <n v="-4.4443473933694086"/>
    <n v="20.600541197306811"/>
    <n v="78.686430244014559"/>
    <n v="1.8899220026037256"/>
    <n v="-10.593965437797848"/>
    <n v="16.960408170631183"/>
    <n v="-2.1334437474102685"/>
    <n v="-128.43140345943948"/>
    <n v="-21.502640545815154"/>
    <n v="-32.508544011541574"/>
    <n v="-10.791534682441522"/>
    <n v="-15.95728595132681"/>
    <n v="8.3974890233908255"/>
    <n v="-11.228787880393014"/>
    <n v="-19.752871319108408"/>
    <n v="-24.755583001583787"/>
    <n v="-295.63765296127622"/>
    <n v="-64.762601529525227"/>
    <n v="-63.35684422664275"/>
    <n v="-152.53760528455803"/>
    <n v="-25.443161112940857"/>
    <n v="-51.765549087452314"/>
    <n v="0.7956197684002575"/>
    <n v="-37.592207826269174"/>
    <n v="-86.593414215434905"/>
    <n v="-14.593980852618614"/>
    <n v="3.3424104653826419"/>
    <n v="13.418316463278074"/>
    <n v="1.3202239091053798"/>
    <n v="19.852668809730744"/>
    <n v="-3.8051463511709471"/>
    <n v="232.17222609633518"/>
    <n v="-212.25936242049988"/>
    <n v="-387.00264985048693"/>
    <n v="-137.20513400023026"/>
    <n v="-174.1238832973645"/>
    <n v="-157.47337878640911"/>
    <n v="-136.51638278681685"/>
    <n v="-239.0051470213657"/>
    <n v="-68.882693603614797"/>
    <n v="-8.4875055953986305"/>
    <n v="-98.117496682097709"/>
    <n v="23.871835376512536"/>
    <n v="-82.708086259772699"/>
    <n v="-97.313068211380369"/>
    <n v="3.1949902627126789"/>
    <n v="-897.49703415581462"/>
    <n v="-32.957940336183015"/>
    <n v="3.6951971578419034"/>
    <n v="-50.101689218279034"/>
    <n v="-53.528950395549593"/>
    <n v="90.913023647272041"/>
    <n v="73.614527153656127"/>
    <n v="22.081102613960866"/>
    <n v="37.472894671899383"/>
    <n v="13.062768805248879"/>
    <n v="-68.878467742280009"/>
    <n v="34.702214832034201"/>
    <n v="-3.027899426997692"/>
    <n v="16.795036003252747"/>
    <n v="24.806477085105371"/>
    <n v="60.496379537436042"/>
    <n v="18.860449292512271"/>
    <n v="96.951240990226324"/>
    <n v="-0.63445945551552541"/>
    <n v="22.374300545824866"/>
    <n v="19.63297701747598"/>
    <n v="68.750175513539034"/>
    <n v="7.8344020188280012"/>
    <n v="58.803204655821901"/>
    <n v="-3.0645625473607438"/>
    <n v="15.523129575260327"/>
    <n v="-17.615201230272987"/>
    <n v="-7.2249459479897951"/>
    <n v="20.550110600361677"/>
    <n v="11.005999183868013"/>
    <n v="-34.724403910508101"/>
    <n v="-21.110782651467957"/>
    <n v="14.77413250834968"/>
    <n v="-3.4212107972315167"/>
    <n v="-9.8128719489261584"/>
    <n v="-5.2969656854356799"/>
    <n v="-3.43894170560867"/>
    <n v="-17.594265235120588"/>
    <n v="-92.923411359284273"/>
    <n v="-1949.3042989381538"/>
  </r>
  <r>
    <x v="37"/>
    <n v="-79.437366243706265"/>
    <n v="-20.827933404804071"/>
    <n v="-3.0881640294151609"/>
    <n v="-12.935129214891276"/>
    <n v="0.88062138901593345"/>
    <n v="1.7401078313579601"/>
    <n v="-79.42683735685921"/>
    <n v="0.20605088051399711"/>
    <n v="8.0592371686947715"/>
    <n v="0.39754087331234356"/>
    <n v="2.6621475317281238"/>
    <n v="1.5344744409137254"/>
    <n v="-63.780626074618112"/>
    <n v="9.8060441737423218"/>
    <n v="74.414649632728043"/>
    <n v="-29.360603234366408"/>
    <n v="3.0195104583619359"/>
    <n v="5.2443862745768683"/>
    <n v="-23.722281647639448"/>
    <n v="-3.7464798584321386"/>
    <n v="31.897397927471161"/>
    <n v="1.3670148909608315"/>
    <n v="3.6684590133622521"/>
    <n v="1.6553343374477407"/>
    <n v="-13.239124888706527"/>
    <n v="-0.36261291437267573"/>
    <n v="29.489176486348072"/>
    <n v="8.5252217592673247"/>
    <n v="4.2001963261479318"/>
    <n v="24.830414864684855"/>
    <n v="38.909656473102672"/>
    <n v="226.18009947066776"/>
    <n v="6.5318993094637037"/>
    <n v="35.460789060089226"/>
    <n v="6.9533682295560624"/>
    <n v="38.468096968506046"/>
    <n v="45.402576903953133"/>
    <n v="10.160042257489195"/>
    <n v="-2.0816947195070838"/>
    <n v="-32.67864678363253"/>
    <n v="16.014512758216355"/>
    <n v="1.8423118654266144"/>
    <n v="47.320654654225024"/>
    <n v="94.59023604751917"/>
    <n v="-45.823695875084638"/>
    <n v="-31.399865375554327"/>
    <n v="3.0100900656296403"/>
    <n v="202.58934889364573"/>
    <n v="61.636334757376517"/>
    <n v="7.4736934762471217"/>
    <n v="7.477689832489915"/>
    <n v="302.73280334826944"/>
    <n v="-4.7017972822331124"/>
    <n v="19.427095409219817"/>
    <n v="72.328251452508425"/>
    <n v="0.9968913965477384"/>
    <n v="-10.370721362640595"/>
    <n v="13.218097381146549"/>
    <n v="-2.825022225350267"/>
    <n v="-150.68939711011535"/>
    <n v="-24.465535776128206"/>
    <n v="-36.644109547131222"/>
    <n v="-12.453974738998767"/>
    <n v="-19.122665819558847"/>
    <n v="8.0121804023055958"/>
    <n v="-12.025566652069529"/>
    <n v="-32.832066604621559"/>
    <n v="-25.793061820769921"/>
    <n v="-346.18100976369715"/>
    <n v="-70.472673113361338"/>
    <n v="-68.897827920828774"/>
    <n v="-171.69517476063845"/>
    <n v="-27.494171073832746"/>
    <n v="-59.763279993333981"/>
    <n v="-0.95377396727074881"/>
    <n v="-41.106521456632493"/>
    <n v="-99.830916260786125"/>
    <n v="-16.155591414867075"/>
    <n v="2.6971354824840148"/>
    <n v="6.6471495980993041"/>
    <n v="-1.2974625430522337"/>
    <n v="17.449488790914813"/>
    <n v="-10.148523506383299"/>
    <n v="161.74832074783535"/>
    <n v="-225.61999881255917"/>
    <n v="-407.36572064459551"/>
    <n v="-143.26917839980928"/>
    <n v="-183.42019171376899"/>
    <n v="-166.00861047051245"/>
    <n v="-147.81882967135641"/>
    <n v="-265.08888845765932"/>
    <n v="-73.325067280324447"/>
    <n v="-10.359554365402204"/>
    <n v="-100.74073410001564"/>
    <n v="20.265193741648034"/>
    <n v="-101.13534047239591"/>
    <n v="-108.22158768026588"/>
    <n v="2.3385032131978107"/>
    <n v="-1042.4767851915276"/>
    <n v="-36.475419790253"/>
    <n v="2.9413651841900474"/>
    <n v="-59.83897674062473"/>
    <n v="-55.894436723952353"/>
    <n v="87.57680755809514"/>
    <n v="68.728072398836048"/>
    <n v="20.644596683061991"/>
    <n v="36.847049597996374"/>
    <n v="12.35777823038481"/>
    <n v="-92.19276808710265"/>
    <n v="29.542874361801182"/>
    <n v="-10.676653833162845"/>
    <n v="16.42933616360753"/>
    <n v="15.611487358392651"/>
    <n v="53.55196039111479"/>
    <n v="14.778781930783452"/>
    <n v="89.766825511611387"/>
    <n v="-8.2054390504988532"/>
    <n v="21.167969488808097"/>
    <n v="18.624996046681076"/>
    <n v="43.523813117629288"/>
    <n v="7.0651403457124786"/>
    <n v="56.184216967747147"/>
    <n v="-3.4271838053229402"/>
    <n v="11.812183910147837"/>
    <n v="-18.819343836872747"/>
    <n v="-9.1242466858676039"/>
    <n v="17.933816652407813"/>
    <n v="10.717644324294042"/>
    <n v="-35.739816687015548"/>
    <n v="-25.612006404896988"/>
    <n v="14.191206388631542"/>
    <n v="-3.6421039861022422"/>
    <n v="-10.372686732926468"/>
    <n v="-16.512759248619204"/>
    <n v="-4.2775035553883072"/>
    <n v="-22.011100499677923"/>
    <n v="-104.45825288602896"/>
    <n v="-2838.4846712900453"/>
  </r>
  <r>
    <x v="38"/>
    <n v="-81.937921589083771"/>
    <n v="-22.473686890122565"/>
    <n v="-3.2389380262647727"/>
    <n v="-13.649810098789345"/>
    <n v="0.87714050374268382"/>
    <n v="1.7354473815006892"/>
    <n v="-90.468326615741717"/>
    <n v="0.19297450606153976"/>
    <n v="7.7186150595856944"/>
    <n v="0.36891952410315998"/>
    <n v="1.9399860101062956"/>
    <n v="1.3862662117813134"/>
    <n v="-70.993097926619726"/>
    <n v="8.4228689355608992"/>
    <n v="72.788041990515154"/>
    <n v="-34.458269769698461"/>
    <n v="2.9353138100238212"/>
    <n v="3.9331974780537848"/>
    <n v="-24.693940261980288"/>
    <n v="-4.768425512942855"/>
    <n v="24.955747148876981"/>
    <n v="-0.54300134607515815"/>
    <n v="3.0838474989451186"/>
    <n v="1.2686151468563764"/>
    <n v="-12.96466458825887"/>
    <n v="-0.72112567024205987"/>
    <n v="25.962018351791812"/>
    <n v="8.1715211054461605"/>
    <n v="3.9018505139024953"/>
    <n v="24.262155630147078"/>
    <n v="37.342228573748145"/>
    <n v="207.51591219535112"/>
    <n v="6.3377795693770693"/>
    <n v="34.752132152513234"/>
    <n v="6.7588900943286205"/>
    <n v="37.060348916295368"/>
    <n v="43.168095435717504"/>
    <n v="9.7775897293422602"/>
    <n v="-2.1234164085096836"/>
    <n v="-39.269256436929652"/>
    <n v="15.621758062501186"/>
    <n v="1.7485585898246736"/>
    <n v="45.611241141687373"/>
    <n v="87.825898364189811"/>
    <n v="-46.505609503313806"/>
    <n v="-27.925263979061754"/>
    <n v="1.4696210855106528E-2"/>
    <n v="190.38838524909136"/>
    <n v="33.104300245453487"/>
    <n v="7.4322966943256104"/>
    <n v="7.2131311130731568"/>
    <n v="270.91016732470791"/>
    <n v="-4.9508143573014287"/>
    <n v="18.248777266127206"/>
    <n v="66.205270353055653"/>
    <n v="0.42043055197362378"/>
    <n v="-9.4804605128535826"/>
    <n v="9.8165855885195015"/>
    <n v="-3.4038074605471422"/>
    <n v="-171.93362923059021"/>
    <n v="-27.220431565637057"/>
    <n v="-40.238978300745657"/>
    <n v="-13.701575978581928"/>
    <n v="-22.208199584638635"/>
    <n v="7.5288022107973376"/>
    <n v="-12.838991473558195"/>
    <n v="-42.582732465940126"/>
    <n v="-26.806351639017265"/>
    <n v="-392.26658520155797"/>
    <n v="-75.769884006151301"/>
    <n v="-73.79733966445832"/>
    <n v="-184.15650245383858"/>
    <n v="-29.48744410503889"/>
    <n v="-67.536805126663467"/>
    <n v="-2.5046532683336693"/>
    <n v="-43.793350827598545"/>
    <n v="-112.48070962624161"/>
    <n v="-17.648621526704488"/>
    <n v="2.0830668756535857"/>
    <n v="0.37179626438319247"/>
    <n v="-3.8392827230956357"/>
    <n v="15.060831722655109"/>
    <n v="-16.120446402640596"/>
    <n v="94.619475751921527"/>
    <n v="-236.58128863571949"/>
    <n v="-425.70438169248098"/>
    <n v="-147.73424870193082"/>
    <n v="-191.7391141522894"/>
    <n v="-175.3160953455149"/>
    <n v="-158.18881597123971"/>
    <n v="-287.54803641560966"/>
    <n v="-76.945462099722278"/>
    <n v="-11.942393714720396"/>
    <n v="-103.26359704719032"/>
    <n v="16.732584127662619"/>
    <n v="-117.5637741805067"/>
    <n v="-118.38082314256917"/>
    <n v="1.493725708682959"/>
    <n v="-1175.1567951754369"/>
    <n v="-38.810327261812574"/>
    <n v="2.2913987336457922"/>
    <n v="-68.112588498791411"/>
    <n v="-58.262240128553707"/>
    <n v="84.671293235258759"/>
    <n v="64.665322150484599"/>
    <n v="19.469151047835851"/>
    <n v="36.447953286489536"/>
    <n v="11.778586506603645"/>
    <n v="-112.80690271641879"/>
    <n v="24.908971213676637"/>
    <n v="-16.641147621757227"/>
    <n v="16.135075116201676"/>
    <n v="8.2266883801953554"/>
    <n v="47.228582295302431"/>
    <n v="11.323938851572393"/>
    <n v="83.602023097854499"/>
    <n v="-14.658539770580319"/>
    <n v="20.200700360371656"/>
    <n v="19.777116701093064"/>
    <n v="20.944822096628741"/>
    <n v="6.4788680038222708"/>
    <n v="53.972584294060766"/>
    <n v="-3.7566153975549383"/>
    <n v="8.5846431150386024"/>
    <n v="-19.615325420117529"/>
    <n v="-10.48963235109494"/>
    <n v="15.656933995955569"/>
    <n v="10.467586804290363"/>
    <n v="-36.411550259491122"/>
    <n v="-29.667428737371552"/>
    <n v="13.892096310403019"/>
    <n v="-3.8204983649658786"/>
    <n v="-10.839540023526581"/>
    <n v="-25.221814048589295"/>
    <n v="-4.6990713389665189"/>
    <n v="-25.022667156692478"/>
    <n v="-114.91281034316671"/>
    <n v="-3641.5222593521498"/>
  </r>
  <r>
    <x v="39"/>
    <n v="-84.16828977868613"/>
    <n v="-23.770600001149489"/>
    <n v="-3.3635243021133157"/>
    <n v="-14.250214782213817"/>
    <n v="0.87461107211349431"/>
    <n v="1.734022581196377"/>
    <n v="-100.54045170118854"/>
    <n v="0.18276071210841494"/>
    <n v="7.4129682917533088"/>
    <n v="0.34450268321110933"/>
    <n v="1.2422895770247919"/>
    <n v="1.2621277360400338"/>
    <n v="-77.609448264925049"/>
    <n v="7.1845923928555351"/>
    <n v="71.580547967519976"/>
    <n v="-39.11656935042646"/>
    <n v="2.8630998749037513"/>
    <n v="2.7198609317997864"/>
    <n v="-25.529432891644802"/>
    <n v="-5.5663139630039495"/>
    <n v="18.393082721447058"/>
    <n v="-2.3458693022552097"/>
    <n v="2.5331670572310259"/>
    <n v="1.0728415690093556"/>
    <n v="-12.516899390583262"/>
    <n v="-1.0537724439422078"/>
    <n v="22.791830216446272"/>
    <n v="7.8891148936840665"/>
    <n v="3.6567947330331947"/>
    <n v="23.74202599411386"/>
    <n v="35.929384320974265"/>
    <n v="190.3419675615587"/>
    <n v="6.1617674845241837"/>
    <n v="33.848009672934083"/>
    <n v="6.6037671399552451"/>
    <n v="35.774748406526953"/>
    <n v="40.894151415519332"/>
    <n v="9.4215044799223904"/>
    <n v="-2.1610410007902239"/>
    <n v="-45.67013037014442"/>
    <n v="15.277535295512379"/>
    <n v="1.6588173422132115"/>
    <n v="44.024614502059904"/>
    <n v="80.918675716420125"/>
    <n v="-47.181366405496149"/>
    <n v="-24.049591651753701"/>
    <n v="-2.825867610357534"/>
    <n v="177.65739827662043"/>
    <n v="6.7077250326756257"/>
    <n v="7.4005449630848563"/>
    <n v="6.9342883196809986"/>
    <n v="239.32769334342515"/>
    <n v="-5.1973137405123921"/>
    <n v="17.131076253783831"/>
    <n v="60.437882194337476"/>
    <n v="0.12291511794606436"/>
    <n v="-7.8556348920464529"/>
    <n v="6.8195250827401424"/>
    <n v="-3.8775354007948977"/>
    <n v="-191.8040432124053"/>
    <n v="-29.701658216418423"/>
    <n v="-43.145624187352666"/>
    <n v="-14.412648652127444"/>
    <n v="-24.999296386365529"/>
    <n v="7.0484045422626878"/>
    <n v="-13.579508465464372"/>
    <n v="-48.408469197602699"/>
    <n v="-27.714720214061757"/>
    <n v="-433.45353311842882"/>
    <n v="-80.492399607137656"/>
    <n v="-77.746333993650069"/>
    <n v="-189.17997348112021"/>
    <n v="-31.217727979408522"/>
    <n v="-74.483015909661276"/>
    <n v="-3.8062239319356621"/>
    <n v="-45.557819712943797"/>
    <n v="-124.24921015517907"/>
    <n v="-18.903942473914924"/>
    <n v="1.5477429952604496"/>
    <n v="-5.157778023375954"/>
    <n v="-6.1930830113604998"/>
    <n v="12.803603974841451"/>
    <n v="-21.537799074028953"/>
    <n v="33.89790620880467"/>
    <n v="-243.93831970843166"/>
    <n v="-438.60617916942749"/>
    <n v="-149.85867225622337"/>
    <n v="-197.86206239789419"/>
    <n v="-183.58146631994617"/>
    <n v="-166.74743452374196"/>
    <n v="-305.45732691212834"/>
    <n v="-79.355989591051468"/>
    <n v="-13.111429917963193"/>
    <n v="-105.06343015712152"/>
    <n v="13.390160360037783"/>
    <n v="-131.90944066436305"/>
    <n v="-127.67389286029288"/>
    <n v="0.71373218263383365"/>
    <n v="-1294.148099833139"/>
    <n v="-39.843793468224248"/>
    <n v="1.7897017140803939"/>
    <n v="-74.56977475279291"/>
    <n v="-60.141097786780477"/>
    <n v="82.236093224179115"/>
    <n v="61.480434953358554"/>
    <n v="18.567848034417864"/>
    <n v="36.194472201905057"/>
    <n v="11.362226081654669"/>
    <n v="-130.64090806023432"/>
    <n v="20.751272636198905"/>
    <n v="-21.159252116377957"/>
    <n v="15.838700082290686"/>
    <n v="2.3428952585081788"/>
    <n v="41.543762237305145"/>
    <n v="8.5240766920031774"/>
    <n v="78.237521255951833"/>
    <n v="-19.911461796903268"/>
    <n v="19.440086972096822"/>
    <n v="22.678683183325461"/>
    <n v="0.96989556880726013"/>
    <n v="5.9149177177158094"/>
    <n v="52.099600270030237"/>
    <n v="-4.0332837301210134"/>
    <n v="5.9811084326888704"/>
    <n v="-20.000249192365004"/>
    <n v="-11.203285901806964"/>
    <n v="13.762542214648647"/>
    <n v="10.236380850688661"/>
    <n v="-36.464092482448322"/>
    <n v="-33.04152821388152"/>
    <n v="13.83371763562053"/>
    <n v="-3.9403464003758941"/>
    <n v="-11.182874287633723"/>
    <n v="-30.786997958488882"/>
    <n v="-4.6618909845353187"/>
    <n v="-26.396399775523605"/>
    <n v="-123.79658919362373"/>
    <n v="-4329.4205262525911"/>
  </r>
  <r>
    <x v="40"/>
    <n v="-86.151897338816639"/>
    <n v="-24.785916159596184"/>
    <n v="-3.4454131153839249"/>
    <n v="-14.756369127871977"/>
    <n v="0.87323676723099442"/>
    <n v="1.7351168153548857"/>
    <n v="-109.9368777857386"/>
    <n v="0.17494716810843247"/>
    <n v="7.1150054976591193"/>
    <n v="0.3221783240093048"/>
    <n v="0.5478283931531962"/>
    <n v="1.1553361981505166"/>
    <n v="-83.798349139246966"/>
    <n v="6.0110663253410337"/>
    <n v="70.717191935601818"/>
    <n v="-43.348987357862711"/>
    <n v="2.8033895524747368"/>
    <n v="1.5593618344810238"/>
    <n v="-26.258806630876052"/>
    <n v="-6.161695831475555"/>
    <n v="12.215305369398152"/>
    <n v="-4.0894789225884836"/>
    <n v="2.013145952252188"/>
    <n v="0.96885221374236608"/>
    <n v="-12.008706332021916"/>
    <n v="-1.3579441180577305"/>
    <n v="19.989411574358655"/>
    <n v="7.6703333454996425"/>
    <n v="3.4446895417941761"/>
    <n v="23.262935500207874"/>
    <n v="34.635805722408776"/>
    <n v="174.47813184377674"/>
    <n v="5.9915050350624242"/>
    <n v="32.816672627751473"/>
    <n v="6.4635870553529955"/>
    <n v="34.619230828449247"/>
    <n v="38.641164981120085"/>
    <n v="9.0870784493490717"/>
    <n v="-2.1956701891677604"/>
    <n v="-51.942572148950887"/>
    <n v="14.958740426676101"/>
    <n v="1.5735365389464615"/>
    <n v="42.543855759899913"/>
    <n v="73.857164671176292"/>
    <n v="-47.867010540382225"/>
    <n v="-20.289784577761793"/>
    <n v="-5.546786478465151"/>
    <n v="164.39822571385275"/>
    <n v="-17.755371266597194"/>
    <n v="7.3781476404120365"/>
    <n v="6.6652410829629769"/>
    <n v="208.07835104595483"/>
    <n v="-5.4425460285391054"/>
    <n v="16.076120268819651"/>
    <n v="55.016274503107411"/>
    <n v="-1.6167242006218885E-2"/>
    <n v="-5.6589370011443236"/>
    <n v="4.1010549433108281"/>
    <n v="-4.2808957423846721"/>
    <n v="-210.56390809408731"/>
    <n v="-31.942871997995212"/>
    <n v="-45.437491666202732"/>
    <n v="-14.655215115373295"/>
    <n v="-27.461554139168015"/>
    <n v="6.6102919120902044"/>
    <n v="-14.20888861194701"/>
    <n v="-51.085520064816365"/>
    <n v="-28.497911415993627"/>
    <n v="-471.08239801650234"/>
    <n v="-84.76273491423774"/>
    <n v="-80.826437854020526"/>
    <n v="-188.56300911306266"/>
    <n v="-32.636184388529841"/>
    <n v="-80.268669768256359"/>
    <n v="-4.8241789643641653"/>
    <n v="-46.411790444897207"/>
    <n v="-135.3204388047559"/>
    <n v="-19.891208958202441"/>
    <n v="1.0794019947656039"/>
    <n v="-9.8642537256736205"/>
    <n v="-8.3624420592203421"/>
    <n v="10.646145140426427"/>
    <n v="-26.489193842149575"/>
    <n v="-21.144024262966013"/>
    <n v="-248.16586088070176"/>
    <n v="-445.61860771811371"/>
    <n v="-150.18062344864452"/>
    <n v="-202.10094039677131"/>
    <n v="-190.00669722673138"/>
    <n v="-173.59847773746583"/>
    <n v="-319.90694752331274"/>
    <n v="-80.757067874639688"/>
    <n v="-13.881709745209093"/>
    <n v="-106.08034314885143"/>
    <n v="10.164401924824233"/>
    <n v="-144.91422420016443"/>
    <n v="-136.5668530137807"/>
    <n v="-3.3458355391672967E-2"/>
    <n v="-1403.8896430103487"/>
    <n v="-39.831304716179091"/>
    <n v="1.4437592883008108"/>
    <n v="-79.710269444444975"/>
    <n v="-61.336932887822428"/>
    <n v="80.131040615613756"/>
    <n v="58.942010397730655"/>
    <n v="17.854753329406037"/>
    <n v="35.948838197273858"/>
    <n v="11.06174085776054"/>
    <n v="-146.67998932608998"/>
    <n v="16.537100373996168"/>
    <n v="-24.96929191244817"/>
    <n v="15.224629388173696"/>
    <n v="-2.9395853378543961"/>
    <n v="36.260507779014688"/>
    <n v="6.1047828794215775"/>
    <n v="73.317267288429775"/>
    <n v="-25.173977504668983"/>
    <n v="18.763882688792478"/>
    <n v="26.681659158322873"/>
    <n v="-17.282417291369711"/>
    <n v="5.2125576083536771"/>
    <n v="50.319236962257378"/>
    <n v="-4.2602736749277099"/>
    <n v="3.7861430548800854"/>
    <n v="-20.120739230336085"/>
    <n v="-11.382255059180522"/>
    <n v="12.012234157464718"/>
    <n v="9.9756940464902328"/>
    <n v="-35.952313155650714"/>
    <n v="-35.961417746204461"/>
    <n v="13.787703973645193"/>
    <n v="-4.0078888542474971"/>
    <n v="-11.412552091464036"/>
    <n v="-34.089134692874268"/>
    <n v="-4.2513966189176813"/>
    <n v="-26.619064134779251"/>
    <n v="-131.55249030946106"/>
    <n v="-4928.8062531017631"/>
  </r>
  <r>
    <x v="41"/>
    <n v="-87.904703695895932"/>
    <n v="-25.514541765541594"/>
    <n v="-3.4775986368636502"/>
    <n v="-15.138773017732632"/>
    <n v="0.87430800648521378"/>
    <n v="1.7384327946398996"/>
    <n v="-118.63515921213593"/>
    <n v="0.16907391917533943"/>
    <n v="6.8480659616241368"/>
    <n v="0.30229067322547554"/>
    <n v="-0.10828249715508775"/>
    <n v="1.063856789265671"/>
    <n v="-89.471576778665508"/>
    <n v="4.898818029350025"/>
    <n v="70.133110262719526"/>
    <n v="-47.013878321503512"/>
    <n v="2.7564896302071431"/>
    <n v="0.48533818911658955"/>
    <n v="-26.882956405738042"/>
    <n v="-6.5793228109223776"/>
    <n v="6.5494786294651703"/>
    <n v="-5.7456417562189586"/>
    <n v="1.5241884113369224"/>
    <n v="0.92021647342698998"/>
    <n v="-11.502685702684076"/>
    <n v="-1.6326141918307968"/>
    <n v="17.619727364199434"/>
    <n v="7.4968429388774354"/>
    <n v="3.2483772516415783"/>
    <n v="22.856034751818527"/>
    <n v="33.445364747958777"/>
    <n v="159.99343317293096"/>
    <n v="5.8275282866416376"/>
    <n v="31.810693149320947"/>
    <n v="6.3297671353851044"/>
    <n v="33.582212731447783"/>
    <n v="36.528653686745656"/>
    <n v="8.7772922392858561"/>
    <n v="-2.2262401501169009"/>
    <n v="-57.904868424436927"/>
    <n v="14.666025890246473"/>
    <n v="1.4918564089023025"/>
    <n v="41.209503473037273"/>
    <n v="67.026103275062269"/>
    <n v="-48.560587347843139"/>
    <n v="-16.961104232798675"/>
    <n v="-8.1255820362383702"/>
    <n v="150.93992612577543"/>
    <n v="-40.217037908477778"/>
    <n v="7.3665968699858881"/>
    <n v="6.4109790211295312"/>
    <n v="177.46842828498524"/>
    <n v="-5.6880863241880846"/>
    <n v="15.094334076365726"/>
    <n v="49.934472597627405"/>
    <n v="-1.4313673835573582E-2"/>
    <n v="-3.1645805043010711"/>
    <n v="1.6361715692493135"/>
    <n v="-4.6348541979052982"/>
    <n v="-227.92571685590246"/>
    <n v="-33.922770024043359"/>
    <n v="-47.195333980719511"/>
    <n v="-14.51529145604546"/>
    <n v="-29.517459606044099"/>
    <n v="6.2849134177359787"/>
    <n v="-14.684391570802141"/>
    <n v="-51.242510836673091"/>
    <n v="-29.097377242899327"/>
    <n v="-505.62824247829121"/>
    <n v="-88.607649344972003"/>
    <n v="-83.002103689353703"/>
    <n v="-184.68635788736549"/>
    <n v="-33.704782894014755"/>
    <n v="-84.73258033231275"/>
    <n v="-5.6184192675135449"/>
    <n v="-46.621851853043552"/>
    <n v="-145.57033484449448"/>
    <n v="-20.567760069272822"/>
    <n v="0.7042598046958517"/>
    <n v="-13.812327989506457"/>
    <n v="-10.309849614000569"/>
    <n v="8.6635967696086595"/>
    <n v="-31.007767099690454"/>
    <n v="-70.473663607134768"/>
    <n v="-249.52282018810831"/>
    <n v="-445.91489184663044"/>
    <n v="-148.72843896229335"/>
    <n v="-204.12050507492086"/>
    <n v="-193.731591344241"/>
    <n v="-178.50779704999218"/>
    <n v="-331.27309076540541"/>
    <n v="-81.263943673732712"/>
    <n v="-14.314973177053162"/>
    <n v="-106.12334884826011"/>
    <n v="7.2177474508010278"/>
    <n v="-156.77537154369611"/>
    <n v="-144.97264513297296"/>
    <n v="-0.72056767053518911"/>
    <n v="-1505.3413569418917"/>
    <n v="-38.965396733466719"/>
    <n v="1.2383005864310803"/>
    <n v="-83.595245006698178"/>
    <n v="-61.742287343891277"/>
    <n v="78.268778295899722"/>
    <n v="56.905847117888811"/>
    <n v="17.284125593448323"/>
    <n v="35.671223862312246"/>
    <n v="10.858695905552736"/>
    <n v="-161.1552719238266"/>
    <n v="12.38025892012206"/>
    <n v="-28.465836997189172"/>
    <n v="14.428518923261109"/>
    <n v="-7.8546063088906521"/>
    <n v="31.367485449369951"/>
    <n v="4.0314883986794712"/>
    <n v="68.679771197459559"/>
    <n v="-30.369070014575072"/>
    <n v="18.141841723320482"/>
    <n v="30.926598380650603"/>
    <n v="-34.002766010758023"/>
    <n v="4.3242546093780163"/>
    <n v="48.546805066495267"/>
    <n v="-4.434672682229305"/>
    <n v="1.9839278417838386"/>
    <n v="-20.022463648232815"/>
    <n v="-11.084712759256774"/>
    <n v="10.48729289179164"/>
    <n v="9.7134238617587414"/>
    <n v="-34.899629150236692"/>
    <n v="-38.399375085331144"/>
    <n v="13.746696865283184"/>
    <n v="-4.0293150603974865"/>
    <n v="-11.5427344822007"/>
    <n v="-35.397988069813437"/>
    <n v="-3.5381026212377833"/>
    <n v="-25.935535737501709"/>
    <n v="-138.19127913095622"/>
    <n v="-5443.6073173711611"/>
  </r>
  <r>
    <x v="42"/>
    <n v="-89.537915565915455"/>
    <n v="-26.11252133894277"/>
    <n v="-3.470964391201516"/>
    <n v="-15.44712973757089"/>
    <n v="0.87521943025834081"/>
    <n v="1.7423242560897798"/>
    <n v="-127.01541848384807"/>
    <n v="0.16313355523687889"/>
    <n v="6.5953559028507058"/>
    <n v="0.28285059892089581"/>
    <n v="-0.73323211983681347"/>
    <n v="0.97866702525675464"/>
    <n v="-94.832309563356375"/>
    <n v="3.7917424625518947"/>
    <n v="69.654241016938329"/>
    <n v="-50.258497888502234"/>
    <n v="2.7173014294119575"/>
    <n v="-0.53289076400395174"/>
    <n v="-27.452239122874715"/>
    <n v="-6.922335865960207"/>
    <n v="1.2964741300784226"/>
    <n v="-7.3463776171284394"/>
    <n v="1.0572488396833535"/>
    <n v="0.84450439555938317"/>
    <n v="-11.081614424941407"/>
    <n v="-1.8804456494697916"/>
    <n v="15.555053682832181"/>
    <n v="7.3389905942922411"/>
    <n v="3.0436121145721415"/>
    <n v="22.491773939399764"/>
    <n v="32.319566544537807"/>
    <n v="146.64256294127381"/>
    <n v="5.6609703497049537"/>
    <n v="30.902324530808002"/>
    <n v="6.187988495979333"/>
    <n v="32.630743382877654"/>
    <n v="34.575317611065969"/>
    <n v="8.4846276612917606"/>
    <n v="-2.2550493280688748"/>
    <n v="-63.533652236395312"/>
    <n v="14.377444671165421"/>
    <n v="1.4127258689123874"/>
    <n v="39.970698453650925"/>
    <n v="60.524835830672373"/>
    <n v="-49.259243406843268"/>
    <n v="-14.279479972757088"/>
    <n v="-10.58891052928891"/>
    <n v="137.87283876124366"/>
    <n v="-61.171048575638451"/>
    <n v="7.361829592112036"/>
    <n v="6.1764612383958735"/>
    <n v="148.34402009045675"/>
    <n v="-5.9305262554828673"/>
    <n v="14.190345628888366"/>
    <n v="45.144047462376989"/>
    <n v="-5.7027354697567034E-2"/>
    <n v="-0.69029059327623088"/>
    <n v="-0.73226878751586355"/>
    <n v="-4.986986481480443"/>
    <n v="-244.42708409938405"/>
    <n v="-35.759653896124405"/>
    <n v="-48.710224635292434"/>
    <n v="-14.227446144119597"/>
    <n v="-31.280786228508362"/>
    <n v="6.0862441160145409"/>
    <n v="-15.035504257343455"/>
    <n v="-50.566736399372758"/>
    <n v="-29.564349020564961"/>
    <n v="-538.80882125860444"/>
    <n v="-92.209387296644934"/>
    <n v="-84.695530474389898"/>
    <n v="-180.27196140468288"/>
    <n v="-34.498833919365012"/>
    <n v="-88.152028774820224"/>
    <n v="-6.2713191452479293"/>
    <n v="-46.578036257638075"/>
    <n v="-155.29384382574131"/>
    <n v="-21.035393613826329"/>
    <n v="0.38207895292809724"/>
    <n v="-17.255077399423499"/>
    <n v="-12.091417790134614"/>
    <n v="6.8116731974324125"/>
    <n v="-35.244383769010369"/>
    <n v="-115.78313452218572"/>
    <n v="-249.66228498844168"/>
    <n v="-442.2282900113662"/>
    <n v="-146.6939171632005"/>
    <n v="-204.99311967605388"/>
    <n v="-195.21969318612946"/>
    <n v="-182.32707120878229"/>
    <n v="-341.53571889648492"/>
    <n v="-81.40195289666903"/>
    <n v="-14.582511204781497"/>
    <n v="-105.52347292750189"/>
    <n v="4.4548723252129889"/>
    <n v="-168.34853987625957"/>
    <n v="-153.21415759313163"/>
    <n v="-1.3684468054138534"/>
    <n v="-1603.5048310968414"/>
    <n v="-37.919705971106225"/>
    <n v="1.1124189135456675"/>
    <n v="-87.085764417456176"/>
    <n v="-61.535638033000083"/>
    <n v="76.469774618462679"/>
    <n v="54.979341860547152"/>
    <n v="16.736675717523553"/>
    <n v="35.273723148474005"/>
    <n v="10.682883464847862"/>
    <n v="-175.30902998859438"/>
    <n v="7.9985674667731246"/>
    <n v="-32.295553095226069"/>
    <n v="13.36567541618632"/>
    <n v="-13.177856466850926"/>
    <n v="26.572983783735708"/>
    <n v="1.9686292179586644"/>
    <n v="63.94676828499837"/>
    <n v="-36.093891454165259"/>
    <n v="17.467340791871493"/>
    <n v="34.620269175490307"/>
    <n v="-50.365990225371206"/>
    <n v="3.2325840351363979"/>
    <n v="46.658035173636677"/>
    <n v="-4.5812444764254749"/>
    <n v="0.29362234584391445"/>
    <n v="-19.936458794439488"/>
    <n v="-10.654957295027884"/>
    <n v="8.9380367240680698"/>
    <n v="9.4206112534244824"/>
    <n v="-33.60121060243705"/>
    <n v="-40.648962998754769"/>
    <n v="13.553729295365656"/>
    <n v="-4.0312026024811942"/>
    <n v="-11.628231500588058"/>
    <n v="-36.249368998170667"/>
    <n v="-2.771419144679669"/>
    <n v="-25.138452982767717"/>
    <n v="-144.33797081698253"/>
    <n v="-5919.6018658141802"/>
  </r>
  <r>
    <x v="43"/>
    <n v="-91.104481459321164"/>
    <n v="-26.667526573499629"/>
    <n v="-3.4404424591084464"/>
    <n v="-15.708676467088367"/>
    <n v="0.87711622033439807"/>
    <n v="1.7458940497861408"/>
    <n v="-135.12952773679046"/>
    <n v="0.15717498442666411"/>
    <n v="6.3568839366445715"/>
    <n v="0.26344196313248514"/>
    <n v="-1.3171439669995806"/>
    <n v="0.8942328018516692"/>
    <n v="-99.957914438740431"/>
    <n v="2.6844473660686106"/>
    <n v="69.162318113692208"/>
    <n v="-53.181750855998359"/>
    <n v="2.6830862884660731"/>
    <n v="-1.5018475223349412"/>
    <n v="-27.995571265286486"/>
    <n v="-7.2454131447231305"/>
    <n v="-3.5993880690305105"/>
    <n v="-8.8862841701095476"/>
    <n v="0.60977391268343695"/>
    <n v="0.70648281518678857"/>
    <n v="-10.771457207572482"/>
    <n v="-2.1111039462998562"/>
    <n v="13.703813245730089"/>
    <n v="7.1808449611402239"/>
    <n v="2.8254117813200494"/>
    <n v="22.178577084080601"/>
    <n v="31.223575896922142"/>
    <n v="133.97615123782862"/>
    <n v="5.4949045228668041"/>
    <n v="30.179528230741283"/>
    <n v="6.0331666434750773"/>
    <n v="31.733406023196068"/>
    <n v="32.829869499336411"/>
    <n v="8.2058725070953003"/>
    <n v="-2.2816711540346617"/>
    <n v="-68.814298665882404"/>
    <n v="14.089795949380175"/>
    <n v="1.336479030515207"/>
    <n v="38.816232020734105"/>
    <n v="54.534249369771828"/>
    <n v="-49.945132821709535"/>
    <n v="-12.252622570652022"/>
    <n v="-12.947403496496008"/>
    <n v="125.48525816918144"/>
    <n v="-81.098312383164284"/>
    <n v="7.3606897050889071"/>
    <n v="5.9679443038478155"/>
    <n v="120.63673542175695"/>
    <n v="-6.1671012819652553"/>
    <n v="13.339882598845364"/>
    <n v="40.573300960224969"/>
    <n v="-0.15902181132005921"/>
    <n v="1.5009861936118654"/>
    <n v="-3.066557305704805"/>
    <n v="-5.3530651546213335"/>
    <n v="-260.13028913642756"/>
    <n v="-37.495452368536291"/>
    <n v="-50.189656528865783"/>
    <n v="-13.952615626709559"/>
    <n v="-32.835256912115653"/>
    <n v="6.0101093877033946"/>
    <n v="-15.292543819548804"/>
    <n v="-50.129784296554817"/>
    <n v="-29.921161978843443"/>
    <n v="-571.31512384776215"/>
    <n v="-95.686006919034412"/>
    <n v="-86.1386157018419"/>
    <n v="-177.05875585151239"/>
    <n v="-35.122068378583123"/>
    <n v="-90.864185937364823"/>
    <n v="-6.8784922736984697"/>
    <n v="-46.622290890614266"/>
    <n v="-164.57966000940792"/>
    <n v="-21.377472566994555"/>
    <n v="9.8822011172828184E-2"/>
    <n v="-20.431072586020491"/>
    <n v="-13.748428111517768"/>
    <n v="5.0802483146791246"/>
    <n v="-39.328431665124299"/>
    <n v="-158.84230225681677"/>
    <n v="-249.71187637616674"/>
    <n v="-436.49391868233249"/>
    <n v="-144.69322510169562"/>
    <n v="-205.3172777901035"/>
    <n v="-195.0382621203554"/>
    <n v="-185.52731796370813"/>
    <n v="-351.63885290981489"/>
    <n v="-81.541152986304041"/>
    <n v="-14.825304176061678"/>
    <n v="-104.56601629723393"/>
    <n v="1.9071078961319472"/>
    <n v="-179.87642460905863"/>
    <n v="-161.29093313562271"/>
    <n v="-1.9840858560301058"/>
    <n v="-1700.1002401979495"/>
    <n v="-37.002228195144369"/>
    <n v="1.0152052763514234"/>
    <n v="-90.530799990717469"/>
    <n v="-60.973102644600985"/>
    <n v="74.639386329480601"/>
    <n v="52.986056957915139"/>
    <n v="16.161221289152877"/>
    <n v="34.772722286829605"/>
    <n v="10.494999415267344"/>
    <n v="-189.44927992965222"/>
    <n v="3.5281066861149384"/>
    <n v="-36.630107328916438"/>
    <n v="12.202120292985285"/>
    <n v="-18.941721817136795"/>
    <n v="21.842423391891543"/>
    <n v="-0.15062214799729645"/>
    <n v="59.095646209778579"/>
    <n v="-42.269254449655364"/>
    <n v="16.731260246216664"/>
    <n v="37.303344195621492"/>
    <n v="-66.592047127855949"/>
    <n v="2.0096093166586968"/>
    <n v="44.646508733783207"/>
    <n v="-4.7130529719573815"/>
    <n v="-1.3965045458230634"/>
    <n v="-19.928261518445993"/>
    <n v="-10.25515179828551"/>
    <n v="7.3904141126657805"/>
    <n v="9.1252497868068048"/>
    <n v="-32.274617422357025"/>
    <n v="-42.834836541763366"/>
    <n v="13.22307592203191"/>
    <n v="-4.0307003030490165"/>
    <n v="-11.704578308179734"/>
    <n v="-37.340480670594843"/>
    <n v="-2.063627086018414"/>
    <n v="-24.629250515185049"/>
    <n v="-150.31588308891878"/>
    <n v="-6379.6632143288343"/>
  </r>
  <r>
    <x v="44"/>
    <n v="-92.681171434303906"/>
    <n v="-27.277456596778222"/>
    <n v="-3.405440444634305"/>
    <n v="-15.961366023106223"/>
    <n v="0.87808465529792112"/>
    <n v="1.7482331583708246"/>
    <n v="-143.13071072071386"/>
    <n v="0.14998066585856051"/>
    <n v="6.1303816628745196"/>
    <n v="0.2436120089754219"/>
    <n v="-1.8596831199468369"/>
    <n v="0.8066909281385044"/>
    <n v="-104.94198142151106"/>
    <n v="1.5777478120758701"/>
    <n v="68.560455069709434"/>
    <n v="-55.934467886075879"/>
    <n v="2.6490972202656775"/>
    <n v="-2.4284465752038784"/>
    <n v="-28.544111768299587"/>
    <n v="-7.61967050477881"/>
    <n v="-8.2462306196758846"/>
    <n v="-10.37012285956331"/>
    <n v="0.17635237213028176"/>
    <n v="0.49580499763411012"/>
    <n v="-10.574755187444595"/>
    <n v="-2.330054816126669"/>
    <n v="11.935838757381021"/>
    <n v="7.0038729049954611"/>
    <n v="2.5889113730852102"/>
    <n v="21.892263159547454"/>
    <n v="30.142271534331769"/>
    <n v="121.8021228180346"/>
    <n v="5.329086477568076"/>
    <n v="29.655643786040272"/>
    <n v="5.867532934513001"/>
    <n v="30.856730250313348"/>
    <n v="31.264529303687766"/>
    <n v="7.9365823132974498"/>
    <n v="-2.3077200023085354"/>
    <n v="-73.737894141002926"/>
    <n v="13.798713456080435"/>
    <n v="1.2623216188189073"/>
    <n v="37.709598230450837"/>
    <n v="49.093968296463913"/>
    <n v="-50.606300428276356"/>
    <n v="-10.728489186569561"/>
    <n v="-15.210590849210632"/>
    <n v="114.15215607712851"/>
    <n v="-100.36260675776339"/>
    <n v="7.3595755164621508"/>
    <n v="5.7770437081047259"/>
    <n v="94.776612070381987"/>
    <n v="-6.3942538690436095"/>
    <n v="12.538321720842916"/>
    <n v="36.173371409158904"/>
    <n v="-0.39025818133561074"/>
    <n v="3.2587546267202185"/>
    <n v="-5.4231576715909569"/>
    <n v="-5.7494613864753035"/>
    <n v="-275.34551686295436"/>
    <n v="-39.211450119552808"/>
    <n v="-51.837765806473897"/>
    <n v="-13.847858959118497"/>
    <n v="-34.308617776442816"/>
    <n v="6.0246682497297641"/>
    <n v="-15.510974711142616"/>
    <n v="-50.973481035804298"/>
    <n v="-30.237546701116642"/>
    <n v="-603.81418332307567"/>
    <n v="-99.131313728564805"/>
    <n v="-87.675678506445024"/>
    <n v="-176.05350036957441"/>
    <n v="-35.690230772283996"/>
    <n v="-93.365360443575014"/>
    <n v="-7.5292843215575687"/>
    <n v="-47.05386662096501"/>
    <n v="-173.5802495076764"/>
    <n v="-21.706442395131631"/>
    <n v="-0.17597888786066562"/>
    <n v="-23.601013284537885"/>
    <n v="-15.33390924007989"/>
    <n v="3.4418297904142037"/>
    <n v="-43.343888312008403"/>
    <n v="-200.86239205212769"/>
    <n v="-250.80081596258788"/>
    <n v="-431.47260492201337"/>
    <n v="-143.44665622824249"/>
    <n v="-205.90161621260199"/>
    <n v="-194.20087609205649"/>
    <n v="-188.81456524098894"/>
    <n v="-362.59222910393828"/>
    <n v="-82.017224397069896"/>
    <n v="-15.174984552196747"/>
    <n v="-103.62307216872418"/>
    <n v="-0.4907211757127925"/>
    <n v="-191.62282331181223"/>
    <n v="-169.2288244096269"/>
    <n v="-2.571766171444068"/>
    <n v="-1796.7011216588398"/>
    <n v="-36.604178908735662"/>
    <n v="0.88856608595114039"/>
    <n v="-94.372271268943223"/>
    <n v="-60.362366213989951"/>
    <n v="72.715597348531901"/>
    <n v="50.748554355721922"/>
    <n v="15.509622217035371"/>
    <n v="34.185549645291644"/>
    <n v="10.263171836878925"/>
    <n v="-203.98859949119651"/>
    <n v="-0.95134012633809562"/>
    <n v="-41.528825815531718"/>
    <n v="11.050463673143753"/>
    <n v="-25.219462814372719"/>
    <n v="17.091370153102616"/>
    <n v="-2.4324369197175884"/>
    <n v="54.058732378294735"/>
    <n v="-48.704578562309052"/>
    <n v="15.922616657355434"/>
    <n v="38.786329741423799"/>
    <n v="-83.079904842829819"/>
    <n v="0.74811707911868552"/>
    <n v="42.556940622258594"/>
    <n v="-4.84933014522192"/>
    <n v="-3.2009943395320306"/>
    <n v="-20.096697323076398"/>
    <n v="-10.095863098808422"/>
    <n v="5.7801425814213871"/>
    <n v="8.8306851497646193"/>
    <n v="-31.146479068288158"/>
    <n v="-45.082696947917725"/>
    <n v="12.762024010904327"/>
    <n v="-4.0462777886711834"/>
    <n v="-11.811319272479324"/>
    <n v="-39.41938478093698"/>
    <n v="-1.5617016392141068"/>
    <n v="-24.777156569431668"/>
    <n v="-156.41792904325052"/>
    <n v="-6847.8593583073753"/>
  </r>
  <r>
    <x v="45"/>
    <n v="-94.30148612322273"/>
    <n v="-28.00685292125047"/>
    <n v="-3.3819751870670629"/>
    <n v="-16.242601395049292"/>
    <n v="0.87826307966422901"/>
    <n v="1.7489334261987968"/>
    <n v="-151.07650634255879"/>
    <n v="0.14172315783321032"/>
    <n v="5.9053993227797079"/>
    <n v="0.22307909130563885"/>
    <n v="-2.3732710964058583"/>
    <n v="0.71350419822706002"/>
    <n v="-109.88314563387348"/>
    <n v="0.47496558440408876"/>
    <n v="67.802848020050334"/>
    <n v="-58.681478315024151"/>
    <n v="2.6125343371369762"/>
    <n v="-3.3343916594762106"/>
    <n v="-29.120779143919464"/>
    <n v="-8.0737870520989929"/>
    <n v="-12.763801760183355"/>
    <n v="-11.809173253098237"/>
    <n v="-0.24579836917986597"/>
    <n v="0.21303874457801442"/>
    <n v="-10.472266985670842"/>
    <n v="-2.5457771881435747"/>
    <n v="10.136772195056324"/>
    <n v="6.8047257712974698"/>
    <n v="2.3408229647252767"/>
    <n v="21.615501037639731"/>
    <n v="29.05884866891202"/>
    <n v="109.74946573901207"/>
    <n v="5.1654576171547646"/>
    <n v="29.299170390186077"/>
    <n v="5.6936717201923273"/>
    <n v="29.979402777970023"/>
    <n v="29.837156670306598"/>
    <n v="7.6724303200435884"/>
    <n v="-2.3338639721754717"/>
    <n v="-78.405546661160713"/>
    <n v="13.503353910911045"/>
    <n v="1.1906946400495162"/>
    <n v="36.620004565527864"/>
    <n v="44.109704280586129"/>
    <n v="-51.231447794279759"/>
    <n v="-9.5033445739541662"/>
    <n v="-17.401065992986389"/>
    <n v="103.84251166334505"/>
    <n v="-119.37396462437937"/>
    <n v="7.3551608270833748"/>
    <n v="5.6026390412395859"/>
    <n v="70.465196928950263"/>
    <n v="-6.6094855996246196"/>
    <n v="11.761381106840048"/>
    <n v="31.883522362264557"/>
    <n v="-0.7426201843030924"/>
    <n v="4.5541165049763066"/>
    <n v="-7.8257555870617352"/>
    <n v="-6.1740922507800065"/>
    <n v="-290.26799279633315"/>
    <n v="-40.9508478039686"/>
    <n v="-53.750018162070489"/>
    <n v="-13.988957329839963"/>
    <n v="-35.810995543934325"/>
    <n v="6.0703890044666409"/>
    <n v="-15.742126991267554"/>
    <n v="-53.589071012503382"/>
    <n v="-30.572721787249407"/>
    <n v="-636.56437824123623"/>
    <n v="-102.61977261568705"/>
    <n v="-89.527615655099964"/>
    <n v="-177.52102040302884"/>
    <n v="-36.318594470076789"/>
    <n v="-96.058234243131778"/>
    <n v="-8.2674307833138272"/>
    <n v="-47.966198108870259"/>
    <n v="-182.42249108636042"/>
    <n v="-22.112123176504923"/>
    <n v="-0.46675497721390968"/>
    <n v="-26.922401647404058"/>
    <n v="-16.901132487040883"/>
    <n v="1.8518304513355019"/>
    <n v="-47.365992243743904"/>
    <n v="-243.1522349738425"/>
    <n v="-253.56020958280908"/>
    <n v="-429.12196375055851"/>
    <n v="-143.35731524707555"/>
    <n v="-207.36946667680854"/>
    <n v="-193.70080730733264"/>
    <n v="-192.6802185221436"/>
    <n v="-374.87077347608647"/>
    <n v="-83.026765601830505"/>
    <n v="-15.699982320664901"/>
    <n v="-103.02699948163881"/>
    <n v="-2.8123481072253185"/>
    <n v="-203.62698383856787"/>
    <n v="-177.0606654189321"/>
    <n v="-3.1486147665507218"/>
    <n v="-1893.8472420059734"/>
    <n v="-36.841071331919181"/>
    <n v="0.69971935257203199"/>
    <n v="-98.815469814093603"/>
    <n v="-59.979793464071264"/>
    <n v="70.685190682996677"/>
    <n v="48.22817726839105"/>
    <n v="14.770700457151236"/>
    <n v="33.557851127710052"/>
    <n v="9.9713414063520247"/>
    <n v="-218.96624884003131"/>
    <n v="-5.3611845664523798"/>
    <n v="-46.848036337697295"/>
    <n v="9.9862117549353115"/>
    <n v="-31.847463297216109"/>
    <n v="12.322645057440695"/>
    <n v="-4.8851397840513755"/>
    <n v="48.928063278881609"/>
    <n v="-55.27961633800146"/>
    <n v="15.061140652479253"/>
    <n v="39.258142542698522"/>
    <n v="-99.828492141478819"/>
    <n v="-0.45869814891588589"/>
    <n v="40.442782214894578"/>
    <n v="-5.0012850204843105"/>
    <n v="-5.1799404262779944"/>
    <n v="-20.454880606470851"/>
    <n v="-10.256157541463438"/>
    <n v="4.0917185677121779"/>
    <n v="8.5449974612089648"/>
    <n v="-30.362316661858728"/>
    <n v="-47.486635336900122"/>
    <n v="12.206056014760009"/>
    <n v="-4.0872763169595672"/>
    <n v="-11.967621755437705"/>
    <n v="-42.795768854597554"/>
    <n v="-1.3060820629410728"/>
    <n v="-25.706670734434624"/>
    <n v="-162.85236909320315"/>
    <n v="-7338.6190028233723"/>
  </r>
  <r>
    <x v="46"/>
    <n v="-95.96701254561799"/>
    <n v="-28.848327969031232"/>
    <n v="-3.3792334273364553"/>
    <n v="-16.559310470213234"/>
    <n v="0.87755714198514356"/>
    <n v="1.7482331588517721"/>
    <n v="-158.91767960935272"/>
    <n v="0.13253113701214581"/>
    <n v="5.6860035381630283"/>
    <n v="0.20247946285074647"/>
    <n v="-2.8603268448587329"/>
    <n v="0.61649265461405722"/>
    <n v="-114.76520236256613"/>
    <n v="-0.59864659022159117"/>
    <n v="66.913158923447952"/>
    <n v="-61.484302752617282"/>
    <n v="2.5720735878741356"/>
    <n v="-4.2162890253976286"/>
    <n v="-29.724207722693365"/>
    <n v="-8.6061397196815506"/>
    <n v="-17.20430639191693"/>
    <n v="-13.197954267796518"/>
    <n v="-0.65745059912117654"/>
    <n v="-0.1065455870019747"/>
    <n v="-10.42008349971934"/>
    <n v="-2.761783784350591"/>
    <n v="8.2617733763620436"/>
    <n v="6.5853100155835023"/>
    <n v="2.090462129514215"/>
    <n v="21.336125646038568"/>
    <n v="27.979681470362095"/>
    <n v="97.766380321329052"/>
    <n v="5.0073073037832998"/>
    <n v="29.052766433387916"/>
    <n v="5.5206408394430895"/>
    <n v="29.09171319297235"/>
    <n v="28.495831237126822"/>
    <n v="7.4128687722155604"/>
    <n v="-2.3604497759561838"/>
    <n v="-82.861718720894316"/>
    <n v="13.210898045658382"/>
    <n v="1.1213616622956053"/>
    <n v="35.539975438691499"/>
    <n v="39.49739836486799"/>
    <n v="-51.815806576388837"/>
    <n v="-8.3339483823984892"/>
    <n v="-19.521526550809426"/>
    <n v="94.431166623762024"/>
    <n v="-138.20479842351324"/>
    <n v="7.3464858287591728"/>
    <n v="5.435061323094418"/>
    <n v="47.472805538921364"/>
    <n v="-6.8124015276804144"/>
    <n v="11.000948577195032"/>
    <n v="27.680580453608513"/>
    <n v="-1.1709498809896388"/>
    <n v="5.4724609711444572"/>
    <n v="-10.237009809779124"/>
    <n v="-6.6129805917634883"/>
    <n v="-304.90109801716653"/>
    <n v="-42.71645846413702"/>
    <n v="-55.899390198436606"/>
    <n v="-14.365743874224094"/>
    <n v="-37.387818901941557"/>
    <n v="6.098665972282987"/>
    <n v="-16.015738880184465"/>
    <n v="-57.82696118500121"/>
    <n v="-30.959787967387925"/>
    <n v="-669.2497590622761"/>
    <n v="-106.13634813277065"/>
    <n v="-91.746744080003339"/>
    <n v="-181.13424689691396"/>
    <n v="-37.064327521395967"/>
    <n v="-99.183848075559808"/>
    <n v="-9.1073830189090756"/>
    <n v="-49.321545807301021"/>
    <n v="-191.0992186741455"/>
    <n v="-22.629005536288105"/>
    <n v="-0.77794672567176804"/>
    <n v="-30.453860709914352"/>
    <n v="-18.467413345237674"/>
    <n v="0.30315498437653332"/>
    <n v="-51.384380758700104"/>
    <n v="-285.80835104780454"/>
    <n v="-257.88347848559545"/>
    <n v="-430.06561801697296"/>
    <n v="-144.31635086047595"/>
    <n v="-209.79364821307729"/>
    <n v="-194.12929041965299"/>
    <n v="-197.23068867099653"/>
    <n v="-388.23454453305612"/>
    <n v="-84.526490743501057"/>
    <n v="-16.39917738270222"/>
    <n v="-102.89217537276167"/>
    <n v="-5.0807498861108229"/>
    <n v="-215.65962937821951"/>
    <n v="-184.67779177237162"/>
    <n v="-3.7109087755722641"/>
    <n v="-1990.2624461201522"/>
    <n v="-37.635099630740569"/>
    <n v="0.43961293101364163"/>
    <n v="-103.74395993241023"/>
    <n v="-59.965573101473609"/>
    <n v="68.599053946521224"/>
    <n v="45.506763405412698"/>
    <n v="13.971107008742251"/>
    <n v="32.94952621016597"/>
    <n v="9.6332635805897269"/>
    <n v="-234.05642987026204"/>
    <n v="-9.5294420844654724"/>
    <n v="-52.27453514788067"/>
    <n v="9.112456352286415"/>
    <n v="-38.480993891467961"/>
    <n v="7.6179214457679336"/>
    <n v="-7.4149777670901358"/>
    <n v="43.849103905439279"/>
    <n v="-61.581106620622222"/>
    <n v="14.19467602649695"/>
    <n v="39.083893863596529"/>
    <n v="-116.53778784769293"/>
    <n v="-1.534804914482919"/>
    <n v="38.394607500785582"/>
    <n v="-5.1704582017060403"/>
    <n v="-7.2752505037656192"/>
    <n v="-20.950416829103915"/>
    <n v="-10.702276256532684"/>
    <n v="2.389283288369711"/>
    <n v="8.2816791110507211"/>
    <n v="-29.928361837283518"/>
    <n v="-49.999540862171671"/>
    <n v="11.642675850961098"/>
    <n v="-4.1531045572302574"/>
    <n v="-12.173375102849988"/>
    <n v="-47.213566616459957"/>
    <n v="-1.2682008033266357"/>
    <n v="-27.24535929409592"/>
    <n v="-169.5250957344997"/>
    <n v="-7847.4404977750974"/>
  </r>
  <r>
    <x v="47"/>
    <n v="-97.666287009288112"/>
    <n v="-29.787333398611736"/>
    <n v="-3.4002068519411601"/>
    <n v="-16.9195204580314"/>
    <n v="0.87582396480361213"/>
    <n v="1.7464669580191745"/>
    <n v="-166.65126490011494"/>
    <n v="0.12272008195558293"/>
    <n v="5.466013053989208"/>
    <n v="0.18197391419361875"/>
    <n v="-3.3356393559652417"/>
    <n v="0.51737001381984093"/>
    <n v="-119.60847237288772"/>
    <n v="-1.6370773130426528"/>
    <n v="65.933409063894231"/>
    <n v="-64.401387001020908"/>
    <n v="2.5274090927411348"/>
    <n v="-5.0863188489382765"/>
    <n v="-30.350215422914346"/>
    <n v="-9.1997884059717023"/>
    <n v="-21.625289400748443"/>
    <n v="-14.547275414074477"/>
    <n v="-1.0597480128646737"/>
    <n v="-0.43883217422092002"/>
    <n v="-10.382457276906479"/>
    <n v="-2.9796487850055868"/>
    <n v="6.2834396743375009"/>
    <n v="6.3535085043109945"/>
    <n v="1.846224789148728"/>
    <n v="21.037345824595874"/>
    <n v="26.911022368986437"/>
    <n v="85.811222765139519"/>
    <n v="4.854835015158578"/>
    <n v="28.829820476876435"/>
    <n v="5.3536997297712574"/>
    <n v="28.195384551570385"/>
    <n v="27.1764146386856"/>
    <n v="7.1565210616628718"/>
    <n v="-2.3878961619012742"/>
    <n v="-87.201197363053723"/>
    <n v="12.923535295493011"/>
    <n v="1.0543309201326245"/>
    <n v="34.455542890295419"/>
    <n v="35.073258842437554"/>
    <n v="-52.362123022749074"/>
    <n v="-7.0536908860801759"/>
    <n v="-21.585757270509077"/>
    <n v="85.662237446246394"/>
    <n v="-156.90496063162436"/>
    <n v="7.3330306073895892"/>
    <n v="5.2695564989688233"/>
    <n v="25.49261138683255"/>
    <n v="-7.0034348147001495"/>
    <n v="10.250093302453124"/>
    <n v="23.552786464634096"/>
    <n v="-1.6441595094356956"/>
    <n v="6.1615993438648786"/>
    <n v="-12.631953647874298"/>
    <n v="-7.0524894261316717"/>
    <n v="-319.32640190401708"/>
    <n v="-44.507501155514831"/>
    <n v="-58.20518674991979"/>
    <n v="-14.926919971344006"/>
    <n v="-39.066543684316969"/>
    <n v="6.0647868059966044"/>
    <n v="-16.348978499154306"/>
    <n v="-63.279535024920051"/>
    <n v="-31.421588232621318"/>
    <n v="-701.61918920154676"/>
    <n v="-109.66460780474753"/>
    <n v="-94.32368986177255"/>
    <n v="-186.3293385391795"/>
    <n v="-37.94981031180896"/>
    <n v="-102.81594635598185"/>
    <n v="-10.020149897283417"/>
    <n v="-50.951733597852808"/>
    <n v="-199.6492688450478"/>
    <n v="-23.268387742302281"/>
    <n v="-1.1156983740657296"/>
    <n v="-34.164870278805097"/>
    <n v="-20.047770895477441"/>
    <n v="-1.2303612860254702"/>
    <n v="-55.38170576708103"/>
    <n v="-328.78257478436353"/>
    <n v="-263.43595540763363"/>
    <n v="-434.34474055561031"/>
    <n v="-146.14935468874918"/>
    <n v="-213.19175385209758"/>
    <n v="-195.8432996432112"/>
    <n v="-202.4858317777464"/>
    <n v="-402.3959593145687"/>
    <n v="-86.407477281819638"/>
    <n v="-17.231001201044052"/>
    <n v="-103.26168773491484"/>
    <n v="-7.354495887064104"/>
    <n v="-227.56983803276944"/>
    <n v="-192.09059792415519"/>
    <n v="-4.2666326574649105"/>
    <n v="-2085.1776276981582"/>
    <n v="-38.840087248743828"/>
    <n v="0.11889121256106705"/>
    <n v="-109.03849370922171"/>
    <n v="-60.357998238672138"/>
    <n v="66.508622070206115"/>
    <n v="42.681980607407695"/>
    <n v="13.139330336358171"/>
    <n v="32.391443472009996"/>
    <n v="9.2639489545558433"/>
    <n v="-249.0414720507265"/>
    <n v="-13.459163718181344"/>
    <n v="-57.568823805879902"/>
    <n v="8.3994354582037403"/>
    <n v="-44.927234404716501"/>
    <n v="3.0123679678226836"/>
    <n v="-9.9663274348489495"/>
    <n v="38.921476032983719"/>
    <n v="-67.527426694417045"/>
    <n v="13.35049005037888"/>
    <n v="38.71669196651618"/>
    <n v="-133.01583033255702"/>
    <n v="-2.4546745493381081"/>
    <n v="36.455255804793978"/>
    <n v="-5.3556968220081558"/>
    <n v="-9.4473807119160256"/>
    <n v="-21.533722732601234"/>
    <n v="-11.368853042052422"/>
    <n v="0.67627282842113345"/>
    <n v="8.0355215193139031"/>
    <n v="-29.801227963990982"/>
    <n v="-52.602851145464115"/>
    <n v="11.107585000660322"/>
    <n v="-4.2390552826473709"/>
    <n v="-12.418837103331313"/>
    <n v="-52.39526775696595"/>
    <n v="-1.3930460796017883"/>
    <n v="-29.185416825574066"/>
    <n v="-176.36851770997782"/>
    <n v="-8369.562534291601"/>
  </r>
  <r>
    <x v="48"/>
    <n v="-99.35549899778357"/>
    <n v="-30.757601320780282"/>
    <n v="-3.4402670805019575"/>
    <n v="-17.304397559807825"/>
    <n v="0.87393256482392778"/>
    <n v="1.7443597587633075"/>
    <n v="-174.16048025155135"/>
    <n v="0.11308190639695681"/>
    <n v="5.2496235807460678"/>
    <n v="0.16225517216287244"/>
    <n v="-3.8019373499359261"/>
    <n v="0.41988413156585302"/>
    <n v="-124.3499081925886"/>
    <n v="-2.624716876096727"/>
    <n v="64.940132592024156"/>
    <n v="-67.386743322920324"/>
    <n v="2.4803997299007885"/>
    <n v="-5.9387239277980086"/>
    <n v="-30.976543897859557"/>
    <n v="-9.810648814546397"/>
    <n v="-26.008253336307689"/>
    <n v="-15.852080593600334"/>
    <n v="-1.4509901971013619"/>
    <n v="-0.75003017223956192"/>
    <n v="-10.320651558465784"/>
    <n v="-3.1985285720009671"/>
    <n v="4.2462533819781356"/>
    <n v="6.1220513736807334"/>
    <n v="1.6170508236526402"/>
    <n v="20.723500216044044"/>
    <n v="25.867072988874412"/>
    <n v="73.970199017767754"/>
    <n v="4.710374930206747"/>
    <n v="28.570026294854159"/>
    <n v="5.1985101373276237"/>
    <n v="27.30303723974734"/>
    <n v="25.849490330560116"/>
    <n v="6.905343474772792"/>
    <n v="-2.4154073190320133"/>
    <n v="-91.463992401107134"/>
    <n v="12.648383952612747"/>
    <n v="0.98968441651331318"/>
    <n v="33.380055946733961"/>
    <n v="30.737196153428044"/>
    <n v="-52.875315054051256"/>
    <n v="-5.562782300726667"/>
    <n v="-23.592430783549219"/>
    <n v="77.227148955714824"/>
    <n v="-175.32259598733208"/>
    <n v="7.3163264060196447"/>
    <n v="5.1028449777882283"/>
    <n v="4.1280151201980289"/>
    <n v="-7.1846838510644311"/>
    <n v="9.5063307097270666"/>
    <n v="19.511064828189774"/>
    <n v="-2.0913566767196414"/>
    <n v="6.7874764073839629"/>
    <n v="-14.952233666408006"/>
    <n v="-7.4729168188129051"/>
    <n v="-333.3987855686205"/>
    <n v="-46.280235038072078"/>
    <n v="-60.517863145829324"/>
    <n v="-15.564239424178794"/>
    <n v="-40.806667581264492"/>
    <n v="5.955659283564728"/>
    <n v="-16.729870616759698"/>
    <n v="-69.121870393234076"/>
    <n v="-31.937530508709642"/>
    <n v="-733.05701393972959"/>
    <n v="-113.13598485338201"/>
    <n v="-97.074363604963366"/>
    <n v="-192.25121294289579"/>
    <n v="-38.940853459123957"/>
    <n v="-106.81613891619122"/>
    <n v="-10.958804738534084"/>
    <n v="-52.636163598832525"/>
    <n v="-207.99510814312134"/>
    <n v="-23.98753471974311"/>
    <n v="-1.4654383682090781"/>
    <n v="-37.941434024054047"/>
    <n v="-21.625220032417417"/>
    <n v="-2.7418775619859161"/>
    <n v="-59.301475963169764"/>
    <n v="-371.40921096454076"/>
    <n v="-269.42480408955203"/>
    <n v="-440.69991837630675"/>
    <n v="-148.31472556270884"/>
    <n v="-217.11193080670262"/>
    <n v="-198.65737084751981"/>
    <n v="-208.09492014531338"/>
    <n v="-416.57049070342873"/>
    <n v="-88.421605701087032"/>
    <n v="-18.112894454007005"/>
    <n v="-103.97921298950489"/>
    <n v="-9.6123437599109138"/>
    <n v="-239.0440375265357"/>
    <n v="-199.21031659231971"/>
    <n v="-4.8111322934921503"/>
    <n v="-2176.814374965812"/>
    <n v="-40.157165284516225"/>
    <n v="-0.23164868968282804"/>
    <n v="-114.33996486120895"/>
    <n v="-61.061405634118145"/>
    <n v="64.488409066357974"/>
    <n v="39.920661804429983"/>
    <n v="12.325713893085094"/>
    <n v="31.914971781286482"/>
    <n v="8.8938065080680531"/>
    <n v="-263.46275896965562"/>
    <n v="-17.088393239908783"/>
    <n v="-62.46623650717288"/>
    <n v="7.8453328570278416"/>
    <n v="-50.90100953769047"/>
    <n v="-1.40014280301898"/>
    <n v="-12.413415636312038"/>
    <n v="34.27883565182151"/>
    <n v="-72.936516203963038"/>
    <n v="12.568677400506147"/>
    <n v="38.561639035732412"/>
    <n v="-148.84502414039162"/>
    <n v="-3.2224349572004769"/>
    <n v="34.664063474167506"/>
    <n v="-5.5468147096736899"/>
    <n v="-11.583677932156775"/>
    <n v="-22.10631439224295"/>
    <n v="-12.102601570401532"/>
    <n v="-0.96124918405791959"/>
    <n v="7.8132696421754844"/>
    <n v="-29.83991583667364"/>
    <n v="-55.186530718054655"/>
    <n v="10.661099624860128"/>
    <n v="-4.3332283325079004"/>
    <n v="-12.679564953383149"/>
    <n v="-57.6963207068261"/>
    <n v="-1.5699080497776094"/>
    <n v="-31.160962431488201"/>
    <n v="-183.1342479653656"/>
    <n v="-8887.13089950665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5" applyNumberFormats="0" applyBorderFormats="0" applyFontFormats="0" applyPatternFormats="0" applyAlignmentFormats="0" applyWidthHeightFormats="1" dataCaption="Dados" updatedVersion="6" showMemberPropertyTips="0" useAutoFormatting="1" itemPrintTitles="1" createdVersion="1" indent="0" compact="0" compactData="0" gridDropZones="1" chartFormat="1">
  <location ref="A1:B52" firstHeaderRow="2" firstDataRow="2" firstDataCol="1"/>
  <pivotFields count="139">
    <pivotField axis="axisRow" compact="0" outline="0" subtotalTop="0" showAll="0" includeNewItemsInFilter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a de BRASIL" fld="138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83"/>
  <sheetViews>
    <sheetView topLeftCell="AY248" workbookViewId="0">
      <selection activeCell="BC283" sqref="BC283"/>
    </sheetView>
  </sheetViews>
  <sheetFormatPr defaultRowHeight="15" x14ac:dyDescent="0.25"/>
  <cols>
    <col min="3" max="51" width="12.42578125" customWidth="1"/>
    <col min="55" max="55" width="12.42578125" customWidth="1"/>
    <col min="56" max="64" width="12.42578125" bestFit="1" customWidth="1"/>
    <col min="65" max="65" width="10.5703125" customWidth="1"/>
    <col min="66" max="76" width="12.42578125" bestFit="1" customWidth="1"/>
    <col min="77" max="77" width="10.5703125" customWidth="1"/>
    <col min="78" max="78" width="12.42578125" bestFit="1" customWidth="1"/>
    <col min="79" max="79" width="9.5703125" customWidth="1"/>
    <col min="80" max="87" width="12.42578125" bestFit="1" customWidth="1"/>
    <col min="88" max="88" width="8" customWidth="1"/>
    <col min="89" max="89" width="7.7109375" customWidth="1"/>
    <col min="90" max="100" width="12.42578125" bestFit="1" customWidth="1"/>
    <col min="101" max="101" width="10.28515625" customWidth="1"/>
    <col min="102" max="103" width="12.425781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BC4">
        <v>0</v>
      </c>
      <c r="BD4">
        <v>1</v>
      </c>
      <c r="BE4">
        <v>2</v>
      </c>
      <c r="BF4">
        <v>3</v>
      </c>
      <c r="BG4">
        <v>4</v>
      </c>
      <c r="BH4">
        <v>5</v>
      </c>
      <c r="BI4">
        <v>6</v>
      </c>
      <c r="BJ4">
        <v>7</v>
      </c>
      <c r="BK4">
        <v>8</v>
      </c>
      <c r="BL4">
        <v>9</v>
      </c>
      <c r="BM4">
        <v>10</v>
      </c>
      <c r="BN4">
        <v>11</v>
      </c>
      <c r="BO4">
        <v>12</v>
      </c>
      <c r="BP4">
        <v>13</v>
      </c>
      <c r="BQ4">
        <v>14</v>
      </c>
      <c r="BR4">
        <v>15</v>
      </c>
      <c r="BS4">
        <v>16</v>
      </c>
      <c r="BT4">
        <v>17</v>
      </c>
      <c r="BU4">
        <v>18</v>
      </c>
      <c r="BV4">
        <v>19</v>
      </c>
      <c r="BW4">
        <v>20</v>
      </c>
      <c r="BX4">
        <v>21</v>
      </c>
      <c r="BY4">
        <v>22</v>
      </c>
      <c r="BZ4">
        <v>23</v>
      </c>
      <c r="CA4">
        <v>24</v>
      </c>
      <c r="CB4">
        <v>25</v>
      </c>
      <c r="CC4">
        <v>26</v>
      </c>
      <c r="CD4">
        <v>27</v>
      </c>
      <c r="CE4">
        <v>28</v>
      </c>
      <c r="CF4">
        <v>29</v>
      </c>
      <c r="CG4">
        <v>30</v>
      </c>
      <c r="CH4">
        <v>31</v>
      </c>
      <c r="CI4">
        <v>32</v>
      </c>
      <c r="CJ4">
        <v>33</v>
      </c>
      <c r="CK4">
        <v>34</v>
      </c>
      <c r="CL4">
        <v>35</v>
      </c>
      <c r="CM4">
        <v>36</v>
      </c>
      <c r="CN4">
        <v>37</v>
      </c>
      <c r="CO4">
        <v>38</v>
      </c>
      <c r="CP4">
        <v>39</v>
      </c>
      <c r="CQ4">
        <v>40</v>
      </c>
      <c r="CR4">
        <v>41</v>
      </c>
      <c r="CS4">
        <v>42</v>
      </c>
      <c r="CT4">
        <v>43</v>
      </c>
      <c r="CU4">
        <v>44</v>
      </c>
      <c r="CV4">
        <v>45</v>
      </c>
      <c r="CW4">
        <v>46</v>
      </c>
      <c r="CX4">
        <v>47</v>
      </c>
      <c r="CY4">
        <v>48</v>
      </c>
    </row>
    <row r="5" spans="1:103" x14ac:dyDescent="0.25">
      <c r="A5" t="s">
        <v>3</v>
      </c>
      <c r="B5" t="s">
        <v>4</v>
      </c>
      <c r="C5">
        <v>384.58713904283525</v>
      </c>
      <c r="D5">
        <v>279.4609638848226</v>
      </c>
      <c r="E5">
        <v>246.85178206298431</v>
      </c>
      <c r="F5">
        <v>206.00708862996441</v>
      </c>
      <c r="G5">
        <v>230.37145028429109</v>
      </c>
      <c r="H5">
        <v>311.30578053646684</v>
      </c>
      <c r="I5">
        <v>310.67826627621167</v>
      </c>
      <c r="J5">
        <v>373.26263243303407</v>
      </c>
      <c r="K5">
        <v>404.49975766528689</v>
      </c>
      <c r="L5">
        <v>448.38486533729281</v>
      </c>
      <c r="M5">
        <v>476.94294997681271</v>
      </c>
      <c r="N5">
        <v>480.12797119477085</v>
      </c>
      <c r="O5">
        <v>491.60453181150211</v>
      </c>
      <c r="P5">
        <v>487.53662990549066</v>
      </c>
      <c r="Q5">
        <v>492.78919786841124</v>
      </c>
      <c r="R5">
        <v>495.91493721975473</v>
      </c>
      <c r="S5">
        <v>502.13002451082298</v>
      </c>
      <c r="T5">
        <v>514.5399991424224</v>
      </c>
      <c r="U5">
        <v>525.79908731854448</v>
      </c>
      <c r="V5">
        <v>540.53223360871175</v>
      </c>
      <c r="W5">
        <v>551.87045227929741</v>
      </c>
      <c r="X5">
        <v>561.6989367435001</v>
      </c>
      <c r="Y5">
        <v>568.74835549911063</v>
      </c>
      <c r="Z5">
        <v>572.4540838918731</v>
      </c>
      <c r="AA5">
        <v>574.80706324266203</v>
      </c>
      <c r="AB5">
        <v>575.21662447183246</v>
      </c>
      <c r="AC5">
        <v>575.8222936417344</v>
      </c>
      <c r="AD5">
        <v>576.71221356183173</v>
      </c>
      <c r="AE5">
        <v>578.46112133266377</v>
      </c>
      <c r="AF5">
        <v>581.24503670600734</v>
      </c>
      <c r="AG5">
        <v>584.46630914251875</v>
      </c>
      <c r="AH5">
        <v>588.02935378563211</v>
      </c>
      <c r="AI5">
        <v>591.20720171886069</v>
      </c>
      <c r="AJ5">
        <v>593.79535046262401</v>
      </c>
      <c r="AK5">
        <v>595.58286057068869</v>
      </c>
      <c r="AL5">
        <v>596.55831119528239</v>
      </c>
      <c r="AM5">
        <v>596.97456649132039</v>
      </c>
      <c r="AN5">
        <v>597.01081079105325</v>
      </c>
      <c r="AO5">
        <v>596.98763472862606</v>
      </c>
      <c r="AP5">
        <v>597.07231080477106</v>
      </c>
      <c r="AQ5">
        <v>597.38123831763573</v>
      </c>
      <c r="AR5">
        <v>597.93215904202225</v>
      </c>
      <c r="AS5">
        <v>598.63858593340171</v>
      </c>
      <c r="AT5">
        <v>599.40570553545274</v>
      </c>
      <c r="AU5">
        <v>600.10164925738263</v>
      </c>
      <c r="AV5">
        <v>600.64192503196944</v>
      </c>
      <c r="AW5">
        <v>600.97715843394371</v>
      </c>
      <c r="AX5">
        <v>601.10675752861187</v>
      </c>
      <c r="AY5">
        <v>601.07643679333125</v>
      </c>
      <c r="BA5" s="1">
        <v>1</v>
      </c>
      <c r="BB5" t="str">
        <f>A5</f>
        <v>Ro - Madeira-Guapore</v>
      </c>
      <c r="BC5" s="3">
        <v>319.60028464875114</v>
      </c>
      <c r="BD5" s="3">
        <v>154.75118095641321</v>
      </c>
      <c r="BE5" s="3">
        <v>9.6542848601653191</v>
      </c>
      <c r="BF5" s="3">
        <v>6.8395599279657233</v>
      </c>
      <c r="BG5" s="3">
        <v>-41.315408689776802</v>
      </c>
      <c r="BH5" s="3">
        <v>37.57633346295512</v>
      </c>
      <c r="BI5" s="3">
        <v>-16.342036042432198</v>
      </c>
      <c r="BJ5" s="3">
        <v>11.353432338114487</v>
      </c>
      <c r="BK5" s="3">
        <v>18.409452941054781</v>
      </c>
      <c r="BL5" s="3">
        <v>15.996068806351218</v>
      </c>
      <c r="BM5" s="3">
        <v>25.488009530388808</v>
      </c>
      <c r="BN5" s="3">
        <v>-2.2776442379025639</v>
      </c>
      <c r="BO5" s="3">
        <v>-3.7182293701319509</v>
      </c>
      <c r="BP5" s="3">
        <v>-18.850103099248656</v>
      </c>
      <c r="BQ5" s="3">
        <v>-24.531147364674496</v>
      </c>
      <c r="BR5" s="3">
        <v>-26.867011958291187</v>
      </c>
      <c r="BS5" s="3">
        <v>-32.438009960522663</v>
      </c>
      <c r="BT5" s="3">
        <v>-29.086977298274178</v>
      </c>
      <c r="BU5" s="3">
        <v>-30.808792897826606</v>
      </c>
      <c r="BV5" s="3">
        <v>-29.124944411214756</v>
      </c>
      <c r="BW5" s="3">
        <v>-30.065535859498027</v>
      </c>
      <c r="BX5" s="3">
        <v>-32.584258429610372</v>
      </c>
      <c r="BY5" s="3">
        <v>-35.035844437615651</v>
      </c>
      <c r="BZ5" s="3">
        <v>-40.066001262085479</v>
      </c>
      <c r="CA5" s="3">
        <v>-44.317176648621285</v>
      </c>
      <c r="CB5" s="3">
        <v>-49.436230196965653</v>
      </c>
      <c r="CC5" s="3">
        <v>-53.706615381710094</v>
      </c>
      <c r="CD5" s="3">
        <v>-57.089982368700362</v>
      </c>
      <c r="CE5" s="3">
        <v>-59.912409908184713</v>
      </c>
      <c r="CF5" s="3">
        <v>-61.689034514918035</v>
      </c>
      <c r="CG5" s="3">
        <v>-63.394287134632123</v>
      </c>
      <c r="CH5" s="3">
        <v>-64.858651291198385</v>
      </c>
      <c r="CI5" s="3">
        <v>-66.619762344892706</v>
      </c>
      <c r="CJ5" s="3">
        <v>-68.759345701867005</v>
      </c>
      <c r="CK5" s="3">
        <v>-71.188720975601768</v>
      </c>
      <c r="CL5" s="3">
        <v>-73.946583408555625</v>
      </c>
      <c r="CM5" s="3">
        <v>-76.712902194554772</v>
      </c>
      <c r="CN5" s="3">
        <v>-79.437366243706265</v>
      </c>
      <c r="CO5" s="3">
        <v>-81.937921589083771</v>
      </c>
      <c r="CP5" s="3">
        <v>-84.16828977868613</v>
      </c>
      <c r="CQ5" s="3">
        <v>-86.151897338816639</v>
      </c>
      <c r="CR5" s="3">
        <v>-87.904703695895932</v>
      </c>
      <c r="CS5" s="3">
        <v>-89.537915565915455</v>
      </c>
      <c r="CT5" s="3">
        <v>-91.104481459321164</v>
      </c>
      <c r="CU5" s="3">
        <v>-92.681171434303906</v>
      </c>
      <c r="CV5" s="3">
        <v>-94.30148612322273</v>
      </c>
      <c r="CW5" s="3">
        <v>-95.96701254561799</v>
      </c>
      <c r="CX5" s="3">
        <v>-97.666287009288112</v>
      </c>
      <c r="CY5" s="3">
        <v>-99.35549899778357</v>
      </c>
    </row>
    <row r="6" spans="1:103" x14ac:dyDescent="0.25">
      <c r="A6" t="s">
        <v>3</v>
      </c>
      <c r="B6" t="s">
        <v>5</v>
      </c>
      <c r="C6">
        <v>64.986854394084105</v>
      </c>
      <c r="D6">
        <v>124.7097829284094</v>
      </c>
      <c r="E6">
        <v>237.19749720281899</v>
      </c>
      <c r="F6">
        <v>199.16752870199869</v>
      </c>
      <c r="G6">
        <v>271.68685897406789</v>
      </c>
      <c r="H6">
        <v>273.72944707351172</v>
      </c>
      <c r="I6">
        <v>327.02030231864387</v>
      </c>
      <c r="J6">
        <v>361.90920009491958</v>
      </c>
      <c r="K6">
        <v>386.09030472423211</v>
      </c>
      <c r="L6">
        <v>432.38879653094159</v>
      </c>
      <c r="M6">
        <v>451.4549404464239</v>
      </c>
      <c r="N6">
        <v>482.40561543267341</v>
      </c>
      <c r="O6">
        <v>495.32276118163406</v>
      </c>
      <c r="P6">
        <v>506.38673300473931</v>
      </c>
      <c r="Q6">
        <v>517.32034523308573</v>
      </c>
      <c r="R6">
        <v>522.78194917804592</v>
      </c>
      <c r="S6">
        <v>534.56803447134564</v>
      </c>
      <c r="T6">
        <v>543.62697644069658</v>
      </c>
      <c r="U6">
        <v>556.60788021637109</v>
      </c>
      <c r="V6">
        <v>569.6571780199265</v>
      </c>
      <c r="W6">
        <v>581.93598813879544</v>
      </c>
      <c r="X6">
        <v>594.28319517311047</v>
      </c>
      <c r="Y6">
        <v>603.78419993672628</v>
      </c>
      <c r="Z6">
        <v>612.52008515395858</v>
      </c>
      <c r="AA6">
        <v>619.12423989128331</v>
      </c>
      <c r="AB6">
        <v>624.65285466879811</v>
      </c>
      <c r="AC6">
        <v>629.5289090234445</v>
      </c>
      <c r="AD6">
        <v>633.80219593053209</v>
      </c>
      <c r="AE6">
        <v>638.37353124084848</v>
      </c>
      <c r="AF6">
        <v>642.93407122092538</v>
      </c>
      <c r="AG6">
        <v>647.86059627715088</v>
      </c>
      <c r="AH6">
        <v>652.8880050768305</v>
      </c>
      <c r="AI6">
        <v>657.82696406375339</v>
      </c>
      <c r="AJ6">
        <v>662.55469616449102</v>
      </c>
      <c r="AK6">
        <v>666.77158154629046</v>
      </c>
      <c r="AL6">
        <v>670.50489460383801</v>
      </c>
      <c r="AM6">
        <v>673.68746868587516</v>
      </c>
      <c r="AN6">
        <v>676.44817703475951</v>
      </c>
      <c r="AO6">
        <v>678.92555631770983</v>
      </c>
      <c r="AP6">
        <v>681.24060058345719</v>
      </c>
      <c r="AQ6">
        <v>683.53313565645237</v>
      </c>
      <c r="AR6">
        <v>685.83686273791818</v>
      </c>
      <c r="AS6">
        <v>688.17650149931717</v>
      </c>
      <c r="AT6">
        <v>690.5101869947739</v>
      </c>
      <c r="AU6">
        <v>692.78282069168654</v>
      </c>
      <c r="AV6">
        <v>694.94341115519217</v>
      </c>
      <c r="AW6">
        <v>696.9441709795617</v>
      </c>
      <c r="AX6">
        <v>698.77304453789998</v>
      </c>
      <c r="AY6">
        <v>700.43193579111482</v>
      </c>
      <c r="BA6" s="1">
        <v>-1</v>
      </c>
      <c r="BB6" t="str">
        <f t="shared" ref="BB6:BB69" si="0">A6</f>
        <v>Ro - Madeira-Guapore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144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</row>
    <row r="7" spans="1:103" x14ac:dyDescent="0.25">
      <c r="A7" t="s">
        <v>6</v>
      </c>
      <c r="B7" t="s">
        <v>4</v>
      </c>
      <c r="C7">
        <v>442.77980497750076</v>
      </c>
      <c r="D7">
        <v>232.57347718453235</v>
      </c>
      <c r="E7">
        <v>209.61079221007589</v>
      </c>
      <c r="F7">
        <v>146.99202609195299</v>
      </c>
      <c r="G7">
        <v>154.26700407293959</v>
      </c>
      <c r="H7">
        <v>250.43365280468984</v>
      </c>
      <c r="I7">
        <v>222.19917445931401</v>
      </c>
      <c r="J7">
        <v>282.43867641796351</v>
      </c>
      <c r="K7">
        <v>282.08710051894656</v>
      </c>
      <c r="L7">
        <v>302.65338234729575</v>
      </c>
      <c r="M7">
        <v>310.38588179269721</v>
      </c>
      <c r="N7">
        <v>289.45114764690271</v>
      </c>
      <c r="O7">
        <v>291.08575859936582</v>
      </c>
      <c r="P7">
        <v>275.53544303478276</v>
      </c>
      <c r="Q7">
        <v>279.81347323671116</v>
      </c>
      <c r="R7">
        <v>283.33208400642741</v>
      </c>
      <c r="S7">
        <v>291.15909747154052</v>
      </c>
      <c r="T7">
        <v>306.39089251247276</v>
      </c>
      <c r="U7">
        <v>316.82744976067045</v>
      </c>
      <c r="V7">
        <v>330.44479812661626</v>
      </c>
      <c r="W7">
        <v>337.7017440696813</v>
      </c>
      <c r="X7">
        <v>342.94705642187853</v>
      </c>
      <c r="Y7">
        <v>345.52948721714716</v>
      </c>
      <c r="Z7">
        <v>345.39718139856188</v>
      </c>
      <c r="AA7">
        <v>345.96299576825271</v>
      </c>
      <c r="AB7">
        <v>345.90391481775009</v>
      </c>
      <c r="AC7">
        <v>347.77065909932048</v>
      </c>
      <c r="AD7">
        <v>350.76675956953096</v>
      </c>
      <c r="AE7">
        <v>354.96753446360196</v>
      </c>
      <c r="AF7">
        <v>360.13477950812148</v>
      </c>
      <c r="AG7">
        <v>365.14919163016128</v>
      </c>
      <c r="AH7">
        <v>370.00610095294479</v>
      </c>
      <c r="AI7">
        <v>373.91279192948269</v>
      </c>
      <c r="AJ7">
        <v>376.96215305826371</v>
      </c>
      <c r="AK7">
        <v>379.18203864125422</v>
      </c>
      <c r="AL7">
        <v>380.7681161602614</v>
      </c>
      <c r="AM7">
        <v>382.16715295633816</v>
      </c>
      <c r="AN7">
        <v>383.5590432495793</v>
      </c>
      <c r="AO7">
        <v>385.24799224302137</v>
      </c>
      <c r="AP7">
        <v>387.26282740681688</v>
      </c>
      <c r="AQ7">
        <v>389.57618635677761</v>
      </c>
      <c r="AR7">
        <v>392.07430653746184</v>
      </c>
      <c r="AS7">
        <v>394.56496810265213</v>
      </c>
      <c r="AT7">
        <v>396.92433832185537</v>
      </c>
      <c r="AU7">
        <v>399.02764146893901</v>
      </c>
      <c r="AV7">
        <v>400.84891291627559</v>
      </c>
      <c r="AW7">
        <v>402.40935627318282</v>
      </c>
      <c r="AX7">
        <v>403.77380057091835</v>
      </c>
      <c r="AY7">
        <v>405.03566906661911</v>
      </c>
      <c r="BA7" s="1">
        <v>1</v>
      </c>
      <c r="BB7" t="str">
        <f t="shared" si="0"/>
        <v>Ro - Leste Rondoniense</v>
      </c>
      <c r="BC7" s="3">
        <v>346.5960396326717</v>
      </c>
      <c r="BD7" s="3">
        <v>131.27727957765973</v>
      </c>
      <c r="BE7" s="3">
        <v>-74.854786388468312</v>
      </c>
      <c r="BF7" s="3">
        <v>65.948090209164462</v>
      </c>
      <c r="BG7" s="3">
        <v>-33.438584720190903</v>
      </c>
      <c r="BH7" s="3">
        <v>61.394963116816598</v>
      </c>
      <c r="BI7" s="3">
        <v>12.268487799535393</v>
      </c>
      <c r="BJ7" s="3">
        <v>37.397891431349194</v>
      </c>
      <c r="BK7" s="3">
        <v>74.617242779519302</v>
      </c>
      <c r="BL7" s="3">
        <v>46.32221099231532</v>
      </c>
      <c r="BM7" s="3">
        <v>66.640943612486438</v>
      </c>
      <c r="BN7" s="3">
        <v>31.569368643193059</v>
      </c>
      <c r="BO7" s="3">
        <v>29.741173395014584</v>
      </c>
      <c r="BP7" s="3">
        <v>17.313333828810642</v>
      </c>
      <c r="BQ7" s="3">
        <v>4.310923159400545</v>
      </c>
      <c r="BR7" s="3">
        <v>6.2695394710700043</v>
      </c>
      <c r="BS7" s="3">
        <v>-1.8377492130130122</v>
      </c>
      <c r="BT7" s="3">
        <v>4.8773753540039024</v>
      </c>
      <c r="BU7" s="3">
        <v>5.6427487821931663</v>
      </c>
      <c r="BV7" s="3">
        <v>8.9454439082027761</v>
      </c>
      <c r="BW7" s="3">
        <v>11.631266082337902</v>
      </c>
      <c r="BX7" s="3">
        <v>9.7348598700297089</v>
      </c>
      <c r="BY7" s="3">
        <v>9.0358247722588771</v>
      </c>
      <c r="BZ7" s="3">
        <v>4.0614644174172554</v>
      </c>
      <c r="CA7" s="3">
        <v>-6.2307132622720474E-2</v>
      </c>
      <c r="CB7" s="3">
        <v>-4.6910500998675957</v>
      </c>
      <c r="CC7" s="3">
        <v>-8.6422225971275566</v>
      </c>
      <c r="CD7" s="3">
        <v>-10.754985044149123</v>
      </c>
      <c r="CE7" s="3">
        <v>-12.39935767781725</v>
      </c>
      <c r="CF7" s="3">
        <v>-12.546682105476805</v>
      </c>
      <c r="CG7" s="3">
        <v>-12.637312401469387</v>
      </c>
      <c r="CH7" s="3">
        <v>-12.615945800518944</v>
      </c>
      <c r="CI7" s="3">
        <v>-12.92110502769998</v>
      </c>
      <c r="CJ7" s="3">
        <v>-13.902236403417362</v>
      </c>
      <c r="CK7" s="3">
        <v>-15.232124605614217</v>
      </c>
      <c r="CL7" s="3">
        <v>-17.065457590238509</v>
      </c>
      <c r="CM7" s="3">
        <v>-18.963586021057381</v>
      </c>
      <c r="CN7" s="3">
        <v>-20.827933404804071</v>
      </c>
      <c r="CO7" s="3">
        <v>-22.473686890122565</v>
      </c>
      <c r="CP7" s="3">
        <v>-23.770600001149489</v>
      </c>
      <c r="CQ7" s="3">
        <v>-24.785916159596184</v>
      </c>
      <c r="CR7" s="3">
        <v>-25.514541765541594</v>
      </c>
      <c r="CS7" s="3">
        <v>-26.11252133894277</v>
      </c>
      <c r="CT7" s="3">
        <v>-26.667526573499629</v>
      </c>
      <c r="CU7" s="3">
        <v>-27.277456596778222</v>
      </c>
      <c r="CV7" s="3">
        <v>-28.00685292125047</v>
      </c>
      <c r="CW7" s="3">
        <v>-28.848327969031232</v>
      </c>
      <c r="CX7" s="3">
        <v>-29.787333398611736</v>
      </c>
      <c r="CY7" s="3">
        <v>-30.757601320780282</v>
      </c>
    </row>
    <row r="8" spans="1:103" x14ac:dyDescent="0.25">
      <c r="A8" t="s">
        <v>6</v>
      </c>
      <c r="B8" t="s">
        <v>5</v>
      </c>
      <c r="C8">
        <v>96.183765344829084</v>
      </c>
      <c r="D8">
        <v>101.29619760687264</v>
      </c>
      <c r="E8">
        <v>284.4655785985442</v>
      </c>
      <c r="F8">
        <v>81.043935882788531</v>
      </c>
      <c r="G8">
        <v>187.70558879313049</v>
      </c>
      <c r="H8">
        <v>189.03868968787324</v>
      </c>
      <c r="I8">
        <v>209.93068665977862</v>
      </c>
      <c r="J8">
        <v>245.04078498661431</v>
      </c>
      <c r="K8">
        <v>207.46985773942725</v>
      </c>
      <c r="L8">
        <v>256.33117135498043</v>
      </c>
      <c r="M8">
        <v>243.74493818021077</v>
      </c>
      <c r="N8">
        <v>257.88177900370965</v>
      </c>
      <c r="O8">
        <v>261.34458520435123</v>
      </c>
      <c r="P8">
        <v>258.22210920597212</v>
      </c>
      <c r="Q8">
        <v>275.50255007731062</v>
      </c>
      <c r="R8">
        <v>277.0625445353574</v>
      </c>
      <c r="S8">
        <v>292.99684668455353</v>
      </c>
      <c r="T8">
        <v>301.51351715846886</v>
      </c>
      <c r="U8">
        <v>311.18470097847728</v>
      </c>
      <c r="V8">
        <v>321.49935421841349</v>
      </c>
      <c r="W8">
        <v>326.07047798734339</v>
      </c>
      <c r="X8">
        <v>333.21219655184882</v>
      </c>
      <c r="Y8">
        <v>336.49366244488829</v>
      </c>
      <c r="Z8">
        <v>341.33571698114463</v>
      </c>
      <c r="AA8">
        <v>346.02530290087543</v>
      </c>
      <c r="AB8">
        <v>350.59496491761769</v>
      </c>
      <c r="AC8">
        <v>356.41288169644804</v>
      </c>
      <c r="AD8">
        <v>361.52174461368008</v>
      </c>
      <c r="AE8">
        <v>367.36689214141921</v>
      </c>
      <c r="AF8">
        <v>372.68146161359829</v>
      </c>
      <c r="AG8">
        <v>377.78650403163067</v>
      </c>
      <c r="AH8">
        <v>382.62204675346374</v>
      </c>
      <c r="AI8">
        <v>386.83389695718267</v>
      </c>
      <c r="AJ8">
        <v>390.86438946168107</v>
      </c>
      <c r="AK8">
        <v>394.41416324686844</v>
      </c>
      <c r="AL8">
        <v>397.83357375049991</v>
      </c>
      <c r="AM8">
        <v>401.13073897739554</v>
      </c>
      <c r="AN8">
        <v>404.38697665438337</v>
      </c>
      <c r="AO8">
        <v>407.72167913314394</v>
      </c>
      <c r="AP8">
        <v>411.03342740796637</v>
      </c>
      <c r="AQ8">
        <v>414.3621025163738</v>
      </c>
      <c r="AR8">
        <v>417.58884830300343</v>
      </c>
      <c r="AS8">
        <v>420.6774894415949</v>
      </c>
      <c r="AT8">
        <v>423.591864895355</v>
      </c>
      <c r="AU8">
        <v>426.30509806571723</v>
      </c>
      <c r="AV8">
        <v>428.85576583752606</v>
      </c>
      <c r="AW8">
        <v>431.25768424221405</v>
      </c>
      <c r="AX8">
        <v>433.56113396953009</v>
      </c>
      <c r="AY8">
        <v>435.79327038739939</v>
      </c>
      <c r="BA8" s="1">
        <v>-1</v>
      </c>
      <c r="BB8" t="str">
        <f t="shared" si="0"/>
        <v>Ro - Leste Rondoniense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144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</row>
    <row r="9" spans="1:103" x14ac:dyDescent="0.25">
      <c r="A9" t="s">
        <v>7</v>
      </c>
      <c r="B9" t="s">
        <v>4</v>
      </c>
      <c r="C9">
        <v>6.348012483317536</v>
      </c>
      <c r="D9">
        <v>-2.0539293814925648</v>
      </c>
      <c r="E9">
        <v>4.0696513701853245</v>
      </c>
      <c r="F9">
        <v>5.0423355633058105</v>
      </c>
      <c r="G9">
        <v>2.4431185808807783</v>
      </c>
      <c r="H9">
        <v>4.4199511811185088</v>
      </c>
      <c r="I9">
        <v>2.7926617853319495</v>
      </c>
      <c r="J9">
        <v>8.1122357347824678</v>
      </c>
      <c r="K9">
        <v>10.672177947074333</v>
      </c>
      <c r="L9">
        <v>13.585720518123075</v>
      </c>
      <c r="M9">
        <v>15.916986183091634</v>
      </c>
      <c r="N9">
        <v>16.316341519457044</v>
      </c>
      <c r="O9">
        <v>17.117680178796288</v>
      </c>
      <c r="P9">
        <v>16.03122215963813</v>
      </c>
      <c r="Q9">
        <v>15.281579096877575</v>
      </c>
      <c r="R9">
        <v>14.432538723910488</v>
      </c>
      <c r="S9">
        <v>13.997744240982982</v>
      </c>
      <c r="T9">
        <v>14.395780977568682</v>
      </c>
      <c r="U9">
        <v>14.990829489686659</v>
      </c>
      <c r="V9">
        <v>16.150138370354881</v>
      </c>
      <c r="W9">
        <v>17.240615734300022</v>
      </c>
      <c r="X9">
        <v>18.262411014832125</v>
      </c>
      <c r="Y9">
        <v>19.032203136926888</v>
      </c>
      <c r="Z9">
        <v>19.427707712725898</v>
      </c>
      <c r="AA9">
        <v>19.618900185309457</v>
      </c>
      <c r="AB9">
        <v>19.577506382606771</v>
      </c>
      <c r="AC9">
        <v>19.509595913502089</v>
      </c>
      <c r="AD9">
        <v>19.467676076993737</v>
      </c>
      <c r="AE9">
        <v>19.528050996727529</v>
      </c>
      <c r="AF9">
        <v>19.735061453902631</v>
      </c>
      <c r="AG9">
        <v>20.046637565907272</v>
      </c>
      <c r="AH9">
        <v>20.449962078096842</v>
      </c>
      <c r="AI9">
        <v>20.869470788876765</v>
      </c>
      <c r="AJ9">
        <v>21.263740614155338</v>
      </c>
      <c r="AK9">
        <v>21.593164880372854</v>
      </c>
      <c r="AL9">
        <v>21.836746482117455</v>
      </c>
      <c r="AM9">
        <v>22.005822108518799</v>
      </c>
      <c r="AN9">
        <v>22.115149866285396</v>
      </c>
      <c r="AO9">
        <v>22.199242159137984</v>
      </c>
      <c r="AP9">
        <v>22.284876158852096</v>
      </c>
      <c r="AQ9">
        <v>22.393817042755774</v>
      </c>
      <c r="AR9">
        <v>22.536690070874911</v>
      </c>
      <c r="AS9">
        <v>22.709763907913121</v>
      </c>
      <c r="AT9">
        <v>22.903448004157795</v>
      </c>
      <c r="AU9">
        <v>23.101341435635252</v>
      </c>
      <c r="AV9">
        <v>23.289228626250008</v>
      </c>
      <c r="AW9">
        <v>23.456486916639399</v>
      </c>
      <c r="AX9">
        <v>23.598388102093235</v>
      </c>
      <c r="AY9">
        <v>23.716734974183687</v>
      </c>
      <c r="BA9" s="1">
        <v>1</v>
      </c>
      <c r="BB9" t="str">
        <f t="shared" si="0"/>
        <v>Ac - Vale do Jurua</v>
      </c>
      <c r="BC9" s="3">
        <v>6.0914460564066877</v>
      </c>
      <c r="BD9" s="3">
        <v>-2.8634891127887232</v>
      </c>
      <c r="BE9" s="3">
        <v>-5.3091280815543449</v>
      </c>
      <c r="BF9" s="3">
        <v>-3.0686358504177171</v>
      </c>
      <c r="BG9" s="3">
        <v>-11.670558175874026</v>
      </c>
      <c r="BH9" s="3">
        <v>-8.7306732684964246</v>
      </c>
      <c r="BI9" s="3">
        <v>-9.7619550165048175</v>
      </c>
      <c r="BJ9" s="3">
        <v>-4.9892081659881953</v>
      </c>
      <c r="BK9" s="3">
        <v>-1.5415093364617558</v>
      </c>
      <c r="BL9" s="3">
        <v>-0.29605854890136207</v>
      </c>
      <c r="BM9" s="3">
        <v>2.094437554903088</v>
      </c>
      <c r="BN9" s="3">
        <v>1.1186469872913936</v>
      </c>
      <c r="BO9" s="3">
        <v>0.76680476565930178</v>
      </c>
      <c r="BP9" s="3">
        <v>-1.1624118794228409</v>
      </c>
      <c r="BQ9" s="3">
        <v>-2.9368895652393263</v>
      </c>
      <c r="BR9" s="3">
        <v>-3.9941035185432607</v>
      </c>
      <c r="BS9" s="3">
        <v>-4.8751450867503721</v>
      </c>
      <c r="BT9" s="3">
        <v>-4.5704948780164347</v>
      </c>
      <c r="BU9" s="3">
        <v>-4.1417579115518581</v>
      </c>
      <c r="BV9" s="3">
        <v>-3.2456547713452046</v>
      </c>
      <c r="BW9" s="3">
        <v>-2.3989789815180345</v>
      </c>
      <c r="BX9" s="3">
        <v>-1.8355320872788603</v>
      </c>
      <c r="BY9" s="3">
        <v>-1.4928623721610244</v>
      </c>
      <c r="BZ9" s="3">
        <v>-1.6112445315717814</v>
      </c>
      <c r="CA9" s="3">
        <v>-1.9069469512450752</v>
      </c>
      <c r="CB9" s="3">
        <v>-2.3879730300755533</v>
      </c>
      <c r="CC9" s="3">
        <v>-2.8657228266926644</v>
      </c>
      <c r="CD9" s="3">
        <v>-3.2282368314857308</v>
      </c>
      <c r="CE9" s="3">
        <v>-3.4551375246904783</v>
      </c>
      <c r="CF9" s="3">
        <v>-3.4821036827383196</v>
      </c>
      <c r="CG9" s="3">
        <v>-3.3888232127357369</v>
      </c>
      <c r="CH9" s="3">
        <v>-3.205906463494717</v>
      </c>
      <c r="CI9" s="3">
        <v>-3.014526592742456</v>
      </c>
      <c r="CJ9" s="3">
        <v>-2.8739267807626234</v>
      </c>
      <c r="CK9" s="3">
        <v>-2.8095100927220962</v>
      </c>
      <c r="CL9" s="3">
        <v>-2.8413307602277555</v>
      </c>
      <c r="CM9" s="3">
        <v>-2.9425344767119022</v>
      </c>
      <c r="CN9" s="3">
        <v>-3.0881640294151609</v>
      </c>
      <c r="CO9" s="3">
        <v>-3.2389380262647727</v>
      </c>
      <c r="CP9" s="3">
        <v>-3.3635243021133157</v>
      </c>
      <c r="CQ9" s="3">
        <v>-3.4454131153839249</v>
      </c>
      <c r="CR9" s="3">
        <v>-3.4775986368636502</v>
      </c>
      <c r="CS9" s="3">
        <v>-3.470964391201516</v>
      </c>
      <c r="CT9" s="3">
        <v>-3.4404424591084464</v>
      </c>
      <c r="CU9" s="3">
        <v>-3.405440444634305</v>
      </c>
      <c r="CV9" s="3">
        <v>-3.3819751870670629</v>
      </c>
      <c r="CW9" s="3">
        <v>-3.3792334273364553</v>
      </c>
      <c r="CX9" s="3">
        <v>-3.4002068519411601</v>
      </c>
      <c r="CY9" s="3">
        <v>-3.4402670805019575</v>
      </c>
    </row>
    <row r="10" spans="1:103" x14ac:dyDescent="0.25">
      <c r="A10" t="s">
        <v>7</v>
      </c>
      <c r="B10" t="s">
        <v>5</v>
      </c>
      <c r="C10">
        <v>0.25656642691084847</v>
      </c>
      <c r="D10">
        <v>0.80955973129615832</v>
      </c>
      <c r="E10">
        <v>9.3787794517396694</v>
      </c>
      <c r="F10">
        <v>8.1109714137235276</v>
      </c>
      <c r="G10">
        <v>14.113676756754804</v>
      </c>
      <c r="H10">
        <v>13.150624449614932</v>
      </c>
      <c r="I10">
        <v>12.554616801836767</v>
      </c>
      <c r="J10">
        <v>13.101443900770663</v>
      </c>
      <c r="K10">
        <v>12.213687283536089</v>
      </c>
      <c r="L10">
        <v>13.881779067024437</v>
      </c>
      <c r="M10">
        <v>13.822548628188546</v>
      </c>
      <c r="N10">
        <v>15.19769453216565</v>
      </c>
      <c r="O10">
        <v>16.350875413136986</v>
      </c>
      <c r="P10">
        <v>17.193634039060971</v>
      </c>
      <c r="Q10">
        <v>18.218468662116901</v>
      </c>
      <c r="R10">
        <v>18.426642242453749</v>
      </c>
      <c r="S10">
        <v>18.872889327733354</v>
      </c>
      <c r="T10">
        <v>18.966275855585117</v>
      </c>
      <c r="U10">
        <v>19.132587401238517</v>
      </c>
      <c r="V10">
        <v>19.395793141700086</v>
      </c>
      <c r="W10">
        <v>19.639594715818056</v>
      </c>
      <c r="X10">
        <v>20.097943102110985</v>
      </c>
      <c r="Y10">
        <v>20.525065509087913</v>
      </c>
      <c r="Z10">
        <v>21.038952244297679</v>
      </c>
      <c r="AA10">
        <v>21.525847136554532</v>
      </c>
      <c r="AB10">
        <v>21.965479412682324</v>
      </c>
      <c r="AC10">
        <v>22.375318740194754</v>
      </c>
      <c r="AD10">
        <v>22.695912908479468</v>
      </c>
      <c r="AE10">
        <v>22.983188521418008</v>
      </c>
      <c r="AF10">
        <v>23.217165136640951</v>
      </c>
      <c r="AG10">
        <v>23.435460778643009</v>
      </c>
      <c r="AH10">
        <v>23.655868541591559</v>
      </c>
      <c r="AI10">
        <v>23.883997381619221</v>
      </c>
      <c r="AJ10">
        <v>24.137667394917962</v>
      </c>
      <c r="AK10">
        <v>24.40267497309495</v>
      </c>
      <c r="AL10">
        <v>24.678077242345211</v>
      </c>
      <c r="AM10">
        <v>24.948356585230702</v>
      </c>
      <c r="AN10">
        <v>25.203313895700557</v>
      </c>
      <c r="AO10">
        <v>25.438180185402757</v>
      </c>
      <c r="AP10">
        <v>25.648400460965412</v>
      </c>
      <c r="AQ10">
        <v>25.839230158139699</v>
      </c>
      <c r="AR10">
        <v>26.014288707738562</v>
      </c>
      <c r="AS10">
        <v>26.180728299114637</v>
      </c>
      <c r="AT10">
        <v>26.343890463266241</v>
      </c>
      <c r="AU10">
        <v>26.506781880269557</v>
      </c>
      <c r="AV10">
        <v>26.671203813317071</v>
      </c>
      <c r="AW10">
        <v>26.835720343975854</v>
      </c>
      <c r="AX10">
        <v>26.998594954034395</v>
      </c>
      <c r="AY10">
        <v>27.157002054685645</v>
      </c>
      <c r="BA10" s="1">
        <v>-1</v>
      </c>
      <c r="BB10" t="str">
        <f t="shared" si="0"/>
        <v>Ac - Vale do Jurua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144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</row>
    <row r="11" spans="1:103" x14ac:dyDescent="0.25">
      <c r="A11" t="s">
        <v>8</v>
      </c>
      <c r="B11" t="s">
        <v>4</v>
      </c>
      <c r="C11">
        <v>153.37917203920495</v>
      </c>
      <c r="D11">
        <v>98.632035505598807</v>
      </c>
      <c r="E11">
        <v>80.770401292527481</v>
      </c>
      <c r="F11">
        <v>67.092188120109839</v>
      </c>
      <c r="G11">
        <v>61.797211644379416</v>
      </c>
      <c r="H11">
        <v>95.145746650986126</v>
      </c>
      <c r="I11">
        <v>90.443078155417439</v>
      </c>
      <c r="J11">
        <v>107.59150834712982</v>
      </c>
      <c r="K11">
        <v>112.83694859929041</v>
      </c>
      <c r="L11">
        <v>120.22260204015744</v>
      </c>
      <c r="M11">
        <v>126.24752992406995</v>
      </c>
      <c r="N11">
        <v>121.06437563095842</v>
      </c>
      <c r="O11">
        <v>121.66301887170727</v>
      </c>
      <c r="P11">
        <v>117.38886799130636</v>
      </c>
      <c r="Q11">
        <v>117.31131596506171</v>
      </c>
      <c r="R11">
        <v>117.73463914191912</v>
      </c>
      <c r="S11">
        <v>118.68057930060144</v>
      </c>
      <c r="T11">
        <v>122.46185980308289</v>
      </c>
      <c r="U11">
        <v>125.34457857444337</v>
      </c>
      <c r="V11">
        <v>129.51563873221841</v>
      </c>
      <c r="W11">
        <v>132.46757807627745</v>
      </c>
      <c r="X11">
        <v>134.74968751174006</v>
      </c>
      <c r="Y11">
        <v>136.3441804207965</v>
      </c>
      <c r="Z11">
        <v>136.82149080043314</v>
      </c>
      <c r="AA11">
        <v>137.18777440365128</v>
      </c>
      <c r="AB11">
        <v>137.12460431410449</v>
      </c>
      <c r="AC11">
        <v>137.3853133577166</v>
      </c>
      <c r="AD11">
        <v>137.98205184990354</v>
      </c>
      <c r="AE11">
        <v>138.95653191668427</v>
      </c>
      <c r="AF11">
        <v>140.35965784607146</v>
      </c>
      <c r="AG11">
        <v>141.86245016579267</v>
      </c>
      <c r="AH11">
        <v>143.43196897801562</v>
      </c>
      <c r="AI11">
        <v>144.81320883408176</v>
      </c>
      <c r="AJ11">
        <v>145.95438249630013</v>
      </c>
      <c r="AK11">
        <v>146.83786878205305</v>
      </c>
      <c r="AL11">
        <v>147.47678606132303</v>
      </c>
      <c r="AM11">
        <v>147.99225561969851</v>
      </c>
      <c r="AN11">
        <v>148.44277359193342</v>
      </c>
      <c r="AO11">
        <v>148.9294061865919</v>
      </c>
      <c r="AP11">
        <v>149.49169238694969</v>
      </c>
      <c r="AQ11">
        <v>150.14301016102215</v>
      </c>
      <c r="AR11">
        <v>150.87350287324654</v>
      </c>
      <c r="AS11">
        <v>151.63680178298563</v>
      </c>
      <c r="AT11">
        <v>152.39578129408068</v>
      </c>
      <c r="AU11">
        <v>153.1054808219651</v>
      </c>
      <c r="AV11">
        <v>153.74209460479389</v>
      </c>
      <c r="AW11">
        <v>154.29774296792957</v>
      </c>
      <c r="AX11">
        <v>154.77941296914108</v>
      </c>
      <c r="AY11">
        <v>155.20940097994628</v>
      </c>
      <c r="BA11" s="1">
        <v>1</v>
      </c>
      <c r="BB11" t="str">
        <f t="shared" si="0"/>
        <v>Ac - Vale do Acre</v>
      </c>
      <c r="BC11" s="3">
        <v>164.72550324607062</v>
      </c>
      <c r="BD11" s="3">
        <v>101.70263371592455</v>
      </c>
      <c r="BE11" s="3">
        <v>-17.821569360414429</v>
      </c>
      <c r="BF11" s="3">
        <v>27.294332527796939</v>
      </c>
      <c r="BG11" s="3">
        <v>-37.899773217864549</v>
      </c>
      <c r="BH11" s="3">
        <v>16.285101581170267</v>
      </c>
      <c r="BI11" s="3">
        <v>1.4067109239097135</v>
      </c>
      <c r="BJ11" s="3">
        <v>3.8709869675465995</v>
      </c>
      <c r="BK11" s="3">
        <v>23.744601349899312</v>
      </c>
      <c r="BL11" s="3">
        <v>11.226569310537442</v>
      </c>
      <c r="BM11" s="3">
        <v>25.845682343023768</v>
      </c>
      <c r="BN11" s="3">
        <v>11.238470667486524</v>
      </c>
      <c r="BO11" s="3">
        <v>10.077334164906418</v>
      </c>
      <c r="BP11" s="3">
        <v>6.0724613998664978</v>
      </c>
      <c r="BQ11" s="3">
        <v>-0.42113331613340677</v>
      </c>
      <c r="BR11" s="3">
        <v>0.94276122096106008</v>
      </c>
      <c r="BS11" s="3">
        <v>-4.0935200546904724</v>
      </c>
      <c r="BT11" s="3">
        <v>-2.2418181038799503</v>
      </c>
      <c r="BU11" s="3">
        <v>-2.6777483148805459</v>
      </c>
      <c r="BV11" s="3">
        <v>-1.8768658343192612</v>
      </c>
      <c r="BW11" s="3">
        <v>-0.36749422037749468</v>
      </c>
      <c r="BX11" s="3">
        <v>-0.9505292394993603</v>
      </c>
      <c r="BY11" s="3">
        <v>-0.51488138758222135</v>
      </c>
      <c r="BZ11" s="3">
        <v>-2.0923951373765703</v>
      </c>
      <c r="CA11" s="3">
        <v>-3.5001372948743779</v>
      </c>
      <c r="CB11" s="3">
        <v>-5.3259842557056061</v>
      </c>
      <c r="CC11" s="3">
        <v>-7.2227367874573645</v>
      </c>
      <c r="CD11" s="3">
        <v>-8.3632794943659121</v>
      </c>
      <c r="CE11" s="3">
        <v>-9.4061008377307758</v>
      </c>
      <c r="CF11" s="3">
        <v>-9.719185586948214</v>
      </c>
      <c r="CG11" s="3">
        <v>-9.9114647874569926</v>
      </c>
      <c r="CH11" s="3">
        <v>-9.9652005633490717</v>
      </c>
      <c r="CI11" s="3">
        <v>-10.038273148063837</v>
      </c>
      <c r="CJ11" s="3">
        <v>-10.363468003094937</v>
      </c>
      <c r="CK11" s="3">
        <v>-10.795751690928768</v>
      </c>
      <c r="CL11" s="3">
        <v>-11.459247250960118</v>
      </c>
      <c r="CM11" s="3">
        <v>-12.182933955846067</v>
      </c>
      <c r="CN11" s="3">
        <v>-12.935129214891276</v>
      </c>
      <c r="CO11" s="3">
        <v>-13.649810098789345</v>
      </c>
      <c r="CP11" s="3">
        <v>-14.250214782213817</v>
      </c>
      <c r="CQ11" s="3">
        <v>-14.756369127871977</v>
      </c>
      <c r="CR11" s="3">
        <v>-15.138773017732632</v>
      </c>
      <c r="CS11" s="3">
        <v>-15.44712973757089</v>
      </c>
      <c r="CT11" s="3">
        <v>-15.708676467088367</v>
      </c>
      <c r="CU11" s="3">
        <v>-15.961366023106223</v>
      </c>
      <c r="CV11" s="3">
        <v>-16.242601395049292</v>
      </c>
      <c r="CW11" s="3">
        <v>-16.559310470213234</v>
      </c>
      <c r="CX11" s="3">
        <v>-16.9195204580314</v>
      </c>
      <c r="CY11" s="3">
        <v>-17.304397559807825</v>
      </c>
    </row>
    <row r="12" spans="1:103" x14ac:dyDescent="0.25">
      <c r="A12" t="s">
        <v>8</v>
      </c>
      <c r="B12" t="s">
        <v>5</v>
      </c>
      <c r="C12">
        <v>-11.346331206865678</v>
      </c>
      <c r="D12">
        <v>-3.0705982103257452</v>
      </c>
      <c r="E12">
        <v>98.59197065294191</v>
      </c>
      <c r="F12">
        <v>39.797855592312899</v>
      </c>
      <c r="G12">
        <v>99.696984862243966</v>
      </c>
      <c r="H12">
        <v>78.86064506981586</v>
      </c>
      <c r="I12">
        <v>89.036367231507725</v>
      </c>
      <c r="J12">
        <v>103.72052137958322</v>
      </c>
      <c r="K12">
        <v>89.092347249391096</v>
      </c>
      <c r="L12">
        <v>108.99603272962</v>
      </c>
      <c r="M12">
        <v>100.40184758104618</v>
      </c>
      <c r="N12">
        <v>109.8259049634719</v>
      </c>
      <c r="O12">
        <v>111.58568470680085</v>
      </c>
      <c r="P12">
        <v>111.31640659143986</v>
      </c>
      <c r="Q12">
        <v>117.73244928119512</v>
      </c>
      <c r="R12">
        <v>116.79187792095806</v>
      </c>
      <c r="S12">
        <v>122.77409935529191</v>
      </c>
      <c r="T12">
        <v>124.70367790696284</v>
      </c>
      <c r="U12">
        <v>128.02232688932392</v>
      </c>
      <c r="V12">
        <v>131.39250456653767</v>
      </c>
      <c r="W12">
        <v>132.83507229665494</v>
      </c>
      <c r="X12">
        <v>135.70021675123942</v>
      </c>
      <c r="Y12">
        <v>136.85906180837873</v>
      </c>
      <c r="Z12">
        <v>138.91388593780971</v>
      </c>
      <c r="AA12">
        <v>140.68791169852565</v>
      </c>
      <c r="AB12">
        <v>142.45058856981009</v>
      </c>
      <c r="AC12">
        <v>144.60805014517396</v>
      </c>
      <c r="AD12">
        <v>146.34533134426945</v>
      </c>
      <c r="AE12">
        <v>148.36263275441505</v>
      </c>
      <c r="AF12">
        <v>150.07884343301967</v>
      </c>
      <c r="AG12">
        <v>151.77391495324966</v>
      </c>
      <c r="AH12">
        <v>153.39716954136469</v>
      </c>
      <c r="AI12">
        <v>154.8514819821456</v>
      </c>
      <c r="AJ12">
        <v>156.31785049939506</v>
      </c>
      <c r="AK12">
        <v>157.63362047298182</v>
      </c>
      <c r="AL12">
        <v>158.93603331228314</v>
      </c>
      <c r="AM12">
        <v>160.17518957554458</v>
      </c>
      <c r="AN12">
        <v>161.37790280682469</v>
      </c>
      <c r="AO12">
        <v>162.57921628538125</v>
      </c>
      <c r="AP12">
        <v>163.74190716916351</v>
      </c>
      <c r="AQ12">
        <v>164.89937928889412</v>
      </c>
      <c r="AR12">
        <v>166.01227589097917</v>
      </c>
      <c r="AS12">
        <v>167.08393152055652</v>
      </c>
      <c r="AT12">
        <v>168.10445776116904</v>
      </c>
      <c r="AU12">
        <v>169.06684684507132</v>
      </c>
      <c r="AV12">
        <v>169.98469599984318</v>
      </c>
      <c r="AW12">
        <v>170.8570534381428</v>
      </c>
      <c r="AX12">
        <v>171.69893342717248</v>
      </c>
      <c r="AY12">
        <v>172.51379853975411</v>
      </c>
      <c r="BA12" s="1">
        <v>-1</v>
      </c>
      <c r="BB12" t="str">
        <f t="shared" si="0"/>
        <v>Ac - Vale do Acre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144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</row>
    <row r="13" spans="1:103" x14ac:dyDescent="0.25">
      <c r="A13" t="s">
        <v>9</v>
      </c>
      <c r="B13" t="s">
        <v>4</v>
      </c>
      <c r="C13">
        <v>2.9822388186886588</v>
      </c>
      <c r="D13">
        <v>-7.0947536622608904</v>
      </c>
      <c r="E13">
        <v>-2.7575271230836789</v>
      </c>
      <c r="F13">
        <v>-1.4394646463541929</v>
      </c>
      <c r="G13">
        <v>-2.1979888222576509</v>
      </c>
      <c r="H13">
        <v>-0.47009289823773737</v>
      </c>
      <c r="I13">
        <v>-2.602542522426269</v>
      </c>
      <c r="J13">
        <v>-0.86119031807175705</v>
      </c>
      <c r="K13">
        <v>-1.4007972249637208</v>
      </c>
      <c r="L13">
        <v>-1.3821858274995193</v>
      </c>
      <c r="M13">
        <v>-1.1239355437128644</v>
      </c>
      <c r="N13">
        <v>-1.5982540847526807</v>
      </c>
      <c r="O13">
        <v>-1.0415978925066278</v>
      </c>
      <c r="P13">
        <v>-1.2959593714372635</v>
      </c>
      <c r="Q13">
        <v>-1.0932956536257019</v>
      </c>
      <c r="R13">
        <v>-1.0726389413294632</v>
      </c>
      <c r="S13">
        <v>-1.1036500886167671</v>
      </c>
      <c r="T13">
        <v>-0.93443994283014564</v>
      </c>
      <c r="U13">
        <v>-0.98882117348290399</v>
      </c>
      <c r="V13">
        <v>-0.86772742588344109</v>
      </c>
      <c r="W13">
        <v>-0.86307044424828594</v>
      </c>
      <c r="X13">
        <v>-0.82591505966312995</v>
      </c>
      <c r="Y13">
        <v>-0.78082593337588557</v>
      </c>
      <c r="Z13">
        <v>-0.7853220945028595</v>
      </c>
      <c r="AA13">
        <v>-0.73940434929327747</v>
      </c>
      <c r="AB13">
        <v>-0.73062692429561171</v>
      </c>
      <c r="AC13">
        <v>-0.69160751130018339</v>
      </c>
      <c r="AD13">
        <v>-0.65792452759410469</v>
      </c>
      <c r="AE13">
        <v>-0.62750972728086407</v>
      </c>
      <c r="AF13">
        <v>-0.58887951818146933</v>
      </c>
      <c r="AG13">
        <v>-0.56518305204889707</v>
      </c>
      <c r="AH13">
        <v>-0.53570415183486175</v>
      </c>
      <c r="AI13">
        <v>-0.51486480540678292</v>
      </c>
      <c r="AJ13">
        <v>-0.4939821653015169</v>
      </c>
      <c r="AK13">
        <v>-0.47305792695122112</v>
      </c>
      <c r="AL13">
        <v>-0.45470353365643013</v>
      </c>
      <c r="AM13">
        <v>-0.43371635898472594</v>
      </c>
      <c r="AN13">
        <v>-0.41491111949068549</v>
      </c>
      <c r="AO13">
        <v>-0.39496404808556251</v>
      </c>
      <c r="AP13">
        <v>-0.37568823322542721</v>
      </c>
      <c r="AQ13">
        <v>-0.35700513847746534</v>
      </c>
      <c r="AR13">
        <v>-0.33834020317556529</v>
      </c>
      <c r="AS13">
        <v>-0.32104253623614543</v>
      </c>
      <c r="AT13">
        <v>-0.30419691381953912</v>
      </c>
      <c r="AU13">
        <v>-0.28866938001385894</v>
      </c>
      <c r="AV13">
        <v>-0.27403813436729546</v>
      </c>
      <c r="AW13">
        <v>-0.26018448547616208</v>
      </c>
      <c r="AX13">
        <v>-0.24704965580757363</v>
      </c>
      <c r="AY13">
        <v>-0.23414344974954357</v>
      </c>
      <c r="BA13" s="1">
        <v>1</v>
      </c>
      <c r="BB13" t="str">
        <f t="shared" si="0"/>
        <v>Am - Norte Amazonense</v>
      </c>
      <c r="BC13" s="3">
        <v>11.944164875996238</v>
      </c>
      <c r="BD13" s="3">
        <v>-5.2646265625252546</v>
      </c>
      <c r="BE13" s="3">
        <v>-0.7164004405584441</v>
      </c>
      <c r="BF13" s="3">
        <v>1.0863568911049932</v>
      </c>
      <c r="BG13" s="3">
        <v>-0.57487855261796539</v>
      </c>
      <c r="BH13" s="3">
        <v>2.8278088130366603</v>
      </c>
      <c r="BI13" s="3">
        <v>-0.91662432926312332</v>
      </c>
      <c r="BJ13" s="3">
        <v>1.7379778017569385</v>
      </c>
      <c r="BK13" s="3">
        <v>0.99148020595686148</v>
      </c>
      <c r="BL13" s="3">
        <v>0.95470316775757036</v>
      </c>
      <c r="BM13" s="3">
        <v>1.4728632146407672</v>
      </c>
      <c r="BN13" s="3">
        <v>0.49018726829828374</v>
      </c>
      <c r="BO13" s="3">
        <v>1.2727314784142669</v>
      </c>
      <c r="BP13" s="3">
        <v>0.73429494614515978</v>
      </c>
      <c r="BQ13" s="3">
        <v>0.93134903336940811</v>
      </c>
      <c r="BR13" s="3">
        <v>0.89933952911064652</v>
      </c>
      <c r="BS13" s="3">
        <v>0.73185673797668316</v>
      </c>
      <c r="BT13" s="3">
        <v>0.95367121675042943</v>
      </c>
      <c r="BU13" s="3">
        <v>0.80400437323534191</v>
      </c>
      <c r="BV13" s="3">
        <v>0.95617309760641112</v>
      </c>
      <c r="BW13" s="3">
        <v>0.92919598741870746</v>
      </c>
      <c r="BX13" s="3">
        <v>0.94059779355622775</v>
      </c>
      <c r="BY13" s="3">
        <v>0.97503783576647285</v>
      </c>
      <c r="BZ13" s="3">
        <v>0.91177418009415556</v>
      </c>
      <c r="CA13" s="3">
        <v>0.92866967358182106</v>
      </c>
      <c r="CB13" s="3">
        <v>0.8785804266911873</v>
      </c>
      <c r="CC13" s="3">
        <v>0.87550961150281492</v>
      </c>
      <c r="CD13" s="3">
        <v>0.87113178754824194</v>
      </c>
      <c r="CE13" s="3">
        <v>0.86548015063057115</v>
      </c>
      <c r="CF13" s="3">
        <v>0.88347912832865105</v>
      </c>
      <c r="CG13" s="3">
        <v>0.88260069232702143</v>
      </c>
      <c r="CH13" s="3">
        <v>0.89577128984438392</v>
      </c>
      <c r="CI13" s="3">
        <v>0.89699791279996199</v>
      </c>
      <c r="CJ13" s="3">
        <v>0.89718735192269228</v>
      </c>
      <c r="CK13" s="3">
        <v>0.89669529324206554</v>
      </c>
      <c r="CL13" s="3">
        <v>0.88997510964675619</v>
      </c>
      <c r="CM13" s="3">
        <v>0.8870137772983111</v>
      </c>
      <c r="CN13" s="3">
        <v>0.88062138901593345</v>
      </c>
      <c r="CO13" s="3">
        <v>0.87714050374268382</v>
      </c>
      <c r="CP13" s="3">
        <v>0.87461107211349431</v>
      </c>
      <c r="CQ13" s="3">
        <v>0.87323676723099442</v>
      </c>
      <c r="CR13" s="3">
        <v>0.87430800648521378</v>
      </c>
      <c r="CS13" s="3">
        <v>0.87521943025834081</v>
      </c>
      <c r="CT13" s="3">
        <v>0.87711622033439807</v>
      </c>
      <c r="CU13" s="3">
        <v>0.87808465529792112</v>
      </c>
      <c r="CV13" s="3">
        <v>0.87826307966422901</v>
      </c>
      <c r="CW13" s="3">
        <v>0.87755714198514356</v>
      </c>
      <c r="CX13" s="3">
        <v>0.87582396480361213</v>
      </c>
      <c r="CY13" s="3">
        <v>0.87393256482392778</v>
      </c>
    </row>
    <row r="14" spans="1:103" x14ac:dyDescent="0.25">
      <c r="A14" t="s">
        <v>9</v>
      </c>
      <c r="B14" t="s">
        <v>5</v>
      </c>
      <c r="C14">
        <v>-8.9619260573075792</v>
      </c>
      <c r="D14">
        <v>-1.830127099735636</v>
      </c>
      <c r="E14">
        <v>-2.0411266825252348</v>
      </c>
      <c r="F14">
        <v>-2.5258215374591861</v>
      </c>
      <c r="G14">
        <v>-1.6231102696396855</v>
      </c>
      <c r="H14">
        <v>-3.2979017112743976</v>
      </c>
      <c r="I14">
        <v>-1.6859181931631457</v>
      </c>
      <c r="J14">
        <v>-2.5991681198286956</v>
      </c>
      <c r="K14">
        <v>-2.3922774309205823</v>
      </c>
      <c r="L14">
        <v>-2.3368889952570897</v>
      </c>
      <c r="M14">
        <v>-2.5967987583536316</v>
      </c>
      <c r="N14">
        <v>-2.0884413530509645</v>
      </c>
      <c r="O14">
        <v>-2.3143293709208947</v>
      </c>
      <c r="P14">
        <v>-2.0302543175824233</v>
      </c>
      <c r="Q14">
        <v>-2.02464468699511</v>
      </c>
      <c r="R14">
        <v>-1.9719784704401098</v>
      </c>
      <c r="S14">
        <v>-1.8355068265934502</v>
      </c>
      <c r="T14">
        <v>-1.8881111595805751</v>
      </c>
      <c r="U14">
        <v>-1.7928255467182459</v>
      </c>
      <c r="V14">
        <v>-1.8239005234898522</v>
      </c>
      <c r="W14">
        <v>-1.7922664316669934</v>
      </c>
      <c r="X14">
        <v>-1.7665128532193577</v>
      </c>
      <c r="Y14">
        <v>-1.7558637691423584</v>
      </c>
      <c r="Z14">
        <v>-1.6970962745970151</v>
      </c>
      <c r="AA14">
        <v>-1.6680740228750985</v>
      </c>
      <c r="AB14">
        <v>-1.609207350986799</v>
      </c>
      <c r="AC14">
        <v>-1.5671171228029983</v>
      </c>
      <c r="AD14">
        <v>-1.5290563151423466</v>
      </c>
      <c r="AE14">
        <v>-1.4929898779114352</v>
      </c>
      <c r="AF14">
        <v>-1.4723586465101204</v>
      </c>
      <c r="AG14">
        <v>-1.4477837443759185</v>
      </c>
      <c r="AH14">
        <v>-1.4314754416792457</v>
      </c>
      <c r="AI14">
        <v>-1.4118627182067449</v>
      </c>
      <c r="AJ14">
        <v>-1.3911695172242091</v>
      </c>
      <c r="AK14">
        <v>-1.3697532201932867</v>
      </c>
      <c r="AL14">
        <v>-1.3446786433031863</v>
      </c>
      <c r="AM14">
        <v>-1.320730136283037</v>
      </c>
      <c r="AN14">
        <v>-1.2955325085066189</v>
      </c>
      <c r="AO14">
        <v>-1.2721045518282463</v>
      </c>
      <c r="AP14">
        <v>-1.2502993053389215</v>
      </c>
      <c r="AQ14">
        <v>-1.2302419057084597</v>
      </c>
      <c r="AR14">
        <v>-1.2126482096607791</v>
      </c>
      <c r="AS14">
        <v>-1.1962619664944862</v>
      </c>
      <c r="AT14">
        <v>-1.1813131341539371</v>
      </c>
      <c r="AU14">
        <v>-1.16675403531178</v>
      </c>
      <c r="AV14">
        <v>-1.1523012140315245</v>
      </c>
      <c r="AW14">
        <v>-1.1377416274613057</v>
      </c>
      <c r="AX14">
        <v>-1.1228736206111858</v>
      </c>
      <c r="AY14">
        <v>-1.1080760145734714</v>
      </c>
      <c r="BA14" s="1">
        <v>-1</v>
      </c>
      <c r="BB14" t="str">
        <f t="shared" si="0"/>
        <v>Am - Norte Amazonense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144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</row>
    <row r="15" spans="1:103" x14ac:dyDescent="0.25">
      <c r="A15" t="s">
        <v>10</v>
      </c>
      <c r="B15" t="s">
        <v>4</v>
      </c>
      <c r="C15">
        <v>2.9171056158858368</v>
      </c>
      <c r="D15">
        <v>0.9077327793725718</v>
      </c>
      <c r="E15">
        <v>1.674561636731579</v>
      </c>
      <c r="F15">
        <v>1.8088491736531804</v>
      </c>
      <c r="G15">
        <v>1.5202744764422369</v>
      </c>
      <c r="H15">
        <v>2.3309652723749705</v>
      </c>
      <c r="I15">
        <v>1.9714234812496874</v>
      </c>
      <c r="J15">
        <v>2.4969648797604935</v>
      </c>
      <c r="K15">
        <v>2.4474707859198417</v>
      </c>
      <c r="L15">
        <v>2.5073180131230095</v>
      </c>
      <c r="M15">
        <v>2.6490262594688341</v>
      </c>
      <c r="N15">
        <v>2.4891680847810158</v>
      </c>
      <c r="O15">
        <v>2.5752855208126557</v>
      </c>
      <c r="P15">
        <v>2.4513490922171215</v>
      </c>
      <c r="Q15">
        <v>2.4641515642322322</v>
      </c>
      <c r="R15">
        <v>2.4715363818586704</v>
      </c>
      <c r="S15">
        <v>2.4780020722448408</v>
      </c>
      <c r="T15">
        <v>2.5660009888710955</v>
      </c>
      <c r="U15">
        <v>2.6027160928452582</v>
      </c>
      <c r="V15">
        <v>2.6844999190544971</v>
      </c>
      <c r="W15">
        <v>2.7262606718260116</v>
      </c>
      <c r="X15">
        <v>2.7572282098936038</v>
      </c>
      <c r="Y15">
        <v>2.7784170785883471</v>
      </c>
      <c r="Z15">
        <v>2.7745187406052261</v>
      </c>
      <c r="AA15">
        <v>2.7800016719637801</v>
      </c>
      <c r="AB15">
        <v>2.7759919898331065</v>
      </c>
      <c r="AC15">
        <v>2.7835843084010881</v>
      </c>
      <c r="AD15">
        <v>2.7968231285068668</v>
      </c>
      <c r="AE15">
        <v>2.8149877876023117</v>
      </c>
      <c r="AF15">
        <v>2.8406435440152307</v>
      </c>
      <c r="AG15">
        <v>2.8646275666745615</v>
      </c>
      <c r="AH15">
        <v>2.8899749697386703</v>
      </c>
      <c r="AI15">
        <v>2.9108443830303239</v>
      </c>
      <c r="AJ15">
        <v>2.9278924363094605</v>
      </c>
      <c r="AK15">
        <v>2.9411385633999165</v>
      </c>
      <c r="AL15">
        <v>2.9503272750922789</v>
      </c>
      <c r="AM15">
        <v>2.9582961443937363</v>
      </c>
      <c r="AN15">
        <v>2.9652570569272081</v>
      </c>
      <c r="AO15">
        <v>2.9733372970822511</v>
      </c>
      <c r="AP15">
        <v>2.9828864981276113</v>
      </c>
      <c r="AQ15">
        <v>2.9939938779285113</v>
      </c>
      <c r="AR15">
        <v>3.0064731513155265</v>
      </c>
      <c r="AS15">
        <v>3.0192202818500857</v>
      </c>
      <c r="AT15">
        <v>3.0316989656168394</v>
      </c>
      <c r="AU15">
        <v>3.0430523945639512</v>
      </c>
      <c r="AV15">
        <v>3.0530217390589254</v>
      </c>
      <c r="AW15">
        <v>3.0616117273276311</v>
      </c>
      <c r="AX15">
        <v>3.0690382371052101</v>
      </c>
      <c r="AY15">
        <v>3.0758007110939176</v>
      </c>
      <c r="BA15" s="1">
        <v>1</v>
      </c>
      <c r="BB15" t="str">
        <f t="shared" si="0"/>
        <v>Am - Sudoeste Amazonense</v>
      </c>
      <c r="BC15" s="3">
        <v>2.4530587034992379</v>
      </c>
      <c r="BD15" s="3">
        <v>1.2693800093959093</v>
      </c>
      <c r="BE15" s="3">
        <v>0.51973788539894406</v>
      </c>
      <c r="BF15" s="3">
        <v>1.6858439775008254</v>
      </c>
      <c r="BG15" s="3">
        <v>0.90933835026377385</v>
      </c>
      <c r="BH15" s="3">
        <v>1.8541998337288284</v>
      </c>
      <c r="BI15" s="3">
        <v>1.524767891241761</v>
      </c>
      <c r="BJ15" s="3">
        <v>1.8646675989765022</v>
      </c>
      <c r="BK15" s="3">
        <v>2.0929651518044534</v>
      </c>
      <c r="BL15" s="3">
        <v>1.8807004336323021</v>
      </c>
      <c r="BM15" s="3">
        <v>2.0722118965432856</v>
      </c>
      <c r="BN15" s="3">
        <v>1.7889810604993011</v>
      </c>
      <c r="BO15" s="3">
        <v>1.7961362451590408</v>
      </c>
      <c r="BP15" s="3">
        <v>1.6749410348439073</v>
      </c>
      <c r="BQ15" s="3">
        <v>1.5922096394987644</v>
      </c>
      <c r="BR15" s="3">
        <v>1.6284056715590656</v>
      </c>
      <c r="BS15" s="3">
        <v>1.5959186992244483</v>
      </c>
      <c r="BT15" s="3">
        <v>1.6904571054149042</v>
      </c>
      <c r="BU15" s="3">
        <v>1.7251538269224385</v>
      </c>
      <c r="BV15" s="3">
        <v>1.7827711756735418</v>
      </c>
      <c r="BW15" s="3">
        <v>1.8193741961130434</v>
      </c>
      <c r="BX15" s="3">
        <v>1.8144100624321138</v>
      </c>
      <c r="BY15" s="3">
        <v>1.8137039056450543</v>
      </c>
      <c r="BZ15" s="3">
        <v>1.7771944187804971</v>
      </c>
      <c r="CA15" s="3">
        <v>1.7526198056393691</v>
      </c>
      <c r="CB15" s="3">
        <v>1.7257796684097759</v>
      </c>
      <c r="CC15" s="3">
        <v>1.709220618382725</v>
      </c>
      <c r="CD15" s="3">
        <v>1.7084844674861208</v>
      </c>
      <c r="CE15" s="3">
        <v>1.7120265609218175</v>
      </c>
      <c r="CF15" s="3">
        <v>1.727057851976612</v>
      </c>
      <c r="CG15" s="3">
        <v>1.7404949805206658</v>
      </c>
      <c r="CH15" s="3">
        <v>1.7535254190881682</v>
      </c>
      <c r="CI15" s="3">
        <v>1.7618812867476648</v>
      </c>
      <c r="CJ15" s="3">
        <v>1.7635726818130015</v>
      </c>
      <c r="CK15" s="3">
        <v>1.7613925005380073</v>
      </c>
      <c r="CL15" s="3">
        <v>1.7545076977933998</v>
      </c>
      <c r="CM15" s="3">
        <v>1.7470927002193224</v>
      </c>
      <c r="CN15" s="3">
        <v>1.7401078313579601</v>
      </c>
      <c r="CO15" s="3">
        <v>1.7354473815006892</v>
      </c>
      <c r="CP15" s="3">
        <v>1.734022581196377</v>
      </c>
      <c r="CQ15" s="3">
        <v>1.7351168153548857</v>
      </c>
      <c r="CR15" s="3">
        <v>1.7384327946398996</v>
      </c>
      <c r="CS15" s="3">
        <v>1.7423242560897798</v>
      </c>
      <c r="CT15" s="3">
        <v>1.7458940497861408</v>
      </c>
      <c r="CU15" s="3">
        <v>1.7482331583708246</v>
      </c>
      <c r="CV15" s="3">
        <v>1.7489334261987968</v>
      </c>
      <c r="CW15" s="3">
        <v>1.7482331588517721</v>
      </c>
      <c r="CX15" s="3">
        <v>1.7464669580191745</v>
      </c>
      <c r="CY15" s="3">
        <v>1.7443597587633075</v>
      </c>
    </row>
    <row r="16" spans="1:103" x14ac:dyDescent="0.25">
      <c r="A16" t="s">
        <v>10</v>
      </c>
      <c r="B16" t="s">
        <v>5</v>
      </c>
      <c r="C16">
        <v>0.46404691238659912</v>
      </c>
      <c r="D16">
        <v>-0.36164723002333743</v>
      </c>
      <c r="E16">
        <v>1.1548237513326349</v>
      </c>
      <c r="F16">
        <v>0.12300519615235511</v>
      </c>
      <c r="G16">
        <v>0.61093612617846305</v>
      </c>
      <c r="H16">
        <v>0.47676543864614218</v>
      </c>
      <c r="I16">
        <v>0.44665559000792621</v>
      </c>
      <c r="J16">
        <v>0.63229728078399128</v>
      </c>
      <c r="K16">
        <v>0.35450563411538816</v>
      </c>
      <c r="L16">
        <v>0.6266175794907074</v>
      </c>
      <c r="M16">
        <v>0.57681436292554844</v>
      </c>
      <c r="N16">
        <v>0.70018702428171475</v>
      </c>
      <c r="O16">
        <v>0.7791492756536148</v>
      </c>
      <c r="P16">
        <v>0.77640805737321417</v>
      </c>
      <c r="Q16">
        <v>0.87194192473346788</v>
      </c>
      <c r="R16">
        <v>0.84313071029960485</v>
      </c>
      <c r="S16">
        <v>0.88208337302039264</v>
      </c>
      <c r="T16">
        <v>0.87554388345619127</v>
      </c>
      <c r="U16">
        <v>0.87756226592281972</v>
      </c>
      <c r="V16">
        <v>0.90172874338095532</v>
      </c>
      <c r="W16">
        <v>0.90688647571296821</v>
      </c>
      <c r="X16">
        <v>0.94281814746149006</v>
      </c>
      <c r="Y16">
        <v>0.96471317294329262</v>
      </c>
      <c r="Z16">
        <v>0.99732432182472885</v>
      </c>
      <c r="AA16">
        <v>1.027381866324411</v>
      </c>
      <c r="AB16">
        <v>1.0502123214233305</v>
      </c>
      <c r="AC16">
        <v>1.0743636900183631</v>
      </c>
      <c r="AD16">
        <v>1.0883386610207459</v>
      </c>
      <c r="AE16">
        <v>1.1029612266804942</v>
      </c>
      <c r="AF16">
        <v>1.1135856920386187</v>
      </c>
      <c r="AG16">
        <v>1.1241325861538958</v>
      </c>
      <c r="AH16">
        <v>1.1364495506505021</v>
      </c>
      <c r="AI16">
        <v>1.1489630962826591</v>
      </c>
      <c r="AJ16">
        <v>1.164319754496459</v>
      </c>
      <c r="AK16">
        <v>1.1797460628619092</v>
      </c>
      <c r="AL16">
        <v>1.1958195772988791</v>
      </c>
      <c r="AM16">
        <v>1.2112034441744139</v>
      </c>
      <c r="AN16">
        <v>1.225149225569248</v>
      </c>
      <c r="AO16">
        <v>1.2378899155815619</v>
      </c>
      <c r="AP16">
        <v>1.2488639169312343</v>
      </c>
      <c r="AQ16">
        <v>1.2588770625736256</v>
      </c>
      <c r="AR16">
        <v>1.2680403566756269</v>
      </c>
      <c r="AS16">
        <v>1.2768960257603059</v>
      </c>
      <c r="AT16">
        <v>1.2858049158306986</v>
      </c>
      <c r="AU16">
        <v>1.2948192361931266</v>
      </c>
      <c r="AV16">
        <v>1.3040883128601286</v>
      </c>
      <c r="AW16">
        <v>1.313378568475859</v>
      </c>
      <c r="AX16">
        <v>1.3225712790860356</v>
      </c>
      <c r="AY16">
        <v>1.3314409523306101</v>
      </c>
      <c r="BA16" s="1">
        <v>-1</v>
      </c>
      <c r="BB16" t="str">
        <f t="shared" si="0"/>
        <v>Am - Sudoeste Amazonense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144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</row>
    <row r="17" spans="1:103" x14ac:dyDescent="0.25">
      <c r="A17" t="s">
        <v>11</v>
      </c>
      <c r="B17" t="s">
        <v>4</v>
      </c>
      <c r="C17">
        <v>1687.3665649960117</v>
      </c>
      <c r="D17">
        <v>1388.7172509562372</v>
      </c>
      <c r="E17">
        <v>1404.5391484636364</v>
      </c>
      <c r="F17">
        <v>1212.5448339610273</v>
      </c>
      <c r="G17">
        <v>1168.1767228729057</v>
      </c>
      <c r="H17">
        <v>1461.307171472328</v>
      </c>
      <c r="I17">
        <v>1318.0403145365146</v>
      </c>
      <c r="J17">
        <v>1435.2416277683528</v>
      </c>
      <c r="K17">
        <v>1372.0295086012177</v>
      </c>
      <c r="L17">
        <v>1384.4615027747016</v>
      </c>
      <c r="M17">
        <v>1378.944710928399</v>
      </c>
      <c r="N17">
        <v>1274.3834797337597</v>
      </c>
      <c r="O17">
        <v>1247.570339521151</v>
      </c>
      <c r="P17">
        <v>1170.5346268230257</v>
      </c>
      <c r="Q17">
        <v>1160.028546148209</v>
      </c>
      <c r="R17">
        <v>1150.5677900856631</v>
      </c>
      <c r="S17">
        <v>1149.1002320716755</v>
      </c>
      <c r="T17">
        <v>1168.7898163448438</v>
      </c>
      <c r="U17">
        <v>1168.6087044453118</v>
      </c>
      <c r="V17">
        <v>1177.0666314662619</v>
      </c>
      <c r="W17">
        <v>1166.3448254174734</v>
      </c>
      <c r="X17">
        <v>1151.5474911949148</v>
      </c>
      <c r="Y17">
        <v>1133.1963501843109</v>
      </c>
      <c r="Z17">
        <v>1110.075117942436</v>
      </c>
      <c r="AA17">
        <v>1092.5548956010468</v>
      </c>
      <c r="AB17">
        <v>1074.5316507577602</v>
      </c>
      <c r="AC17">
        <v>1062.7124271669538</v>
      </c>
      <c r="AD17">
        <v>1054.0255431045559</v>
      </c>
      <c r="AE17">
        <v>1048.2710181308773</v>
      </c>
      <c r="AF17">
        <v>1045.1995799127678</v>
      </c>
      <c r="AG17">
        <v>1041.5707653882109</v>
      </c>
      <c r="AH17">
        <v>1037.9183722811397</v>
      </c>
      <c r="AI17">
        <v>1032.1076447832831</v>
      </c>
      <c r="AJ17">
        <v>1024.6056361863568</v>
      </c>
      <c r="AK17">
        <v>1015.6478316358326</v>
      </c>
      <c r="AL17">
        <v>1005.7697071077256</v>
      </c>
      <c r="AM17">
        <v>996.30034398458781</v>
      </c>
      <c r="AN17">
        <v>987.59762949470871</v>
      </c>
      <c r="AO17">
        <v>980.38822126757304</v>
      </c>
      <c r="AP17">
        <v>974.55070533811511</v>
      </c>
      <c r="AQ17">
        <v>969.82344854715564</v>
      </c>
      <c r="AR17">
        <v>965.79599037245816</v>
      </c>
      <c r="AS17">
        <v>961.88942647200054</v>
      </c>
      <c r="AT17">
        <v>957.82632562583228</v>
      </c>
      <c r="AU17">
        <v>953.3489248689624</v>
      </c>
      <c r="AV17">
        <v>948.48644180365</v>
      </c>
      <c r="AW17">
        <v>943.36685940591974</v>
      </c>
      <c r="AX17">
        <v>938.18384610830981</v>
      </c>
      <c r="AY17">
        <v>933.17271706653366</v>
      </c>
      <c r="BA17" s="1">
        <v>1</v>
      </c>
      <c r="BB17" t="str">
        <f t="shared" si="0"/>
        <v>Am - Centro Amazonense</v>
      </c>
      <c r="BC17" s="3">
        <v>1773.3851720403159</v>
      </c>
      <c r="BD17" s="3">
        <v>1153.6882470687103</v>
      </c>
      <c r="BE17" s="3">
        <v>525.47580862696577</v>
      </c>
      <c r="BF17" s="3">
        <v>704.04264310615281</v>
      </c>
      <c r="BG17" s="3">
        <v>376.59426157313624</v>
      </c>
      <c r="BH17" s="3">
        <v>719.65513222202856</v>
      </c>
      <c r="BI17" s="3">
        <v>449.41361098966627</v>
      </c>
      <c r="BJ17" s="3">
        <v>504.84741768430877</v>
      </c>
      <c r="BK17" s="3">
        <v>534.70051339844269</v>
      </c>
      <c r="BL17" s="3">
        <v>451.53751951778406</v>
      </c>
      <c r="BM17" s="3">
        <v>501.73953810281489</v>
      </c>
      <c r="BN17" s="3">
        <v>364.70286653216817</v>
      </c>
      <c r="BO17" s="3">
        <v>358.97442358251044</v>
      </c>
      <c r="BP17" s="3">
        <v>302.29311357498125</v>
      </c>
      <c r="BQ17" s="3">
        <v>269.90498946613286</v>
      </c>
      <c r="BR17" s="3">
        <v>266.61054204907441</v>
      </c>
      <c r="BS17" s="3">
        <v>228.95691858842122</v>
      </c>
      <c r="BT17" s="3">
        <v>233.00873304135257</v>
      </c>
      <c r="BU17" s="3">
        <v>209.13419495015819</v>
      </c>
      <c r="BV17" s="3">
        <v>198.34705843843778</v>
      </c>
      <c r="BW17" s="3">
        <v>182.38434818851181</v>
      </c>
      <c r="BX17" s="3">
        <v>159.33619250296158</v>
      </c>
      <c r="BY17" s="3">
        <v>144.06679223516835</v>
      </c>
      <c r="BZ17" s="3">
        <v>119.14303280553167</v>
      </c>
      <c r="CA17" s="3">
        <v>100.32245840105861</v>
      </c>
      <c r="CB17" s="3">
        <v>78.748774583728277</v>
      </c>
      <c r="CC17" s="3">
        <v>59.439966694459031</v>
      </c>
      <c r="CD17" s="3">
        <v>43.716535155011911</v>
      </c>
      <c r="CE17" s="3">
        <v>28.342595150717671</v>
      </c>
      <c r="CF17" s="3">
        <v>16.891122334189049</v>
      </c>
      <c r="CG17" s="3">
        <v>5.0759909821540532</v>
      </c>
      <c r="CH17" s="3">
        <v>-5.7469127319541258</v>
      </c>
      <c r="CI17" s="3">
        <v>-17.118490432446151</v>
      </c>
      <c r="CJ17" s="3">
        <v>-29.476313821369104</v>
      </c>
      <c r="CK17" s="3">
        <v>-41.932690028338698</v>
      </c>
      <c r="CL17" s="3">
        <v>-55.020249091182791</v>
      </c>
      <c r="CM17" s="3">
        <v>-67.477206132152673</v>
      </c>
      <c r="CN17" s="3">
        <v>-79.42683735685921</v>
      </c>
      <c r="CO17" s="3">
        <v>-90.468326615741717</v>
      </c>
      <c r="CP17" s="3">
        <v>-100.54045170118854</v>
      </c>
      <c r="CQ17" s="3">
        <v>-109.9368777857386</v>
      </c>
      <c r="CR17" s="3">
        <v>-118.63515921213593</v>
      </c>
      <c r="CS17" s="3">
        <v>-127.01541848384807</v>
      </c>
      <c r="CT17" s="3">
        <v>-135.12952773679046</v>
      </c>
      <c r="CU17" s="3">
        <v>-143.13071072071386</v>
      </c>
      <c r="CV17" s="3">
        <v>-151.07650634255879</v>
      </c>
      <c r="CW17" s="3">
        <v>-158.91767960935272</v>
      </c>
      <c r="CX17" s="3">
        <v>-166.65126490011494</v>
      </c>
      <c r="CY17" s="3">
        <v>-174.16048025155135</v>
      </c>
    </row>
    <row r="18" spans="1:103" x14ac:dyDescent="0.25">
      <c r="A18" t="s">
        <v>11</v>
      </c>
      <c r="B18" t="s">
        <v>5</v>
      </c>
      <c r="C18">
        <v>-86.018607044304147</v>
      </c>
      <c r="D18">
        <v>235.02900388752695</v>
      </c>
      <c r="E18">
        <v>879.06333983667059</v>
      </c>
      <c r="F18">
        <v>508.50219085487447</v>
      </c>
      <c r="G18">
        <v>791.58246129976942</v>
      </c>
      <c r="H18">
        <v>741.65203925029948</v>
      </c>
      <c r="I18">
        <v>868.62670354684838</v>
      </c>
      <c r="J18">
        <v>930.39421008404406</v>
      </c>
      <c r="K18">
        <v>837.32899520277499</v>
      </c>
      <c r="L18">
        <v>932.9239832569175</v>
      </c>
      <c r="M18">
        <v>877.2051728255841</v>
      </c>
      <c r="N18">
        <v>909.68061320159154</v>
      </c>
      <c r="O18">
        <v>888.59591593864059</v>
      </c>
      <c r="P18">
        <v>868.2415132480445</v>
      </c>
      <c r="Q18">
        <v>890.12355668207613</v>
      </c>
      <c r="R18">
        <v>883.95724803658868</v>
      </c>
      <c r="S18">
        <v>920.14331348325425</v>
      </c>
      <c r="T18">
        <v>935.78108330349119</v>
      </c>
      <c r="U18">
        <v>959.4745094951536</v>
      </c>
      <c r="V18">
        <v>978.71957302782414</v>
      </c>
      <c r="W18">
        <v>983.96047722896162</v>
      </c>
      <c r="X18">
        <v>992.21129869195317</v>
      </c>
      <c r="Y18">
        <v>989.12955794914251</v>
      </c>
      <c r="Z18">
        <v>990.93208513690433</v>
      </c>
      <c r="AA18">
        <v>992.23243719998823</v>
      </c>
      <c r="AB18">
        <v>995.78287617403191</v>
      </c>
      <c r="AC18">
        <v>1003.2724604724948</v>
      </c>
      <c r="AD18">
        <v>1010.309007949544</v>
      </c>
      <c r="AE18">
        <v>1019.9284229801597</v>
      </c>
      <c r="AF18">
        <v>1028.3084575785788</v>
      </c>
      <c r="AG18">
        <v>1036.4947744060569</v>
      </c>
      <c r="AH18">
        <v>1043.6652850130938</v>
      </c>
      <c r="AI18">
        <v>1049.2261352157293</v>
      </c>
      <c r="AJ18">
        <v>1054.0819500077259</v>
      </c>
      <c r="AK18">
        <v>1057.5805216641713</v>
      </c>
      <c r="AL18">
        <v>1060.7899561989084</v>
      </c>
      <c r="AM18">
        <v>1063.7775501167405</v>
      </c>
      <c r="AN18">
        <v>1067.0244668515679</v>
      </c>
      <c r="AO18">
        <v>1070.8565478833148</v>
      </c>
      <c r="AP18">
        <v>1075.0911570393037</v>
      </c>
      <c r="AQ18">
        <v>1079.7603263328942</v>
      </c>
      <c r="AR18">
        <v>1084.4311495845941</v>
      </c>
      <c r="AS18">
        <v>1088.9048449558486</v>
      </c>
      <c r="AT18">
        <v>1092.9558533626227</v>
      </c>
      <c r="AU18">
        <v>1096.4796355896763</v>
      </c>
      <c r="AV18">
        <v>1099.5629481462088</v>
      </c>
      <c r="AW18">
        <v>1102.2845390152725</v>
      </c>
      <c r="AX18">
        <v>1104.8351110084247</v>
      </c>
      <c r="AY18">
        <v>1107.333197318085</v>
      </c>
      <c r="BA18" s="1">
        <v>-1</v>
      </c>
      <c r="BB18" t="str">
        <f t="shared" si="0"/>
        <v>Am - Centro Amazonense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144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</row>
    <row r="19" spans="1:103" x14ac:dyDescent="0.25">
      <c r="A19" t="s">
        <v>12</v>
      </c>
      <c r="B19" t="s">
        <v>4</v>
      </c>
      <c r="C19">
        <v>10.581128056630458</v>
      </c>
      <c r="D19">
        <v>2.4442060628764577</v>
      </c>
      <c r="E19">
        <v>2.4848146241399229</v>
      </c>
      <c r="F19">
        <v>0.311424094232786</v>
      </c>
      <c r="G19">
        <v>1.3479194160255255</v>
      </c>
      <c r="H19">
        <v>3.6969515934632864</v>
      </c>
      <c r="I19">
        <v>2.4697293575326098</v>
      </c>
      <c r="J19">
        <v>4.0606697944262686</v>
      </c>
      <c r="K19">
        <v>3.6865070694946693</v>
      </c>
      <c r="L19">
        <v>4.4115186304758689</v>
      </c>
      <c r="M19">
        <v>4.5759436119139956</v>
      </c>
      <c r="N19">
        <v>4.2225785168510583</v>
      </c>
      <c r="O19">
        <v>4.5645928432003409</v>
      </c>
      <c r="P19">
        <v>4.3676561486175318</v>
      </c>
      <c r="Q19">
        <v>4.7457869047206511</v>
      </c>
      <c r="R19">
        <v>4.8991964444997995</v>
      </c>
      <c r="S19">
        <v>5.1402796550742282</v>
      </c>
      <c r="T19">
        <v>5.4811489484005165</v>
      </c>
      <c r="U19">
        <v>5.6614082300931488</v>
      </c>
      <c r="V19">
        <v>5.9527300814952753</v>
      </c>
      <c r="W19">
        <v>6.0825446350349797</v>
      </c>
      <c r="X19">
        <v>6.2295941369993395</v>
      </c>
      <c r="Y19">
        <v>6.334043684253408</v>
      </c>
      <c r="Z19">
        <v>6.401970414679492</v>
      </c>
      <c r="AA19">
        <v>6.4997968424779931</v>
      </c>
      <c r="AB19">
        <v>6.5706940543191612</v>
      </c>
      <c r="AC19">
        <v>6.6820325264778209</v>
      </c>
      <c r="AD19">
        <v>6.795897874476255</v>
      </c>
      <c r="AE19">
        <v>6.9237656351806232</v>
      </c>
      <c r="AF19">
        <v>7.0595236932149064</v>
      </c>
      <c r="AG19">
        <v>7.1824942362269866</v>
      </c>
      <c r="AH19">
        <v>7.3019206411634139</v>
      </c>
      <c r="AI19">
        <v>7.4008229180139455</v>
      </c>
      <c r="AJ19">
        <v>7.4881531450063417</v>
      </c>
      <c r="AK19">
        <v>7.5632885505000438</v>
      </c>
      <c r="AL19">
        <v>7.6303196392743482</v>
      </c>
      <c r="AM19">
        <v>7.6967114448157528</v>
      </c>
      <c r="AN19">
        <v>7.7623030378452684</v>
      </c>
      <c r="AO19">
        <v>7.8318932446562721</v>
      </c>
      <c r="AP19">
        <v>7.9034533914975347</v>
      </c>
      <c r="AQ19">
        <v>7.9764644755005456</v>
      </c>
      <c r="AR19">
        <v>8.049045429015246</v>
      </c>
      <c r="AS19">
        <v>8.1185060677330299</v>
      </c>
      <c r="AT19">
        <v>8.1841342531031103</v>
      </c>
      <c r="AU19">
        <v>8.2444657248860445</v>
      </c>
      <c r="AV19">
        <v>8.3000136071905075</v>
      </c>
      <c r="AW19">
        <v>8.3513181304491848</v>
      </c>
      <c r="AX19">
        <v>8.3994542173625302</v>
      </c>
      <c r="AY19">
        <v>8.4457501606681262</v>
      </c>
      <c r="BA19" s="1">
        <v>1</v>
      </c>
      <c r="BB19" t="str">
        <f t="shared" si="0"/>
        <v>Am - Sul Amazonense</v>
      </c>
      <c r="BC19" s="3">
        <v>12.982749220250437</v>
      </c>
      <c r="BD19" s="3">
        <v>2.1856113187933395</v>
      </c>
      <c r="BE19" s="3">
        <v>0.26421353073566056</v>
      </c>
      <c r="BF19" s="3">
        <v>-0.55653062705030254</v>
      </c>
      <c r="BG19" s="3">
        <v>-0.2289133456142407</v>
      </c>
      <c r="BH19" s="3">
        <v>2.0054216809101284</v>
      </c>
      <c r="BI19" s="3">
        <v>-7.3066612267909115E-2</v>
      </c>
      <c r="BJ19" s="3">
        <v>1.1360287531171682</v>
      </c>
      <c r="BK19" s="3">
        <v>0.79240396281873471</v>
      </c>
      <c r="BL19" s="3">
        <v>1.0243456474416242</v>
      </c>
      <c r="BM19" s="3">
        <v>1.1095350283866554</v>
      </c>
      <c r="BN19" s="3">
        <v>0.43803041889294869</v>
      </c>
      <c r="BO19" s="3">
        <v>0.6772445965981313</v>
      </c>
      <c r="BP19" s="3">
        <v>0.34517546653828823</v>
      </c>
      <c r="BQ19" s="3">
        <v>0.47867260984974358</v>
      </c>
      <c r="BR19" s="3">
        <v>0.45376845042309633</v>
      </c>
      <c r="BS19" s="3">
        <v>0.4036264970041028</v>
      </c>
      <c r="BT19" s="3">
        <v>0.52659617155307537</v>
      </c>
      <c r="BU19" s="3">
        <v>0.46737933749104066</v>
      </c>
      <c r="BV19" s="3">
        <v>0.54823528914505193</v>
      </c>
      <c r="BW19" s="3">
        <v>0.51316994709701813</v>
      </c>
      <c r="BX19" s="3">
        <v>0.49977051582515486</v>
      </c>
      <c r="BY19" s="3">
        <v>0.48451127928632864</v>
      </c>
      <c r="BZ19" s="3">
        <v>0.42367635512293145</v>
      </c>
      <c r="CA19" s="3">
        <v>0.40001789130704157</v>
      </c>
      <c r="CB19" s="3">
        <v>0.34434748982596464</v>
      </c>
      <c r="CC19" s="3">
        <v>0.32125168437172569</v>
      </c>
      <c r="CD19" s="3">
        <v>0.30346338821798646</v>
      </c>
      <c r="CE19" s="3">
        <v>0.29480319569737823</v>
      </c>
      <c r="CF19" s="3">
        <v>0.30118863412420538</v>
      </c>
      <c r="CG19" s="3">
        <v>0.2992340086738503</v>
      </c>
      <c r="CH19" s="3">
        <v>0.30190551761885054</v>
      </c>
      <c r="CI19" s="3">
        <v>0.2934389931646102</v>
      </c>
      <c r="CJ19" s="3">
        <v>0.28030054216391331</v>
      </c>
      <c r="CK19" s="3">
        <v>0.26301669756215329</v>
      </c>
      <c r="CL19" s="3">
        <v>0.24186411965088883</v>
      </c>
      <c r="CM19" s="3">
        <v>0.22360492359366102</v>
      </c>
      <c r="CN19" s="3">
        <v>0.20605088051399711</v>
      </c>
      <c r="CO19" s="3">
        <v>0.19297450606153976</v>
      </c>
      <c r="CP19" s="3">
        <v>0.18276071210841494</v>
      </c>
      <c r="CQ19" s="3">
        <v>0.17494716810843247</v>
      </c>
      <c r="CR19" s="3">
        <v>0.16907391917533943</v>
      </c>
      <c r="CS19" s="3">
        <v>0.16313355523687889</v>
      </c>
      <c r="CT19" s="3">
        <v>0.15717498442666411</v>
      </c>
      <c r="CU19" s="3">
        <v>0.14998066585856051</v>
      </c>
      <c r="CV19" s="3">
        <v>0.14172315783321032</v>
      </c>
      <c r="CW19" s="3">
        <v>0.13253113701214581</v>
      </c>
      <c r="CX19" s="3">
        <v>0.12272008195558293</v>
      </c>
      <c r="CY19" s="3">
        <v>0.11308190639695681</v>
      </c>
    </row>
    <row r="20" spans="1:103" x14ac:dyDescent="0.25">
      <c r="A20" t="s">
        <v>12</v>
      </c>
      <c r="B20" t="s">
        <v>5</v>
      </c>
      <c r="C20">
        <v>-2.4016211636199776</v>
      </c>
      <c r="D20">
        <v>0.25859474408311817</v>
      </c>
      <c r="E20">
        <v>2.2206010934042624</v>
      </c>
      <c r="F20">
        <v>0.86795472128308859</v>
      </c>
      <c r="G20">
        <v>1.5768327616397662</v>
      </c>
      <c r="H20">
        <v>1.6915299125531582</v>
      </c>
      <c r="I20">
        <v>2.5427959698005189</v>
      </c>
      <c r="J20">
        <v>2.9246410413091004</v>
      </c>
      <c r="K20">
        <v>2.8941031066759346</v>
      </c>
      <c r="L20">
        <v>3.3871729830342447</v>
      </c>
      <c r="M20">
        <v>3.4664085835273402</v>
      </c>
      <c r="N20">
        <v>3.7845480979581096</v>
      </c>
      <c r="O20">
        <v>3.8873482466022096</v>
      </c>
      <c r="P20">
        <v>4.0224806820792436</v>
      </c>
      <c r="Q20">
        <v>4.2671142948709075</v>
      </c>
      <c r="R20">
        <v>4.4454279940767032</v>
      </c>
      <c r="S20">
        <v>4.7366531580701254</v>
      </c>
      <c r="T20">
        <v>4.9545527768474411</v>
      </c>
      <c r="U20">
        <v>5.1940288926021081</v>
      </c>
      <c r="V20">
        <v>5.4044947923502233</v>
      </c>
      <c r="W20">
        <v>5.5693746879379615</v>
      </c>
      <c r="X20">
        <v>5.7298236211741846</v>
      </c>
      <c r="Y20">
        <v>5.8495324049670794</v>
      </c>
      <c r="Z20">
        <v>5.9782940595565606</v>
      </c>
      <c r="AA20">
        <v>6.0997789511709515</v>
      </c>
      <c r="AB20">
        <v>6.2263465644931966</v>
      </c>
      <c r="AC20">
        <v>6.3607808421060952</v>
      </c>
      <c r="AD20">
        <v>6.4924344862582686</v>
      </c>
      <c r="AE20">
        <v>6.6289624394832449</v>
      </c>
      <c r="AF20">
        <v>6.758335059090701</v>
      </c>
      <c r="AG20">
        <v>6.8832602275531363</v>
      </c>
      <c r="AH20">
        <v>7.0000151235445633</v>
      </c>
      <c r="AI20">
        <v>7.1073839248493353</v>
      </c>
      <c r="AJ20">
        <v>7.2078526028424283</v>
      </c>
      <c r="AK20">
        <v>7.3002718529378905</v>
      </c>
      <c r="AL20">
        <v>7.3884555196234594</v>
      </c>
      <c r="AM20">
        <v>7.4731065212220917</v>
      </c>
      <c r="AN20">
        <v>7.5562521573312713</v>
      </c>
      <c r="AO20">
        <v>7.6389187385947324</v>
      </c>
      <c r="AP20">
        <v>7.7206926793891197</v>
      </c>
      <c r="AQ20">
        <v>7.8015173073921131</v>
      </c>
      <c r="AR20">
        <v>7.8799715098399066</v>
      </c>
      <c r="AS20">
        <v>7.955372512496151</v>
      </c>
      <c r="AT20">
        <v>8.0269592686764462</v>
      </c>
      <c r="AU20">
        <v>8.0944850590274839</v>
      </c>
      <c r="AV20">
        <v>8.1582904493572972</v>
      </c>
      <c r="AW20">
        <v>8.218786993437039</v>
      </c>
      <c r="AX20">
        <v>8.2767341354069472</v>
      </c>
      <c r="AY20">
        <v>8.3326682542711694</v>
      </c>
      <c r="BA20" s="1">
        <v>-1</v>
      </c>
      <c r="BB20" t="str">
        <f t="shared" si="0"/>
        <v>Am - Sul Amazonense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144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</row>
    <row r="21" spans="1:103" x14ac:dyDescent="0.25">
      <c r="A21" t="s">
        <v>13</v>
      </c>
      <c r="B21" t="s">
        <v>4</v>
      </c>
      <c r="C21">
        <v>103.38219152270919</v>
      </c>
      <c r="D21">
        <v>55.268084163520825</v>
      </c>
      <c r="E21">
        <v>55.409654798995192</v>
      </c>
      <c r="F21">
        <v>54.330677341543279</v>
      </c>
      <c r="G21">
        <v>48.869018482125213</v>
      </c>
      <c r="H21">
        <v>70.711257593703266</v>
      </c>
      <c r="I21">
        <v>57.894747631076427</v>
      </c>
      <c r="J21">
        <v>68.530554570683719</v>
      </c>
      <c r="K21">
        <v>65.91204447573152</v>
      </c>
      <c r="L21">
        <v>66.242096208176449</v>
      </c>
      <c r="M21">
        <v>67.572169665578201</v>
      </c>
      <c r="N21">
        <v>60.955496809701408</v>
      </c>
      <c r="O21">
        <v>61.403550726934604</v>
      </c>
      <c r="P21">
        <v>57.399077762947257</v>
      </c>
      <c r="Q21">
        <v>57.507403104238996</v>
      </c>
      <c r="R21">
        <v>57.579498783977513</v>
      </c>
      <c r="S21">
        <v>57.51852081673087</v>
      </c>
      <c r="T21">
        <v>59.294792240102858</v>
      </c>
      <c r="U21">
        <v>59.443948990934601</v>
      </c>
      <c r="V21">
        <v>60.489530324483454</v>
      </c>
      <c r="W21">
        <v>60.374536372713969</v>
      </c>
      <c r="X21">
        <v>60.030472820663014</v>
      </c>
      <c r="Y21">
        <v>59.580790838184029</v>
      </c>
      <c r="Z21">
        <v>58.659649052155281</v>
      </c>
      <c r="AA21">
        <v>58.121650246318062</v>
      </c>
      <c r="AB21">
        <v>57.438483806794665</v>
      </c>
      <c r="AC21">
        <v>57.117990239020997</v>
      </c>
      <c r="AD21">
        <v>56.97304224598463</v>
      </c>
      <c r="AE21">
        <v>56.961467242193393</v>
      </c>
      <c r="AF21">
        <v>57.128675693618675</v>
      </c>
      <c r="AG21">
        <v>57.227761485307902</v>
      </c>
      <c r="AH21">
        <v>57.333777005966482</v>
      </c>
      <c r="AI21">
        <v>57.302458638213658</v>
      </c>
      <c r="AJ21">
        <v>57.167543656552219</v>
      </c>
      <c r="AK21">
        <v>56.951206579587989</v>
      </c>
      <c r="AL21">
        <v>56.668262721356086</v>
      </c>
      <c r="AM21">
        <v>56.404513451441765</v>
      </c>
      <c r="AN21">
        <v>56.166433246879897</v>
      </c>
      <c r="AO21">
        <v>55.999142371734472</v>
      </c>
      <c r="AP21">
        <v>55.895610963352929</v>
      </c>
      <c r="AQ21">
        <v>55.842089916940004</v>
      </c>
      <c r="AR21">
        <v>55.822108899280487</v>
      </c>
      <c r="AS21">
        <v>55.802574431632657</v>
      </c>
      <c r="AT21">
        <v>55.771508699466288</v>
      </c>
      <c r="AU21">
        <v>55.712874818932207</v>
      </c>
      <c r="AV21">
        <v>55.627361549471516</v>
      </c>
      <c r="AW21">
        <v>55.521215826572607</v>
      </c>
      <c r="AX21">
        <v>55.403638647046961</v>
      </c>
      <c r="AY21">
        <v>55.288329731098571</v>
      </c>
      <c r="BA21" s="1">
        <v>1</v>
      </c>
      <c r="BB21" t="str">
        <f t="shared" si="0"/>
        <v>Rr - Norte de Roraima</v>
      </c>
      <c r="BC21" s="3">
        <v>49.975769516814331</v>
      </c>
      <c r="BD21" s="3">
        <v>60.205142454389275</v>
      </c>
      <c r="BE21" s="3">
        <v>-2.193549302635617</v>
      </c>
      <c r="BF21" s="3">
        <v>50.775221766660209</v>
      </c>
      <c r="BG21" s="3">
        <v>8.6052837061943492</v>
      </c>
      <c r="BH21" s="3">
        <v>32.816356365961809</v>
      </c>
      <c r="BI21" s="3">
        <v>24.385866143033276</v>
      </c>
      <c r="BJ21" s="3">
        <v>19.382827734840433</v>
      </c>
      <c r="BK21" s="3">
        <v>31.406578885273518</v>
      </c>
      <c r="BL21" s="3">
        <v>18.242714560997072</v>
      </c>
      <c r="BM21" s="3">
        <v>27.685018652416495</v>
      </c>
      <c r="BN21" s="3">
        <v>20.621759479661193</v>
      </c>
      <c r="BO21" s="3">
        <v>21.07749962929018</v>
      </c>
      <c r="BP21" s="3">
        <v>21.118519666173071</v>
      </c>
      <c r="BQ21" s="3">
        <v>17.425680820307527</v>
      </c>
      <c r="BR21" s="3">
        <v>19.471970914366018</v>
      </c>
      <c r="BS21" s="3">
        <v>16.392620360851858</v>
      </c>
      <c r="BT21" s="3">
        <v>17.095558155090067</v>
      </c>
      <c r="BU21" s="3">
        <v>16.215131739294073</v>
      </c>
      <c r="BV21" s="3">
        <v>15.520861975324728</v>
      </c>
      <c r="BW21" s="3">
        <v>15.763187153141381</v>
      </c>
      <c r="BX21" s="3">
        <v>14.692858956619247</v>
      </c>
      <c r="BY21" s="3">
        <v>14.76106070519225</v>
      </c>
      <c r="BZ21" s="3">
        <v>13.929391816095659</v>
      </c>
      <c r="CA21" s="3">
        <v>13.418119513842782</v>
      </c>
      <c r="CB21" s="3">
        <v>12.860170372670254</v>
      </c>
      <c r="CC21" s="3">
        <v>12.110248241579932</v>
      </c>
      <c r="CD21" s="3">
        <v>11.713969583821317</v>
      </c>
      <c r="CE21" s="3">
        <v>11.120212715784938</v>
      </c>
      <c r="CF21" s="3">
        <v>10.784756392941418</v>
      </c>
      <c r="CG21" s="3">
        <v>10.415302762359048</v>
      </c>
      <c r="CH21" s="3">
        <v>10.076625349211703</v>
      </c>
      <c r="CI21" s="3">
        <v>9.7922440192400657</v>
      </c>
      <c r="CJ21" s="3">
        <v>9.4308080546231992</v>
      </c>
      <c r="CK21" s="3">
        <v>9.1177008955944956</v>
      </c>
      <c r="CL21" s="3">
        <v>8.7517383512008138</v>
      </c>
      <c r="CM21" s="3">
        <v>8.402551975738703</v>
      </c>
      <c r="CN21" s="3">
        <v>8.0592371686947715</v>
      </c>
      <c r="CO21" s="3">
        <v>7.7186150595856944</v>
      </c>
      <c r="CP21" s="3">
        <v>7.4129682917533088</v>
      </c>
      <c r="CQ21" s="3">
        <v>7.1150054976591193</v>
      </c>
      <c r="CR21" s="3">
        <v>6.8480659616241368</v>
      </c>
      <c r="CS21" s="3">
        <v>6.5953559028507058</v>
      </c>
      <c r="CT21" s="3">
        <v>6.3568839366445715</v>
      </c>
      <c r="CU21" s="3">
        <v>6.1303816628745196</v>
      </c>
      <c r="CV21" s="3">
        <v>5.9053993227797079</v>
      </c>
      <c r="CW21" s="3">
        <v>5.6860035381630283</v>
      </c>
      <c r="CX21" s="3">
        <v>5.466013053989208</v>
      </c>
      <c r="CY21" s="3">
        <v>5.2496235807460678</v>
      </c>
    </row>
    <row r="22" spans="1:103" x14ac:dyDescent="0.25">
      <c r="A22" t="s">
        <v>13</v>
      </c>
      <c r="B22" t="s">
        <v>5</v>
      </c>
      <c r="C22">
        <v>53.406422005894861</v>
      </c>
      <c r="D22">
        <v>-4.9370582908684515</v>
      </c>
      <c r="E22">
        <v>57.603204101630809</v>
      </c>
      <c r="F22">
        <v>3.5554555748830694</v>
      </c>
      <c r="G22">
        <v>40.263734775930864</v>
      </c>
      <c r="H22">
        <v>37.894901227741457</v>
      </c>
      <c r="I22">
        <v>33.508881488043151</v>
      </c>
      <c r="J22">
        <v>49.147726835843287</v>
      </c>
      <c r="K22">
        <v>34.505465590458002</v>
      </c>
      <c r="L22">
        <v>47.999381647179376</v>
      </c>
      <c r="M22">
        <v>39.887151013161706</v>
      </c>
      <c r="N22">
        <v>40.333737330040215</v>
      </c>
      <c r="O22">
        <v>40.326051097644424</v>
      </c>
      <c r="P22">
        <v>36.280558096774186</v>
      </c>
      <c r="Q22">
        <v>40.08172228393147</v>
      </c>
      <c r="R22">
        <v>38.107527869611495</v>
      </c>
      <c r="S22">
        <v>41.125900455879012</v>
      </c>
      <c r="T22">
        <v>42.19923408501279</v>
      </c>
      <c r="U22">
        <v>43.228817251640528</v>
      </c>
      <c r="V22">
        <v>44.968668349158726</v>
      </c>
      <c r="W22">
        <v>44.611349219572588</v>
      </c>
      <c r="X22">
        <v>45.337613864043767</v>
      </c>
      <c r="Y22">
        <v>44.819730132991779</v>
      </c>
      <c r="Z22">
        <v>44.730257236059622</v>
      </c>
      <c r="AA22">
        <v>44.703530732475279</v>
      </c>
      <c r="AB22">
        <v>44.578313434124411</v>
      </c>
      <c r="AC22">
        <v>45.007741997441066</v>
      </c>
      <c r="AD22">
        <v>45.259072662163312</v>
      </c>
      <c r="AE22">
        <v>45.841254526408456</v>
      </c>
      <c r="AF22">
        <v>46.343919300677257</v>
      </c>
      <c r="AG22">
        <v>46.812458722948854</v>
      </c>
      <c r="AH22">
        <v>47.257151656754779</v>
      </c>
      <c r="AI22">
        <v>47.510214618973592</v>
      </c>
      <c r="AJ22">
        <v>47.73673560192902</v>
      </c>
      <c r="AK22">
        <v>47.833505683993494</v>
      </c>
      <c r="AL22">
        <v>47.916524370155273</v>
      </c>
      <c r="AM22">
        <v>48.001961475703062</v>
      </c>
      <c r="AN22">
        <v>48.107196078185126</v>
      </c>
      <c r="AO22">
        <v>48.280527312148777</v>
      </c>
      <c r="AP22">
        <v>48.482642671599621</v>
      </c>
      <c r="AQ22">
        <v>48.727084419280885</v>
      </c>
      <c r="AR22">
        <v>48.97404293765635</v>
      </c>
      <c r="AS22">
        <v>49.207218528781951</v>
      </c>
      <c r="AT22">
        <v>49.414624762821717</v>
      </c>
      <c r="AU22">
        <v>49.582493156057687</v>
      </c>
      <c r="AV22">
        <v>49.721962226691808</v>
      </c>
      <c r="AW22">
        <v>49.835212288409579</v>
      </c>
      <c r="AX22">
        <v>49.937625593057753</v>
      </c>
      <c r="AY22">
        <v>50.038706150352503</v>
      </c>
      <c r="BA22" s="1">
        <v>-1</v>
      </c>
      <c r="BB22" t="str">
        <f t="shared" si="0"/>
        <v>Rr - Norte de Roraima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144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</row>
    <row r="23" spans="1:103" x14ac:dyDescent="0.25">
      <c r="A23" t="s">
        <v>14</v>
      </c>
      <c r="B23" t="s">
        <v>4</v>
      </c>
      <c r="C23">
        <v>3.8755052300141744</v>
      </c>
      <c r="D23">
        <v>1.8629662585016942</v>
      </c>
      <c r="E23">
        <v>1.9140535792568918</v>
      </c>
      <c r="F23">
        <v>1.1533765014491797</v>
      </c>
      <c r="G23">
        <v>1.2151700164617134</v>
      </c>
      <c r="H23">
        <v>2.6792806638054669</v>
      </c>
      <c r="I23">
        <v>2.4752082631197649</v>
      </c>
      <c r="J23">
        <v>3.4386226746570867</v>
      </c>
      <c r="K23">
        <v>3.5792015017060015</v>
      </c>
      <c r="L23">
        <v>3.9783537395275235</v>
      </c>
      <c r="M23">
        <v>4.2537827728389495</v>
      </c>
      <c r="N23">
        <v>4.0854272739208604</v>
      </c>
      <c r="O23">
        <v>4.1955696492260142</v>
      </c>
      <c r="P23">
        <v>4.0235465894308513</v>
      </c>
      <c r="Q23">
        <v>4.0816925876953993</v>
      </c>
      <c r="R23">
        <v>4.1199731084566968</v>
      </c>
      <c r="S23">
        <v>4.2054398438927985</v>
      </c>
      <c r="T23">
        <v>4.4107310539025946</v>
      </c>
      <c r="U23">
        <v>4.5686255782017104</v>
      </c>
      <c r="V23">
        <v>4.7921173047079542</v>
      </c>
      <c r="W23">
        <v>4.9450275013611282</v>
      </c>
      <c r="X23">
        <v>5.0730405234293725</v>
      </c>
      <c r="Y23">
        <v>5.1626688589930714</v>
      </c>
      <c r="Z23">
        <v>5.204238184720956</v>
      </c>
      <c r="AA23">
        <v>5.2448519121790653</v>
      </c>
      <c r="AB23">
        <v>5.266872701308472</v>
      </c>
      <c r="AC23">
        <v>5.3079302708933618</v>
      </c>
      <c r="AD23">
        <v>5.3616776710792111</v>
      </c>
      <c r="AE23">
        <v>5.4314872414952315</v>
      </c>
      <c r="AF23">
        <v>5.5172644901809793</v>
      </c>
      <c r="AG23">
        <v>5.6044128388736496</v>
      </c>
      <c r="AH23">
        <v>5.6931234299149196</v>
      </c>
      <c r="AI23">
        <v>5.77177663384568</v>
      </c>
      <c r="AJ23">
        <v>5.8399422061042703</v>
      </c>
      <c r="AK23">
        <v>5.8964655922026896</v>
      </c>
      <c r="AL23">
        <v>5.9422687440655304</v>
      </c>
      <c r="AM23">
        <v>5.9825672138116142</v>
      </c>
      <c r="AN23">
        <v>6.0195407686847195</v>
      </c>
      <c r="AO23">
        <v>6.0578149407052946</v>
      </c>
      <c r="AP23">
        <v>6.0988021181928289</v>
      </c>
      <c r="AQ23">
        <v>6.1431982708540449</v>
      </c>
      <c r="AR23">
        <v>6.1904293513747106</v>
      </c>
      <c r="AS23">
        <v>6.2383795527385866</v>
      </c>
      <c r="AT23">
        <v>6.2854359570443101</v>
      </c>
      <c r="AU23">
        <v>6.3295851650178783</v>
      </c>
      <c r="AV23">
        <v>6.3699384005690627</v>
      </c>
      <c r="AW23">
        <v>6.4062515138816165</v>
      </c>
      <c r="AX23">
        <v>6.4389827476223811</v>
      </c>
      <c r="AY23">
        <v>6.4692030754340779</v>
      </c>
      <c r="BA23" s="1">
        <v>1</v>
      </c>
      <c r="BB23" t="str">
        <f t="shared" si="0"/>
        <v>Rr - Sul de Roraima</v>
      </c>
      <c r="BC23" s="3">
        <v>2.6449148103024638</v>
      </c>
      <c r="BD23" s="3">
        <v>2.5356105249404397</v>
      </c>
      <c r="BE23" s="3">
        <v>0.39966625389907562</v>
      </c>
      <c r="BF23" s="3">
        <v>3.4434081229971092</v>
      </c>
      <c r="BG23" s="3">
        <v>0.99305969886760792</v>
      </c>
      <c r="BH23" s="3">
        <v>2.5593967341200212</v>
      </c>
      <c r="BI23" s="3">
        <v>1.8436527606521091</v>
      </c>
      <c r="BJ23" s="3">
        <v>1.9121880759770009</v>
      </c>
      <c r="BK23" s="3">
        <v>2.3465567831150898</v>
      </c>
      <c r="BL23" s="3">
        <v>1.5733834438223591</v>
      </c>
      <c r="BM23" s="3">
        <v>2.0148843358904158</v>
      </c>
      <c r="BN23" s="3">
        <v>1.4729209719712011</v>
      </c>
      <c r="BO23" s="3">
        <v>1.4946676920583299</v>
      </c>
      <c r="BP23" s="3">
        <v>1.3652548900900308</v>
      </c>
      <c r="BQ23" s="3">
        <v>1.1628301759289332</v>
      </c>
      <c r="BR23" s="3">
        <v>1.2608464194407345</v>
      </c>
      <c r="BS23" s="3">
        <v>1.1096850766180308</v>
      </c>
      <c r="BT23" s="3">
        <v>1.1937638911626554</v>
      </c>
      <c r="BU23" s="3">
        <v>1.1473606095171989</v>
      </c>
      <c r="BV23" s="3">
        <v>1.1251460826991817</v>
      </c>
      <c r="BW23" s="3">
        <v>1.1115550031767865</v>
      </c>
      <c r="BX23" s="3">
        <v>1.0217846607404093</v>
      </c>
      <c r="BY23" s="3">
        <v>0.98522377976395692</v>
      </c>
      <c r="BZ23" s="3">
        <v>0.89522906105346589</v>
      </c>
      <c r="CA23" s="3">
        <v>0.8382149614756873</v>
      </c>
      <c r="CB23" s="3">
        <v>0.78172992595430646</v>
      </c>
      <c r="CC23" s="3">
        <v>0.72961052506836843</v>
      </c>
      <c r="CD23" s="3">
        <v>0.70114043569252615</v>
      </c>
      <c r="CE23" s="3">
        <v>0.66551240529267996</v>
      </c>
      <c r="CF23" s="3">
        <v>0.64548634545985539</v>
      </c>
      <c r="CG23" s="3">
        <v>0.61976500741954244</v>
      </c>
      <c r="CH23" s="3">
        <v>0.59408782769893786</v>
      </c>
      <c r="CI23" s="3">
        <v>0.56665408764740999</v>
      </c>
      <c r="CJ23" s="3">
        <v>0.53266348609264647</v>
      </c>
      <c r="CK23" s="3">
        <v>0.49958116987762313</v>
      </c>
      <c r="CL23" s="3">
        <v>0.46313430276435685</v>
      </c>
      <c r="CM23" s="3">
        <v>0.4292420623397506</v>
      </c>
      <c r="CN23" s="3">
        <v>0.39754087331234356</v>
      </c>
      <c r="CO23" s="3">
        <v>0.36891952410315998</v>
      </c>
      <c r="CP23" s="3">
        <v>0.34450268321110933</v>
      </c>
      <c r="CQ23" s="3">
        <v>0.3221783240093048</v>
      </c>
      <c r="CR23" s="3">
        <v>0.30229067322547554</v>
      </c>
      <c r="CS23" s="3">
        <v>0.28285059892089581</v>
      </c>
      <c r="CT23" s="3">
        <v>0.26344196313248514</v>
      </c>
      <c r="CU23" s="3">
        <v>0.2436120089754219</v>
      </c>
      <c r="CV23" s="3">
        <v>0.22307909130563885</v>
      </c>
      <c r="CW23" s="3">
        <v>0.20247946285074647</v>
      </c>
      <c r="CX23" s="3">
        <v>0.18197391419361875</v>
      </c>
      <c r="CY23" s="3">
        <v>0.16225517216287244</v>
      </c>
    </row>
    <row r="24" spans="1:103" x14ac:dyDescent="0.25">
      <c r="A24" t="s">
        <v>14</v>
      </c>
      <c r="B24" t="s">
        <v>5</v>
      </c>
      <c r="C24">
        <v>1.2305904197117106</v>
      </c>
      <c r="D24">
        <v>-0.67264426643874564</v>
      </c>
      <c r="E24">
        <v>1.5143873253578162</v>
      </c>
      <c r="F24">
        <v>-2.2900316215479295</v>
      </c>
      <c r="G24">
        <v>0.22211031759410554</v>
      </c>
      <c r="H24">
        <v>0.11988392968544576</v>
      </c>
      <c r="I24">
        <v>0.63155550246765579</v>
      </c>
      <c r="J24">
        <v>1.5264345986800858</v>
      </c>
      <c r="K24">
        <v>1.2326447185909117</v>
      </c>
      <c r="L24">
        <v>2.4049702957051644</v>
      </c>
      <c r="M24">
        <v>2.2388984369485336</v>
      </c>
      <c r="N24">
        <v>2.6125063019496593</v>
      </c>
      <c r="O24">
        <v>2.7009019571676842</v>
      </c>
      <c r="P24">
        <v>2.6582916993408205</v>
      </c>
      <c r="Q24">
        <v>2.9188624117664661</v>
      </c>
      <c r="R24">
        <v>2.8591266890159623</v>
      </c>
      <c r="S24">
        <v>3.0957547672747676</v>
      </c>
      <c r="T24">
        <v>3.2169671627399392</v>
      </c>
      <c r="U24">
        <v>3.4212649686845116</v>
      </c>
      <c r="V24">
        <v>3.6669712220087725</v>
      </c>
      <c r="W24">
        <v>3.8334724981843418</v>
      </c>
      <c r="X24">
        <v>4.0512558626889632</v>
      </c>
      <c r="Y24">
        <v>4.1774450792291145</v>
      </c>
      <c r="Z24">
        <v>4.3090091236674901</v>
      </c>
      <c r="AA24">
        <v>4.406636950703378</v>
      </c>
      <c r="AB24">
        <v>4.4851427753541655</v>
      </c>
      <c r="AC24">
        <v>4.5783197458249933</v>
      </c>
      <c r="AD24">
        <v>4.660537235386685</v>
      </c>
      <c r="AE24">
        <v>4.7659748362025516</v>
      </c>
      <c r="AF24">
        <v>4.8717781447211239</v>
      </c>
      <c r="AG24">
        <v>4.9846478314541072</v>
      </c>
      <c r="AH24">
        <v>5.0990356022159817</v>
      </c>
      <c r="AI24">
        <v>5.20512254619827</v>
      </c>
      <c r="AJ24">
        <v>5.3072787200116238</v>
      </c>
      <c r="AK24">
        <v>5.3968844223250665</v>
      </c>
      <c r="AL24">
        <v>5.4791344413011736</v>
      </c>
      <c r="AM24">
        <v>5.5533251514718636</v>
      </c>
      <c r="AN24">
        <v>5.621999895372376</v>
      </c>
      <c r="AO24">
        <v>5.6888954166021346</v>
      </c>
      <c r="AP24">
        <v>5.7542994349817196</v>
      </c>
      <c r="AQ24">
        <v>5.8210199468447401</v>
      </c>
      <c r="AR24">
        <v>5.8881386781492351</v>
      </c>
      <c r="AS24">
        <v>5.9555289538176908</v>
      </c>
      <c r="AT24">
        <v>6.021993993911825</v>
      </c>
      <c r="AU24">
        <v>6.0859731560424564</v>
      </c>
      <c r="AV24">
        <v>6.1468593092634238</v>
      </c>
      <c r="AW24">
        <v>6.20377205103087</v>
      </c>
      <c r="AX24">
        <v>6.2570088334287624</v>
      </c>
      <c r="AY24">
        <v>6.3069479032712055</v>
      </c>
      <c r="BA24" s="1">
        <v>-1</v>
      </c>
      <c r="BB24" t="str">
        <f t="shared" si="0"/>
        <v>Rr - Sul de Roraima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144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</row>
    <row r="25" spans="1:103" x14ac:dyDescent="0.25">
      <c r="A25" t="s">
        <v>15</v>
      </c>
      <c r="B25" t="s">
        <v>4</v>
      </c>
      <c r="C25">
        <v>138.81197644654534</v>
      </c>
      <c r="D25">
        <v>105.77886410677448</v>
      </c>
      <c r="E25">
        <v>94.445809816202086</v>
      </c>
      <c r="F25">
        <v>88.156704454717982</v>
      </c>
      <c r="G25">
        <v>71.257427487872661</v>
      </c>
      <c r="H25">
        <v>103.72195501346282</v>
      </c>
      <c r="I25">
        <v>87.887219171626995</v>
      </c>
      <c r="J25">
        <v>96.217753782958951</v>
      </c>
      <c r="K25">
        <v>91.422184604047715</v>
      </c>
      <c r="L25">
        <v>87.912989351688438</v>
      </c>
      <c r="M25">
        <v>90.409473589055423</v>
      </c>
      <c r="N25">
        <v>80.689432915254969</v>
      </c>
      <c r="O25">
        <v>81.147512260441417</v>
      </c>
      <c r="P25">
        <v>77.252165465575331</v>
      </c>
      <c r="Q25">
        <v>78.589136132749999</v>
      </c>
      <c r="R25">
        <v>81.187963738569294</v>
      </c>
      <c r="S25">
        <v>82.549051181926828</v>
      </c>
      <c r="T25">
        <v>86.212229862501147</v>
      </c>
      <c r="U25">
        <v>87.032650370632624</v>
      </c>
      <c r="V25">
        <v>88.360321156156814</v>
      </c>
      <c r="W25">
        <v>88.029657712317942</v>
      </c>
      <c r="X25">
        <v>87.048939015129648</v>
      </c>
      <c r="Y25">
        <v>86.254594443579236</v>
      </c>
      <c r="Z25">
        <v>85.045478024100035</v>
      </c>
      <c r="AA25">
        <v>84.686399560636076</v>
      </c>
      <c r="AB25">
        <v>84.413165540126059</v>
      </c>
      <c r="AC25">
        <v>84.685573309844628</v>
      </c>
      <c r="AD25">
        <v>85.242878542583981</v>
      </c>
      <c r="AE25">
        <v>85.838638989057543</v>
      </c>
      <c r="AF25">
        <v>86.542132846539644</v>
      </c>
      <c r="AG25">
        <v>86.994224403539462</v>
      </c>
      <c r="AH25">
        <v>87.319142065462216</v>
      </c>
      <c r="AI25">
        <v>87.395196600193344</v>
      </c>
      <c r="AJ25">
        <v>87.295304149905007</v>
      </c>
      <c r="AK25">
        <v>87.116968031059031</v>
      </c>
      <c r="AL25">
        <v>86.897361514844761</v>
      </c>
      <c r="AM25">
        <v>86.76812510663909</v>
      </c>
      <c r="AN25">
        <v>86.732139351752451</v>
      </c>
      <c r="AO25">
        <v>86.822844776136876</v>
      </c>
      <c r="AP25">
        <v>87.007686486579757</v>
      </c>
      <c r="AQ25">
        <v>87.235528703184585</v>
      </c>
      <c r="AR25">
        <v>87.467911130434615</v>
      </c>
      <c r="AS25">
        <v>87.652062074665466</v>
      </c>
      <c r="AT25">
        <v>87.776334234390305</v>
      </c>
      <c r="AU25">
        <v>87.833931121903959</v>
      </c>
      <c r="AV25">
        <v>87.841519420344937</v>
      </c>
      <c r="AW25">
        <v>87.824083604239789</v>
      </c>
      <c r="AX25">
        <v>87.80341373693571</v>
      </c>
      <c r="AY25">
        <v>87.801444628219443</v>
      </c>
      <c r="BA25" s="1">
        <v>1</v>
      </c>
      <c r="BB25" t="str">
        <f t="shared" si="0"/>
        <v>Pa - Baixo Amazonas</v>
      </c>
      <c r="BC25" s="3">
        <v>124.3258363957822</v>
      </c>
      <c r="BD25" s="3">
        <v>118.71307516503072</v>
      </c>
      <c r="BE25" s="3">
        <v>30.712735223051787</v>
      </c>
      <c r="BF25" s="3">
        <v>63.718760426889382</v>
      </c>
      <c r="BG25" s="3">
        <v>16.1462429625781</v>
      </c>
      <c r="BH25" s="3">
        <v>47.11182083775244</v>
      </c>
      <c r="BI25" s="3">
        <v>33.674152074883231</v>
      </c>
      <c r="BJ25" s="3">
        <v>28.047895425117389</v>
      </c>
      <c r="BK25" s="3">
        <v>40.285785532513195</v>
      </c>
      <c r="BL25" s="3">
        <v>29.211124120455906</v>
      </c>
      <c r="BM25" s="3">
        <v>40.135986786592134</v>
      </c>
      <c r="BN25" s="3">
        <v>31.834462193817345</v>
      </c>
      <c r="BO25" s="3">
        <v>32.054713203446248</v>
      </c>
      <c r="BP25" s="3">
        <v>31.292537089757516</v>
      </c>
      <c r="BQ25" s="3">
        <v>27.261034068504166</v>
      </c>
      <c r="BR25" s="3">
        <v>28.491585981105025</v>
      </c>
      <c r="BS25" s="3">
        <v>24.003674205854516</v>
      </c>
      <c r="BT25" s="3">
        <v>23.442349756372025</v>
      </c>
      <c r="BU25" s="3">
        <v>21.088664620715434</v>
      </c>
      <c r="BV25" s="3">
        <v>19.339354505744993</v>
      </c>
      <c r="BW25" s="3">
        <v>18.705833096263888</v>
      </c>
      <c r="BX25" s="3">
        <v>17.075102432415846</v>
      </c>
      <c r="BY25" s="3">
        <v>16.847556204556668</v>
      </c>
      <c r="BZ25" s="3">
        <v>15.719567689121959</v>
      </c>
      <c r="CA25" s="3">
        <v>14.894793236341087</v>
      </c>
      <c r="CB25" s="3">
        <v>13.81845546908103</v>
      </c>
      <c r="CC25" s="3">
        <v>12.426222900770597</v>
      </c>
      <c r="CD25" s="3">
        <v>11.298142852324403</v>
      </c>
      <c r="CE25" s="3">
        <v>9.9490451647251348</v>
      </c>
      <c r="CF25" s="3">
        <v>8.9189982575754385</v>
      </c>
      <c r="CG25" s="3">
        <v>7.9184088321317603</v>
      </c>
      <c r="CH25" s="3">
        <v>7.0445999438949229</v>
      </c>
      <c r="CI25" s="3">
        <v>6.2927819272705534</v>
      </c>
      <c r="CJ25" s="3">
        <v>5.5168749190337678</v>
      </c>
      <c r="CK25" s="3">
        <v>4.8234567592106572</v>
      </c>
      <c r="CL25" s="3">
        <v>4.0888450297335481</v>
      </c>
      <c r="CM25" s="3">
        <v>3.3770102883199797</v>
      </c>
      <c r="CN25" s="3">
        <v>2.6621475317281238</v>
      </c>
      <c r="CO25" s="3">
        <v>1.9399860101062956</v>
      </c>
      <c r="CP25" s="3">
        <v>1.2422895770247919</v>
      </c>
      <c r="CQ25" s="3">
        <v>0.5478283931531962</v>
      </c>
      <c r="CR25" s="3">
        <v>-0.10828249715508775</v>
      </c>
      <c r="CS25" s="3">
        <v>-0.73323211983681347</v>
      </c>
      <c r="CT25" s="3">
        <v>-1.3171439669995806</v>
      </c>
      <c r="CU25" s="3">
        <v>-1.8596831199468369</v>
      </c>
      <c r="CV25" s="3">
        <v>-2.3732710964058583</v>
      </c>
      <c r="CW25" s="3">
        <v>-2.8603268448587329</v>
      </c>
      <c r="CX25" s="3">
        <v>-3.3356393559652417</v>
      </c>
      <c r="CY25" s="3">
        <v>-3.8019373499359261</v>
      </c>
    </row>
    <row r="26" spans="1:103" x14ac:dyDescent="0.25">
      <c r="A26" t="s">
        <v>15</v>
      </c>
      <c r="B26" t="s">
        <v>5</v>
      </c>
      <c r="C26">
        <v>14.486140050763135</v>
      </c>
      <c r="D26">
        <v>-12.934211058256233</v>
      </c>
      <c r="E26">
        <v>63.733074593150299</v>
      </c>
      <c r="F26">
        <v>24.4379440278286</v>
      </c>
      <c r="G26">
        <v>55.111184525294561</v>
      </c>
      <c r="H26">
        <v>56.610134175710378</v>
      </c>
      <c r="I26">
        <v>54.213067096743764</v>
      </c>
      <c r="J26">
        <v>68.169858357841562</v>
      </c>
      <c r="K26">
        <v>51.13639907153452</v>
      </c>
      <c r="L26">
        <v>58.701865231232532</v>
      </c>
      <c r="M26">
        <v>50.273486802463289</v>
      </c>
      <c r="N26">
        <v>48.854970721437624</v>
      </c>
      <c r="O26">
        <v>49.092799056995169</v>
      </c>
      <c r="P26">
        <v>45.959628375817815</v>
      </c>
      <c r="Q26">
        <v>51.328102064245833</v>
      </c>
      <c r="R26">
        <v>52.696377757464269</v>
      </c>
      <c r="S26">
        <v>58.545376976072312</v>
      </c>
      <c r="T26">
        <v>62.769880106129122</v>
      </c>
      <c r="U26">
        <v>65.943985749917189</v>
      </c>
      <c r="V26">
        <v>69.020966650411822</v>
      </c>
      <c r="W26">
        <v>69.323824616054054</v>
      </c>
      <c r="X26">
        <v>69.973836582713801</v>
      </c>
      <c r="Y26">
        <v>69.407038239022569</v>
      </c>
      <c r="Z26">
        <v>69.325910334978076</v>
      </c>
      <c r="AA26">
        <v>69.791606324294989</v>
      </c>
      <c r="AB26">
        <v>70.594710071045029</v>
      </c>
      <c r="AC26">
        <v>72.259350409074031</v>
      </c>
      <c r="AD26">
        <v>73.944735690259577</v>
      </c>
      <c r="AE26">
        <v>75.889593824332408</v>
      </c>
      <c r="AF26">
        <v>77.623134588964206</v>
      </c>
      <c r="AG26">
        <v>79.075815571407702</v>
      </c>
      <c r="AH26">
        <v>80.274542121567293</v>
      </c>
      <c r="AI26">
        <v>81.102414672922791</v>
      </c>
      <c r="AJ26">
        <v>81.778429230871239</v>
      </c>
      <c r="AK26">
        <v>82.293511271848374</v>
      </c>
      <c r="AL26">
        <v>82.808516485111213</v>
      </c>
      <c r="AM26">
        <v>83.39111481831911</v>
      </c>
      <c r="AN26">
        <v>84.069991820024327</v>
      </c>
      <c r="AO26">
        <v>84.88285876603058</v>
      </c>
      <c r="AP26">
        <v>85.765396909554966</v>
      </c>
      <c r="AQ26">
        <v>86.687700310031389</v>
      </c>
      <c r="AR26">
        <v>87.576193627589703</v>
      </c>
      <c r="AS26">
        <v>88.385294194502279</v>
      </c>
      <c r="AT26">
        <v>89.093478201389885</v>
      </c>
      <c r="AU26">
        <v>89.693614241850796</v>
      </c>
      <c r="AV26">
        <v>90.214790516750796</v>
      </c>
      <c r="AW26">
        <v>90.684410449098522</v>
      </c>
      <c r="AX26">
        <v>91.139053092900951</v>
      </c>
      <c r="AY26">
        <v>91.603381978155369</v>
      </c>
      <c r="BA26" s="1">
        <v>-1</v>
      </c>
      <c r="BB26" t="str">
        <f t="shared" si="0"/>
        <v>Pa - Baixo Amazonas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144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</row>
    <row r="27" spans="1:103" x14ac:dyDescent="0.25">
      <c r="A27" t="s">
        <v>16</v>
      </c>
      <c r="B27" t="s">
        <v>4</v>
      </c>
      <c r="C27">
        <v>15.752686040059693</v>
      </c>
      <c r="D27">
        <v>7.2337852863729726</v>
      </c>
      <c r="E27">
        <v>-6.5289232493186855E-2</v>
      </c>
      <c r="F27">
        <v>2.6840571793935335</v>
      </c>
      <c r="G27">
        <v>-0.25828247444659402</v>
      </c>
      <c r="H27">
        <v>3.1853032189353008</v>
      </c>
      <c r="I27">
        <v>0.57415410167302039</v>
      </c>
      <c r="J27">
        <v>0.90683852364002449</v>
      </c>
      <c r="K27">
        <v>1.2540705806364276</v>
      </c>
      <c r="L27">
        <v>0.28775458101049639</v>
      </c>
      <c r="M27">
        <v>0.70807263991015479</v>
      </c>
      <c r="N27">
        <v>-0.65672515574320967</v>
      </c>
      <c r="O27">
        <v>-0.70222034794401988</v>
      </c>
      <c r="P27">
        <v>-1.1631433342611872</v>
      </c>
      <c r="Q27">
        <v>-1.457997459129611</v>
      </c>
      <c r="R27">
        <v>-1.4519518759496637</v>
      </c>
      <c r="S27">
        <v>-1.8225137404666822</v>
      </c>
      <c r="T27">
        <v>-1.8000585987207969</v>
      </c>
      <c r="U27">
        <v>-2.0581201069429786</v>
      </c>
      <c r="V27">
        <v>-2.2105552852286023</v>
      </c>
      <c r="W27">
        <v>-2.4006307849739561</v>
      </c>
      <c r="X27">
        <v>-2.6619884478837097</v>
      </c>
      <c r="Y27">
        <v>-2.8323292727050924</v>
      </c>
      <c r="Z27">
        <v>-3.0871733463708559</v>
      </c>
      <c r="AA27">
        <v>-3.2751801134370528</v>
      </c>
      <c r="AB27">
        <v>-3.4808666660001695</v>
      </c>
      <c r="AC27">
        <v>-3.6652152048674806</v>
      </c>
      <c r="AD27">
        <v>-3.8144962946237229</v>
      </c>
      <c r="AE27">
        <v>-3.9664699357113937</v>
      </c>
      <c r="AF27">
        <v>-4.0860315497967221</v>
      </c>
      <c r="AG27">
        <v>-4.2138905789765042</v>
      </c>
      <c r="AH27">
        <v>-4.3357777221011222</v>
      </c>
      <c r="AI27">
        <v>-4.4627656111792149</v>
      </c>
      <c r="AJ27">
        <v>-4.5979596683388158</v>
      </c>
      <c r="AK27">
        <v>-4.7305473715258932</v>
      </c>
      <c r="AL27">
        <v>-4.8656944055127012</v>
      </c>
      <c r="AM27">
        <v>-4.9918004178518043</v>
      </c>
      <c r="AN27">
        <v>-5.1110297268617124</v>
      </c>
      <c r="AO27">
        <v>-5.2211072519761723</v>
      </c>
      <c r="AP27">
        <v>-5.3222514808780605</v>
      </c>
      <c r="AQ27">
        <v>-5.4181158698592133</v>
      </c>
      <c r="AR27">
        <v>-5.5085492683514934</v>
      </c>
      <c r="AS27">
        <v>-5.5969682170640702</v>
      </c>
      <c r="AT27">
        <v>-5.6834099144428061</v>
      </c>
      <c r="AU27">
        <v>-5.768697861027607</v>
      </c>
      <c r="AV27">
        <v>-5.8529324520871775</v>
      </c>
      <c r="AW27">
        <v>-5.9352603679676728</v>
      </c>
      <c r="AX27">
        <v>-6.0155592590191826</v>
      </c>
      <c r="AY27">
        <v>-6.092799657680021</v>
      </c>
      <c r="BA27" s="1">
        <v>1</v>
      </c>
      <c r="BB27" t="str">
        <f t="shared" si="0"/>
        <v>Pa - Marajo</v>
      </c>
      <c r="BC27" s="3">
        <v>17.90419308898786</v>
      </c>
      <c r="BD27" s="3">
        <v>13.557916074413521</v>
      </c>
      <c r="BE27" s="3">
        <v>0.70435080797988825</v>
      </c>
      <c r="BF27" s="3">
        <v>10.339578658334382</v>
      </c>
      <c r="BG27" s="3">
        <v>5.5633489018262354</v>
      </c>
      <c r="BH27" s="3">
        <v>9.5845576559913326</v>
      </c>
      <c r="BI27" s="3">
        <v>8.2113025349585484</v>
      </c>
      <c r="BJ27" s="3">
        <v>8.2155177079932464</v>
      </c>
      <c r="BK27" s="3">
        <v>10.543928674989687</v>
      </c>
      <c r="BL27" s="3">
        <v>8.4284613887965882</v>
      </c>
      <c r="BM27" s="3">
        <v>9.1537308350130271</v>
      </c>
      <c r="BN27" s="3">
        <v>7.2736652879111876</v>
      </c>
      <c r="BO27" s="3">
        <v>6.63649186064284</v>
      </c>
      <c r="BP27" s="3">
        <v>6.0398097891247051</v>
      </c>
      <c r="BQ27" s="3">
        <v>5.0847178063168332</v>
      </c>
      <c r="BR27" s="3">
        <v>5.2043237959456636</v>
      </c>
      <c r="BS27" s="3">
        <v>4.7614325660673451</v>
      </c>
      <c r="BT27" s="3">
        <v>5.0083118479076365</v>
      </c>
      <c r="BU27" s="3">
        <v>5.0157623527307438</v>
      </c>
      <c r="BV27" s="3">
        <v>4.982910517078821</v>
      </c>
      <c r="BW27" s="3">
        <v>4.975466154640749</v>
      </c>
      <c r="BX27" s="3">
        <v>4.6654538380714232</v>
      </c>
      <c r="BY27" s="3">
        <v>4.4429544948229864</v>
      </c>
      <c r="BZ27" s="3">
        <v>4.0402820765184408</v>
      </c>
      <c r="CA27" s="3">
        <v>3.6875887652616339</v>
      </c>
      <c r="CB27" s="3">
        <v>3.3635732712993187</v>
      </c>
      <c r="CC27" s="3">
        <v>3.0703232880102749</v>
      </c>
      <c r="CD27" s="3">
        <v>2.8910611340389751</v>
      </c>
      <c r="CE27" s="3">
        <v>2.7325306762215762</v>
      </c>
      <c r="CF27" s="3">
        <v>2.6438444538998853</v>
      </c>
      <c r="CG27" s="3">
        <v>2.558369758052919</v>
      </c>
      <c r="CH27" s="3">
        <v>2.4672389706211275</v>
      </c>
      <c r="CI27" s="3">
        <v>2.3608647597801964</v>
      </c>
      <c r="CJ27" s="3">
        <v>2.2162983060780368</v>
      </c>
      <c r="CK27" s="3">
        <v>2.0568068586568362</v>
      </c>
      <c r="CL27" s="3">
        <v>1.877247876043449</v>
      </c>
      <c r="CM27" s="3">
        <v>1.7002348856504454</v>
      </c>
      <c r="CN27" s="3">
        <v>1.5344744409137254</v>
      </c>
      <c r="CO27" s="3">
        <v>1.3862662117813134</v>
      </c>
      <c r="CP27" s="3">
        <v>1.2621277360400338</v>
      </c>
      <c r="CQ27" s="3">
        <v>1.1553361981505166</v>
      </c>
      <c r="CR27" s="3">
        <v>1.063856789265671</v>
      </c>
      <c r="CS27" s="3">
        <v>0.97866702525675464</v>
      </c>
      <c r="CT27" s="3">
        <v>0.8942328018516692</v>
      </c>
      <c r="CU27" s="3">
        <v>0.8066909281385044</v>
      </c>
      <c r="CV27" s="3">
        <v>0.71350419822706002</v>
      </c>
      <c r="CW27" s="3">
        <v>0.61649265461405722</v>
      </c>
      <c r="CX27" s="3">
        <v>0.51737001381984093</v>
      </c>
      <c r="CY27" s="3">
        <v>0.41988413156585302</v>
      </c>
    </row>
    <row r="28" spans="1:103" x14ac:dyDescent="0.25">
      <c r="A28" t="s">
        <v>16</v>
      </c>
      <c r="B28" t="s">
        <v>5</v>
      </c>
      <c r="C28">
        <v>-2.1515070489281687</v>
      </c>
      <c r="D28">
        <v>-6.3241307880405486</v>
      </c>
      <c r="E28">
        <v>-0.7696400404730751</v>
      </c>
      <c r="F28">
        <v>-7.655521478940849</v>
      </c>
      <c r="G28">
        <v>-5.8216313762728298</v>
      </c>
      <c r="H28">
        <v>-6.3992544370560323</v>
      </c>
      <c r="I28">
        <v>-7.6371484332855273</v>
      </c>
      <c r="J28">
        <v>-7.3086791843532222</v>
      </c>
      <c r="K28">
        <v>-9.2898580943532583</v>
      </c>
      <c r="L28">
        <v>-8.140706807786092</v>
      </c>
      <c r="M28">
        <v>-8.4456581951028724</v>
      </c>
      <c r="N28">
        <v>-7.9303904436543977</v>
      </c>
      <c r="O28">
        <v>-7.3387122085868599</v>
      </c>
      <c r="P28">
        <v>-7.2029531233858926</v>
      </c>
      <c r="Q28">
        <v>-6.5427152654464438</v>
      </c>
      <c r="R28">
        <v>-6.6562756718953278</v>
      </c>
      <c r="S28">
        <v>-6.5839463065340276</v>
      </c>
      <c r="T28">
        <v>-6.8083704466284329</v>
      </c>
      <c r="U28">
        <v>-7.0738824596737224</v>
      </c>
      <c r="V28">
        <v>-7.1934658023074229</v>
      </c>
      <c r="W28">
        <v>-7.3760969396147047</v>
      </c>
      <c r="X28">
        <v>-7.3274422859551329</v>
      </c>
      <c r="Y28">
        <v>-7.2752837675280793</v>
      </c>
      <c r="Z28">
        <v>-7.1274554228892963</v>
      </c>
      <c r="AA28">
        <v>-6.9627688786986868</v>
      </c>
      <c r="AB28">
        <v>-6.8444399372994882</v>
      </c>
      <c r="AC28">
        <v>-6.7355384928777555</v>
      </c>
      <c r="AD28">
        <v>-6.705557428662698</v>
      </c>
      <c r="AE28">
        <v>-6.6990006119329699</v>
      </c>
      <c r="AF28">
        <v>-6.7298760036966074</v>
      </c>
      <c r="AG28">
        <v>-6.7722603370294232</v>
      </c>
      <c r="AH28">
        <v>-6.8030166927222497</v>
      </c>
      <c r="AI28">
        <v>-6.8236303709594113</v>
      </c>
      <c r="AJ28">
        <v>-6.8142579744168525</v>
      </c>
      <c r="AK28">
        <v>-6.7873542301827294</v>
      </c>
      <c r="AL28">
        <v>-6.7429422815561502</v>
      </c>
      <c r="AM28">
        <v>-6.6920353035022497</v>
      </c>
      <c r="AN28">
        <v>-6.6455041677754378</v>
      </c>
      <c r="AO28">
        <v>-6.6073734637574857</v>
      </c>
      <c r="AP28">
        <v>-6.5843792169180944</v>
      </c>
      <c r="AQ28">
        <v>-6.5734520680097299</v>
      </c>
      <c r="AR28">
        <v>-6.5724060576171643</v>
      </c>
      <c r="AS28">
        <v>-6.5756352423208249</v>
      </c>
      <c r="AT28">
        <v>-6.5776427162944753</v>
      </c>
      <c r="AU28">
        <v>-6.5753887891661114</v>
      </c>
      <c r="AV28">
        <v>-6.5664366503142375</v>
      </c>
      <c r="AW28">
        <v>-6.55175302258173</v>
      </c>
      <c r="AX28">
        <v>-6.5329292728390236</v>
      </c>
      <c r="AY28">
        <v>-6.512683789245874</v>
      </c>
      <c r="BA28" s="1">
        <v>-1</v>
      </c>
      <c r="BB28" t="str">
        <f t="shared" si="0"/>
        <v>Pa - Marajo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144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</row>
    <row r="29" spans="1:103" x14ac:dyDescent="0.25">
      <c r="A29" t="s">
        <v>17</v>
      </c>
      <c r="B29" t="s">
        <v>4</v>
      </c>
      <c r="C29">
        <v>642.98804220718353</v>
      </c>
      <c r="D29">
        <v>647.05251030437762</v>
      </c>
      <c r="E29">
        <v>631.18842709928947</v>
      </c>
      <c r="F29">
        <v>706.92372010376994</v>
      </c>
      <c r="G29">
        <v>576.47365736811139</v>
      </c>
      <c r="H29">
        <v>744.03882840797314</v>
      </c>
      <c r="I29">
        <v>710.36215708596023</v>
      </c>
      <c r="J29">
        <v>763.32680536660257</v>
      </c>
      <c r="K29">
        <v>772.79792587660802</v>
      </c>
      <c r="L29">
        <v>755.64352719597969</v>
      </c>
      <c r="M29">
        <v>782.86502719013333</v>
      </c>
      <c r="N29">
        <v>738.76862146471524</v>
      </c>
      <c r="O29">
        <v>733.6276760835766</v>
      </c>
      <c r="P29">
        <v>708.44504992604084</v>
      </c>
      <c r="Q29">
        <v>700.52858839782391</v>
      </c>
      <c r="R29">
        <v>707.87259470732147</v>
      </c>
      <c r="S29">
        <v>709.30469258872586</v>
      </c>
      <c r="T29">
        <v>727.03196984169256</v>
      </c>
      <c r="U29">
        <v>734.43899616241913</v>
      </c>
      <c r="V29">
        <v>744.55117528391247</v>
      </c>
      <c r="W29">
        <v>748.57240159584751</v>
      </c>
      <c r="X29">
        <v>746.85695928447933</v>
      </c>
      <c r="Y29">
        <v>745.02369374794182</v>
      </c>
      <c r="Z29">
        <v>738.93951048484814</v>
      </c>
      <c r="AA29">
        <v>735.36665851340467</v>
      </c>
      <c r="AB29">
        <v>731.71985112725417</v>
      </c>
      <c r="AC29">
        <v>730.18020468587349</v>
      </c>
      <c r="AD29">
        <v>730.809278893341</v>
      </c>
      <c r="AE29">
        <v>732.28180313809685</v>
      </c>
      <c r="AF29">
        <v>735.31556424956932</v>
      </c>
      <c r="AG29">
        <v>737.9864155002075</v>
      </c>
      <c r="AH29">
        <v>740.47224220237899</v>
      </c>
      <c r="AI29">
        <v>741.97380521076241</v>
      </c>
      <c r="AJ29">
        <v>742.33792648132419</v>
      </c>
      <c r="AK29">
        <v>741.92840112482293</v>
      </c>
      <c r="AL29">
        <v>740.78997193122655</v>
      </c>
      <c r="AM29">
        <v>739.63951651588536</v>
      </c>
      <c r="AN29">
        <v>738.68803944304466</v>
      </c>
      <c r="AO29">
        <v>738.26796090971959</v>
      </c>
      <c r="AP29">
        <v>738.44435226774351</v>
      </c>
      <c r="AQ29">
        <v>739.06059273354401</v>
      </c>
      <c r="AR29">
        <v>739.97837038534999</v>
      </c>
      <c r="AS29">
        <v>740.89957054892398</v>
      </c>
      <c r="AT29">
        <v>741.67195320321321</v>
      </c>
      <c r="AU29">
        <v>742.16513758833594</v>
      </c>
      <c r="AV29">
        <v>742.35840025146911</v>
      </c>
      <c r="AW29">
        <v>742.31961135631798</v>
      </c>
      <c r="AX29">
        <v>742.13300491503196</v>
      </c>
      <c r="AY29">
        <v>741.92377341176734</v>
      </c>
      <c r="BA29" s="1">
        <v>1</v>
      </c>
      <c r="BB29" t="str">
        <f t="shared" si="0"/>
        <v>Pa - Metropol de Belem</v>
      </c>
      <c r="BC29" s="3">
        <v>653.77917910601104</v>
      </c>
      <c r="BD29" s="3">
        <v>531.34735249618257</v>
      </c>
      <c r="BE29" s="3">
        <v>145.7316117226535</v>
      </c>
      <c r="BF29" s="3">
        <v>488.34624364742672</v>
      </c>
      <c r="BG29" s="3">
        <v>219.93551599235582</v>
      </c>
      <c r="BH29" s="3">
        <v>371.35306910625366</v>
      </c>
      <c r="BI29" s="3">
        <v>280.55398341530571</v>
      </c>
      <c r="BJ29" s="3">
        <v>273.58724026114021</v>
      </c>
      <c r="BK29" s="3">
        <v>341.29380601615287</v>
      </c>
      <c r="BL29" s="3">
        <v>254.08962767904313</v>
      </c>
      <c r="BM29" s="3">
        <v>296.82854859922719</v>
      </c>
      <c r="BN29" s="3">
        <v>228.82130085216045</v>
      </c>
      <c r="BO29" s="3">
        <v>217.31230025269929</v>
      </c>
      <c r="BP29" s="3">
        <v>194.85412760223278</v>
      </c>
      <c r="BQ29" s="3">
        <v>157.92912191304106</v>
      </c>
      <c r="BR29" s="3">
        <v>157.22675338278873</v>
      </c>
      <c r="BS29" s="3">
        <v>128.75309514069238</v>
      </c>
      <c r="BT29" s="3">
        <v>127.82212925720125</v>
      </c>
      <c r="BU29" s="3">
        <v>115.72026148359168</v>
      </c>
      <c r="BV29" s="3">
        <v>106.5933267325463</v>
      </c>
      <c r="BW29" s="3">
        <v>100.92546678761289</v>
      </c>
      <c r="BX29" s="3">
        <v>86.707123958345278</v>
      </c>
      <c r="BY29" s="3">
        <v>78.445326762019249</v>
      </c>
      <c r="BZ29" s="3">
        <v>63.494663477565382</v>
      </c>
      <c r="CA29" s="3">
        <v>50.817802335243982</v>
      </c>
      <c r="CB29" s="3">
        <v>37.701352489736792</v>
      </c>
      <c r="CC29" s="3">
        <v>24.490170357213742</v>
      </c>
      <c r="CD29" s="3">
        <v>14.311451902012436</v>
      </c>
      <c r="CE29" s="3">
        <v>3.9313502158091751</v>
      </c>
      <c r="CF29" s="3">
        <v>-3.9125653284783084</v>
      </c>
      <c r="CG29" s="3">
        <v>-11.527153091129094</v>
      </c>
      <c r="CH29" s="3">
        <v>-18.615225586346469</v>
      </c>
      <c r="CI29" s="3">
        <v>-25.493935824659616</v>
      </c>
      <c r="CJ29" s="3">
        <v>-33.025715413534158</v>
      </c>
      <c r="CK29" s="3">
        <v>-40.48773611246088</v>
      </c>
      <c r="CL29" s="3">
        <v>-48.428670076041612</v>
      </c>
      <c r="CM29" s="3">
        <v>-56.209058941066701</v>
      </c>
      <c r="CN29" s="3">
        <v>-63.780626074618112</v>
      </c>
      <c r="CO29" s="3">
        <v>-70.993097926619726</v>
      </c>
      <c r="CP29" s="3">
        <v>-77.609448264925049</v>
      </c>
      <c r="CQ29" s="3">
        <v>-83.798349139246966</v>
      </c>
      <c r="CR29" s="3">
        <v>-89.471576778665508</v>
      </c>
      <c r="CS29" s="3">
        <v>-94.832309563356375</v>
      </c>
      <c r="CT29" s="3">
        <v>-99.957914438740431</v>
      </c>
      <c r="CU29" s="3">
        <v>-104.94198142151106</v>
      </c>
      <c r="CV29" s="3">
        <v>-109.88314563387348</v>
      </c>
      <c r="CW29" s="3">
        <v>-114.76520236256613</v>
      </c>
      <c r="CX29" s="3">
        <v>-119.60847237288772</v>
      </c>
      <c r="CY29" s="3">
        <v>-124.3499081925886</v>
      </c>
    </row>
    <row r="30" spans="1:103" x14ac:dyDescent="0.25">
      <c r="A30" t="s">
        <v>17</v>
      </c>
      <c r="B30" t="s">
        <v>5</v>
      </c>
      <c r="C30">
        <v>-10.791136898827475</v>
      </c>
      <c r="D30">
        <v>115.705157808195</v>
      </c>
      <c r="E30">
        <v>485.45681537663597</v>
      </c>
      <c r="F30">
        <v>218.57747645634319</v>
      </c>
      <c r="G30">
        <v>356.53814137575557</v>
      </c>
      <c r="H30">
        <v>372.68575930171949</v>
      </c>
      <c r="I30">
        <v>429.80817367065453</v>
      </c>
      <c r="J30">
        <v>489.73956510546236</v>
      </c>
      <c r="K30">
        <v>431.50411986045515</v>
      </c>
      <c r="L30">
        <v>501.55389951693655</v>
      </c>
      <c r="M30">
        <v>486.03647859090614</v>
      </c>
      <c r="N30">
        <v>509.94732061255479</v>
      </c>
      <c r="O30">
        <v>516.31537583087731</v>
      </c>
      <c r="P30">
        <v>513.59092232380806</v>
      </c>
      <c r="Q30">
        <v>542.59946648478285</v>
      </c>
      <c r="R30">
        <v>550.64584132453274</v>
      </c>
      <c r="S30">
        <v>580.55159744803348</v>
      </c>
      <c r="T30">
        <v>599.2098405844913</v>
      </c>
      <c r="U30">
        <v>618.71873467882745</v>
      </c>
      <c r="V30">
        <v>637.95784855136617</v>
      </c>
      <c r="W30">
        <v>647.64693480823462</v>
      </c>
      <c r="X30">
        <v>660.14983532613405</v>
      </c>
      <c r="Y30">
        <v>666.57836698592257</v>
      </c>
      <c r="Z30">
        <v>675.44484700728276</v>
      </c>
      <c r="AA30">
        <v>684.54885617816069</v>
      </c>
      <c r="AB30">
        <v>694.01849863751738</v>
      </c>
      <c r="AC30">
        <v>705.69003432865975</v>
      </c>
      <c r="AD30">
        <v>716.49782699132857</v>
      </c>
      <c r="AE30">
        <v>728.35045292228767</v>
      </c>
      <c r="AF30">
        <v>739.22812957804763</v>
      </c>
      <c r="AG30">
        <v>749.51356859133659</v>
      </c>
      <c r="AH30">
        <v>759.08746778872546</v>
      </c>
      <c r="AI30">
        <v>767.46774103542202</v>
      </c>
      <c r="AJ30">
        <v>775.36364189485835</v>
      </c>
      <c r="AK30">
        <v>782.41613723728381</v>
      </c>
      <c r="AL30">
        <v>789.21864200726816</v>
      </c>
      <c r="AM30">
        <v>795.84857545695206</v>
      </c>
      <c r="AN30">
        <v>802.46866551766277</v>
      </c>
      <c r="AO30">
        <v>809.26105883633932</v>
      </c>
      <c r="AP30">
        <v>816.05380053266856</v>
      </c>
      <c r="AQ30">
        <v>822.85894187279098</v>
      </c>
      <c r="AR30">
        <v>829.4499471640155</v>
      </c>
      <c r="AS30">
        <v>835.73188011228035</v>
      </c>
      <c r="AT30">
        <v>841.62986764195364</v>
      </c>
      <c r="AU30">
        <v>847.107119009847</v>
      </c>
      <c r="AV30">
        <v>852.24154588534259</v>
      </c>
      <c r="AW30">
        <v>857.08481371888411</v>
      </c>
      <c r="AX30">
        <v>861.74147728791968</v>
      </c>
      <c r="AY30">
        <v>866.27368160435594</v>
      </c>
      <c r="BA30" s="1">
        <v>-1</v>
      </c>
      <c r="BB30" t="str">
        <f t="shared" si="0"/>
        <v>Pa - Metropol de Belem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144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</row>
    <row r="31" spans="1:103" x14ac:dyDescent="0.25">
      <c r="A31" t="s">
        <v>18</v>
      </c>
      <c r="B31" t="s">
        <v>4</v>
      </c>
      <c r="C31">
        <v>186.02699152927062</v>
      </c>
      <c r="D31">
        <v>147.42370200252523</v>
      </c>
      <c r="E31">
        <v>178.82896721447676</v>
      </c>
      <c r="F31">
        <v>158.22436048966938</v>
      </c>
      <c r="G31">
        <v>126.29578564629668</v>
      </c>
      <c r="H31">
        <v>168.82830191522501</v>
      </c>
      <c r="I31">
        <v>158.82277460938278</v>
      </c>
      <c r="J31">
        <v>177.27988894734901</v>
      </c>
      <c r="K31">
        <v>167.63087677293004</v>
      </c>
      <c r="L31">
        <v>165.89193360459387</v>
      </c>
      <c r="M31">
        <v>170.04935984439294</v>
      </c>
      <c r="N31">
        <v>158.48392597429614</v>
      </c>
      <c r="O31">
        <v>157.82741285442671</v>
      </c>
      <c r="P31">
        <v>150.04118143155412</v>
      </c>
      <c r="Q31">
        <v>151.06143570528326</v>
      </c>
      <c r="R31">
        <v>153.56658859138776</v>
      </c>
      <c r="S31">
        <v>155.93906898904814</v>
      </c>
      <c r="T31">
        <v>161.34667250782567</v>
      </c>
      <c r="U31">
        <v>163.33190138269293</v>
      </c>
      <c r="V31">
        <v>166.23357242374806</v>
      </c>
      <c r="W31">
        <v>166.5130198470253</v>
      </c>
      <c r="X31">
        <v>165.88263409304588</v>
      </c>
      <c r="Y31">
        <v>164.9984715065799</v>
      </c>
      <c r="Z31">
        <v>163.44769733864516</v>
      </c>
      <c r="AA31">
        <v>162.8939401286184</v>
      </c>
      <c r="AB31">
        <v>162.37730575491622</v>
      </c>
      <c r="AC31">
        <v>162.67024897071173</v>
      </c>
      <c r="AD31">
        <v>163.36327480879859</v>
      </c>
      <c r="AE31">
        <v>164.26860586262882</v>
      </c>
      <c r="AF31">
        <v>165.41365495557937</v>
      </c>
      <c r="AG31">
        <v>166.31677379975159</v>
      </c>
      <c r="AH31">
        <v>167.09866179656478</v>
      </c>
      <c r="AI31">
        <v>167.5217571263571</v>
      </c>
      <c r="AJ31">
        <v>167.66647704086256</v>
      </c>
      <c r="AK31">
        <v>167.61452314934809</v>
      </c>
      <c r="AL31">
        <v>167.43073338808389</v>
      </c>
      <c r="AM31">
        <v>167.30621539659703</v>
      </c>
      <c r="AN31">
        <v>167.27702864877938</v>
      </c>
      <c r="AO31">
        <v>167.42560882167925</v>
      </c>
      <c r="AP31">
        <v>167.72523324205559</v>
      </c>
      <c r="AQ31">
        <v>168.12219918058031</v>
      </c>
      <c r="AR31">
        <v>168.55784776567856</v>
      </c>
      <c r="AS31">
        <v>168.95040383679776</v>
      </c>
      <c r="AT31">
        <v>169.26849501627066</v>
      </c>
      <c r="AU31">
        <v>169.48741445598978</v>
      </c>
      <c r="AV31">
        <v>169.62120413470626</v>
      </c>
      <c r="AW31">
        <v>169.69829709769689</v>
      </c>
      <c r="AX31">
        <v>169.75024820136804</v>
      </c>
      <c r="AY31">
        <v>169.81148064512698</v>
      </c>
      <c r="BA31" s="1">
        <v>1</v>
      </c>
      <c r="BB31" t="str">
        <f t="shared" si="0"/>
        <v>Pa - Nordeste Paraense</v>
      </c>
      <c r="BC31" s="3">
        <v>140.11355118490513</v>
      </c>
      <c r="BD31" s="3">
        <v>165.30776399621141</v>
      </c>
      <c r="BE31" s="3">
        <v>100.25598102065169</v>
      </c>
      <c r="BF31" s="3">
        <v>141.28947992529859</v>
      </c>
      <c r="BG31" s="3">
        <v>49.699466257732013</v>
      </c>
      <c r="BH31" s="3">
        <v>101.73637899639765</v>
      </c>
      <c r="BI31" s="3">
        <v>92.835896377181953</v>
      </c>
      <c r="BJ31" s="3">
        <v>86.906275833921541</v>
      </c>
      <c r="BK31" s="3">
        <v>92.870854628144485</v>
      </c>
      <c r="BL31" s="3">
        <v>70.607586590166918</v>
      </c>
      <c r="BM31" s="3">
        <v>84.134224661930688</v>
      </c>
      <c r="BN31" s="3">
        <v>67.869071999133155</v>
      </c>
      <c r="BO31" s="3">
        <v>64.51638638337964</v>
      </c>
      <c r="BP31" s="3">
        <v>59.29020846293335</v>
      </c>
      <c r="BQ31" s="3">
        <v>53.062153639628207</v>
      </c>
      <c r="BR31" s="3">
        <v>56.038686388757384</v>
      </c>
      <c r="BS31" s="3">
        <v>51.497405649949314</v>
      </c>
      <c r="BT31" s="3">
        <v>52.669692262822707</v>
      </c>
      <c r="BU31" s="3">
        <v>50.002408987398283</v>
      </c>
      <c r="BV31" s="3">
        <v>47.502733602711317</v>
      </c>
      <c r="BW31" s="3">
        <v>45.297024771482569</v>
      </c>
      <c r="BX31" s="3">
        <v>41.008081110526831</v>
      </c>
      <c r="BY31" s="3">
        <v>38.544429910282631</v>
      </c>
      <c r="BZ31" s="3">
        <v>35.012250210933729</v>
      </c>
      <c r="CA31" s="3">
        <v>32.594952294627035</v>
      </c>
      <c r="CB31" s="3">
        <v>30.322242156558417</v>
      </c>
      <c r="CC31" s="3">
        <v>28.097389680100719</v>
      </c>
      <c r="CD31" s="3">
        <v>26.48302914184589</v>
      </c>
      <c r="CE31" s="3">
        <v>24.614560635179998</v>
      </c>
      <c r="CF31" s="3">
        <v>23.14329929772498</v>
      </c>
      <c r="CG31" s="3">
        <v>21.520899581781094</v>
      </c>
      <c r="CH31" s="3">
        <v>19.899233890611896</v>
      </c>
      <c r="CI31" s="3">
        <v>18.259383624276467</v>
      </c>
      <c r="CJ31" s="3">
        <v>16.46253021635269</v>
      </c>
      <c r="CK31" s="3">
        <v>14.731119845253488</v>
      </c>
      <c r="CL31" s="3">
        <v>12.960788805209745</v>
      </c>
      <c r="CM31" s="3">
        <v>11.320891082606977</v>
      </c>
      <c r="CN31" s="3">
        <v>9.8060441737423218</v>
      </c>
      <c r="CO31" s="3">
        <v>8.4228689355608992</v>
      </c>
      <c r="CP31" s="3">
        <v>7.1845923928555351</v>
      </c>
      <c r="CQ31" s="3">
        <v>6.0110663253410337</v>
      </c>
      <c r="CR31" s="3">
        <v>4.898818029350025</v>
      </c>
      <c r="CS31" s="3">
        <v>3.7917424625518947</v>
      </c>
      <c r="CT31" s="3">
        <v>2.6844473660686106</v>
      </c>
      <c r="CU31" s="3">
        <v>1.5777478120758701</v>
      </c>
      <c r="CV31" s="3">
        <v>0.47496558440408876</v>
      </c>
      <c r="CW31" s="3">
        <v>-0.59864659022159117</v>
      </c>
      <c r="CX31" s="3">
        <v>-1.6370773130426528</v>
      </c>
      <c r="CY31" s="3">
        <v>-2.624716876096727</v>
      </c>
    </row>
    <row r="32" spans="1:103" x14ac:dyDescent="0.25">
      <c r="A32" t="s">
        <v>18</v>
      </c>
      <c r="B32" t="s">
        <v>5</v>
      </c>
      <c r="C32">
        <v>45.913440344365497</v>
      </c>
      <c r="D32">
        <v>-17.884061993686181</v>
      </c>
      <c r="E32">
        <v>78.572986193825074</v>
      </c>
      <c r="F32">
        <v>16.934880564370786</v>
      </c>
      <c r="G32">
        <v>76.596319388564666</v>
      </c>
      <c r="H32">
        <v>67.091922918827365</v>
      </c>
      <c r="I32">
        <v>65.986878232200823</v>
      </c>
      <c r="J32">
        <v>90.373613113427467</v>
      </c>
      <c r="K32">
        <v>74.760022144785552</v>
      </c>
      <c r="L32">
        <v>95.284347014426956</v>
      </c>
      <c r="M32">
        <v>85.915135182462251</v>
      </c>
      <c r="N32">
        <v>90.614853975162987</v>
      </c>
      <c r="O32">
        <v>93.311026471047072</v>
      </c>
      <c r="P32">
        <v>90.750972968620772</v>
      </c>
      <c r="Q32">
        <v>97.999282065655052</v>
      </c>
      <c r="R32">
        <v>97.527902202630372</v>
      </c>
      <c r="S32">
        <v>104.44166333909882</v>
      </c>
      <c r="T32">
        <v>108.67698024500297</v>
      </c>
      <c r="U32">
        <v>113.32949239529465</v>
      </c>
      <c r="V32">
        <v>118.73083882103674</v>
      </c>
      <c r="W32">
        <v>121.21599507554274</v>
      </c>
      <c r="X32">
        <v>124.87455298251905</v>
      </c>
      <c r="Y32">
        <v>126.45404159629727</v>
      </c>
      <c r="Z32">
        <v>128.43544712771143</v>
      </c>
      <c r="AA32">
        <v>130.29898783399136</v>
      </c>
      <c r="AB32">
        <v>132.0550635983578</v>
      </c>
      <c r="AC32">
        <v>134.57285929061101</v>
      </c>
      <c r="AD32">
        <v>136.8802456669527</v>
      </c>
      <c r="AE32">
        <v>139.65404522744882</v>
      </c>
      <c r="AF32">
        <v>142.2703556578544</v>
      </c>
      <c r="AG32">
        <v>144.79587421797049</v>
      </c>
      <c r="AH32">
        <v>147.19942790595289</v>
      </c>
      <c r="AI32">
        <v>149.26237350208064</v>
      </c>
      <c r="AJ32">
        <v>151.20394682450987</v>
      </c>
      <c r="AK32">
        <v>152.8834033040946</v>
      </c>
      <c r="AL32">
        <v>154.46994458287415</v>
      </c>
      <c r="AM32">
        <v>155.98532431399005</v>
      </c>
      <c r="AN32">
        <v>157.47098447503706</v>
      </c>
      <c r="AO32">
        <v>159.00273988611835</v>
      </c>
      <c r="AP32">
        <v>160.54064084920006</v>
      </c>
      <c r="AQ32">
        <v>162.11113285523928</v>
      </c>
      <c r="AR32">
        <v>163.65902973632853</v>
      </c>
      <c r="AS32">
        <v>165.15866137424587</v>
      </c>
      <c r="AT32">
        <v>166.58404765020205</v>
      </c>
      <c r="AU32">
        <v>167.90966664391391</v>
      </c>
      <c r="AV32">
        <v>169.14623855030217</v>
      </c>
      <c r="AW32">
        <v>170.29694368791849</v>
      </c>
      <c r="AX32">
        <v>171.38732551441069</v>
      </c>
      <c r="AY32">
        <v>172.4361975212237</v>
      </c>
      <c r="BA32" s="1">
        <v>-1</v>
      </c>
      <c r="BB32" t="str">
        <f t="shared" si="0"/>
        <v>Pa - Nordeste Paraense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144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</row>
    <row r="33" spans="1:103" x14ac:dyDescent="0.25">
      <c r="A33" t="s">
        <v>19</v>
      </c>
      <c r="B33" t="s">
        <v>4</v>
      </c>
      <c r="C33">
        <v>219.74166195999879</v>
      </c>
      <c r="D33">
        <v>190.78600721267816</v>
      </c>
      <c r="E33">
        <v>150.71595253014158</v>
      </c>
      <c r="F33">
        <v>151.17528094539014</v>
      </c>
      <c r="G33">
        <v>143.85782950871507</v>
      </c>
      <c r="H33">
        <v>198.755984361369</v>
      </c>
      <c r="I33">
        <v>196.88650644175507</v>
      </c>
      <c r="J33">
        <v>219.77445884635674</v>
      </c>
      <c r="K33">
        <v>228.08229857189687</v>
      </c>
      <c r="L33">
        <v>229.28911023034283</v>
      </c>
      <c r="M33">
        <v>231.25343539961261</v>
      </c>
      <c r="N33">
        <v>213.69123886720178</v>
      </c>
      <c r="O33">
        <v>205.36530613917142</v>
      </c>
      <c r="P33">
        <v>193.12503859884933</v>
      </c>
      <c r="Q33">
        <v>188.41519592345375</v>
      </c>
      <c r="R33">
        <v>188.94620999991145</v>
      </c>
      <c r="S33">
        <v>191.24341912305692</v>
      </c>
      <c r="T33">
        <v>198.92488682963304</v>
      </c>
      <c r="U33">
        <v>204.63430001441012</v>
      </c>
      <c r="V33">
        <v>210.49536610075393</v>
      </c>
      <c r="W33">
        <v>213.26878965341893</v>
      </c>
      <c r="X33">
        <v>213.37686692506713</v>
      </c>
      <c r="Y33">
        <v>212.0348662640653</v>
      </c>
      <c r="Z33">
        <v>208.94446936273911</v>
      </c>
      <c r="AA33">
        <v>206.23656177054647</v>
      </c>
      <c r="AB33">
        <v>203.77063542332147</v>
      </c>
      <c r="AC33">
        <v>202.51464611006719</v>
      </c>
      <c r="AD33">
        <v>202.47738786676828</v>
      </c>
      <c r="AE33">
        <v>203.32113451112377</v>
      </c>
      <c r="AF33">
        <v>204.93251841855533</v>
      </c>
      <c r="AG33">
        <v>206.58134248679136</v>
      </c>
      <c r="AH33">
        <v>208.0635662595291</v>
      </c>
      <c r="AI33">
        <v>208.98607679091768</v>
      </c>
      <c r="AJ33">
        <v>209.26715001743668</v>
      </c>
      <c r="AK33">
        <v>209.01050155503361</v>
      </c>
      <c r="AL33">
        <v>208.35134076734363</v>
      </c>
      <c r="AM33">
        <v>207.60669077218319</v>
      </c>
      <c r="AN33">
        <v>206.96483655785215</v>
      </c>
      <c r="AO33">
        <v>206.61021699183704</v>
      </c>
      <c r="AP33">
        <v>206.59403309690367</v>
      </c>
      <c r="AQ33">
        <v>206.86670804317799</v>
      </c>
      <c r="AR33">
        <v>207.33330377054568</v>
      </c>
      <c r="AS33">
        <v>207.84420396598199</v>
      </c>
      <c r="AT33">
        <v>208.28900470252265</v>
      </c>
      <c r="AU33">
        <v>208.58303580751453</v>
      </c>
      <c r="AV33">
        <v>208.70147649656238</v>
      </c>
      <c r="AW33">
        <v>208.66850041888125</v>
      </c>
      <c r="AX33">
        <v>208.53551007308059</v>
      </c>
      <c r="AY33">
        <v>208.37267824126141</v>
      </c>
      <c r="BA33" s="1">
        <v>1</v>
      </c>
      <c r="BB33" t="str">
        <f t="shared" si="0"/>
        <v>Pa - Sudoeste Paraense</v>
      </c>
      <c r="BC33" s="3">
        <v>218.49126070993665</v>
      </c>
      <c r="BD33" s="3">
        <v>176.84188178726498</v>
      </c>
      <c r="BE33" s="3">
        <v>55.072236526866917</v>
      </c>
      <c r="BF33" s="3">
        <v>126.18856045270118</v>
      </c>
      <c r="BG33" s="3">
        <v>64.264382831839015</v>
      </c>
      <c r="BH33" s="3">
        <v>141.12286439284009</v>
      </c>
      <c r="BI33" s="3">
        <v>125.14091746286157</v>
      </c>
      <c r="BJ33" s="3">
        <v>143.31478699930199</v>
      </c>
      <c r="BK33" s="3">
        <v>167.02973115998299</v>
      </c>
      <c r="BL33" s="3">
        <v>150.35112157834763</v>
      </c>
      <c r="BM33" s="3">
        <v>160.80253865530037</v>
      </c>
      <c r="BN33" s="3">
        <v>132.31864679120361</v>
      </c>
      <c r="BO33" s="3">
        <v>122.69169535246486</v>
      </c>
      <c r="BP33" s="3">
        <v>108.21296695179865</v>
      </c>
      <c r="BQ33" s="3">
        <v>96.385737548277802</v>
      </c>
      <c r="BR33" s="3">
        <v>96.896080651767363</v>
      </c>
      <c r="BS33" s="3">
        <v>93.422790360993361</v>
      </c>
      <c r="BT33" s="3">
        <v>100.35144353404918</v>
      </c>
      <c r="BU33" s="3">
        <v>103.61216730383696</v>
      </c>
      <c r="BV33" s="3">
        <v>107.40747907637876</v>
      </c>
      <c r="BW33" s="3">
        <v>109.32887147254358</v>
      </c>
      <c r="BX33" s="3">
        <v>106.9875018938894</v>
      </c>
      <c r="BY33" s="3">
        <v>104.47070555131667</v>
      </c>
      <c r="BZ33" s="3">
        <v>98.970707343042093</v>
      </c>
      <c r="CA33" s="3">
        <v>94.154475299117237</v>
      </c>
      <c r="CB33" s="3">
        <v>89.510858755761774</v>
      </c>
      <c r="CC33" s="3">
        <v>85.904216145657145</v>
      </c>
      <c r="CD33" s="3">
        <v>84.043669177603661</v>
      </c>
      <c r="CE33" s="3">
        <v>82.941555532234446</v>
      </c>
      <c r="CF33" s="3">
        <v>83.036967727230035</v>
      </c>
      <c r="CG33" s="3">
        <v>83.224115601273937</v>
      </c>
      <c r="CH33" s="3">
        <v>83.348918601792491</v>
      </c>
      <c r="CI33" s="3">
        <v>83.015393307074874</v>
      </c>
      <c r="CJ33" s="3">
        <v>81.960342532397647</v>
      </c>
      <c r="CK33" s="3">
        <v>80.426845662646201</v>
      </c>
      <c r="CL33" s="3">
        <v>78.423857236814428</v>
      </c>
      <c r="CM33" s="3">
        <v>76.357991242307293</v>
      </c>
      <c r="CN33" s="3">
        <v>74.414649632728043</v>
      </c>
      <c r="CO33" s="3">
        <v>72.788041990515154</v>
      </c>
      <c r="CP33" s="3">
        <v>71.580547967519976</v>
      </c>
      <c r="CQ33" s="3">
        <v>70.717191935601818</v>
      </c>
      <c r="CR33" s="3">
        <v>70.133110262719526</v>
      </c>
      <c r="CS33" s="3">
        <v>69.654241016938329</v>
      </c>
      <c r="CT33" s="3">
        <v>69.162318113692208</v>
      </c>
      <c r="CU33" s="3">
        <v>68.560455069709434</v>
      </c>
      <c r="CV33" s="3">
        <v>67.802848020050334</v>
      </c>
      <c r="CW33" s="3">
        <v>66.913158923447952</v>
      </c>
      <c r="CX33" s="3">
        <v>65.933409063894231</v>
      </c>
      <c r="CY33" s="3">
        <v>64.940132592024156</v>
      </c>
    </row>
    <row r="34" spans="1:103" x14ac:dyDescent="0.25">
      <c r="A34" t="s">
        <v>19</v>
      </c>
      <c r="B34" t="s">
        <v>5</v>
      </c>
      <c r="C34">
        <v>1.2504012500621318</v>
      </c>
      <c r="D34">
        <v>13.94412542541318</v>
      </c>
      <c r="E34">
        <v>95.643716003274662</v>
      </c>
      <c r="F34">
        <v>24.986720492688956</v>
      </c>
      <c r="G34">
        <v>79.593446676876056</v>
      </c>
      <c r="H34">
        <v>57.633119968528931</v>
      </c>
      <c r="I34">
        <v>71.745588978893508</v>
      </c>
      <c r="J34">
        <v>76.459671847054736</v>
      </c>
      <c r="K34">
        <v>61.052567411913891</v>
      </c>
      <c r="L34">
        <v>78.937988651995198</v>
      </c>
      <c r="M34">
        <v>70.450896744312246</v>
      </c>
      <c r="N34">
        <v>81.37259207599817</v>
      </c>
      <c r="O34">
        <v>82.673610786706561</v>
      </c>
      <c r="P34">
        <v>84.912071647050681</v>
      </c>
      <c r="Q34">
        <v>92.029458375175949</v>
      </c>
      <c r="R34">
        <v>92.050129348144083</v>
      </c>
      <c r="S34">
        <v>97.820628762063563</v>
      </c>
      <c r="T34">
        <v>98.573443295583857</v>
      </c>
      <c r="U34">
        <v>101.02213271057316</v>
      </c>
      <c r="V34">
        <v>103.08788702437516</v>
      </c>
      <c r="W34">
        <v>103.93991818087535</v>
      </c>
      <c r="X34">
        <v>106.38936503117773</v>
      </c>
      <c r="Y34">
        <v>107.56416071274863</v>
      </c>
      <c r="Z34">
        <v>109.97376201969702</v>
      </c>
      <c r="AA34">
        <v>112.08208647142924</v>
      </c>
      <c r="AB34">
        <v>114.25977666755969</v>
      </c>
      <c r="AC34">
        <v>116.61042996441005</v>
      </c>
      <c r="AD34">
        <v>118.43371868916462</v>
      </c>
      <c r="AE34">
        <v>120.37957897888933</v>
      </c>
      <c r="AF34">
        <v>121.8955506913253</v>
      </c>
      <c r="AG34">
        <v>123.35722688551742</v>
      </c>
      <c r="AH34">
        <v>124.71464765773661</v>
      </c>
      <c r="AI34">
        <v>125.97068348384281</v>
      </c>
      <c r="AJ34">
        <v>127.30680748503903</v>
      </c>
      <c r="AK34">
        <v>128.58365589238741</v>
      </c>
      <c r="AL34">
        <v>129.9274835305292</v>
      </c>
      <c r="AM34">
        <v>131.24869952987589</v>
      </c>
      <c r="AN34">
        <v>132.55018692512411</v>
      </c>
      <c r="AO34">
        <v>133.82217500132188</v>
      </c>
      <c r="AP34">
        <v>135.0134851293837</v>
      </c>
      <c r="AQ34">
        <v>136.14951610757618</v>
      </c>
      <c r="AR34">
        <v>137.20019350782616</v>
      </c>
      <c r="AS34">
        <v>138.18996294904366</v>
      </c>
      <c r="AT34">
        <v>139.12668658883044</v>
      </c>
      <c r="AU34">
        <v>140.0225807378051</v>
      </c>
      <c r="AV34">
        <v>140.89862847651204</v>
      </c>
      <c r="AW34">
        <v>141.7553414954333</v>
      </c>
      <c r="AX34">
        <v>142.60210100918636</v>
      </c>
      <c r="AY34">
        <v>143.43254564923726</v>
      </c>
      <c r="BA34" s="1">
        <v>-1</v>
      </c>
      <c r="BB34" t="str">
        <f t="shared" si="0"/>
        <v>Pa - Sudoeste Paraense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144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</row>
    <row r="35" spans="1:103" x14ac:dyDescent="0.25">
      <c r="A35" t="s">
        <v>20</v>
      </c>
      <c r="B35" t="s">
        <v>4</v>
      </c>
      <c r="C35">
        <v>760.11364084037166</v>
      </c>
      <c r="D35">
        <v>590.00053602122739</v>
      </c>
      <c r="E35">
        <v>458.38898197457701</v>
      </c>
      <c r="F35">
        <v>462.69296377183406</v>
      </c>
      <c r="G35">
        <v>319.12056272013751</v>
      </c>
      <c r="H35">
        <v>487.1593343295184</v>
      </c>
      <c r="I35">
        <v>429.14940425895981</v>
      </c>
      <c r="J35">
        <v>489.62748501623992</v>
      </c>
      <c r="K35">
        <v>505.51203082551996</v>
      </c>
      <c r="L35">
        <v>498.67770925951203</v>
      </c>
      <c r="M35">
        <v>530.7985649878334</v>
      </c>
      <c r="N35">
        <v>486.07398962461281</v>
      </c>
      <c r="O35">
        <v>485.91721104305975</v>
      </c>
      <c r="P35">
        <v>461.24668445793873</v>
      </c>
      <c r="Q35">
        <v>454.37083930631269</v>
      </c>
      <c r="R35">
        <v>458.83035208841312</v>
      </c>
      <c r="S35">
        <v>455.83088575950802</v>
      </c>
      <c r="T35">
        <v>470.14308908001834</v>
      </c>
      <c r="U35">
        <v>474.42732430080679</v>
      </c>
      <c r="V35">
        <v>484.33963214152988</v>
      </c>
      <c r="W35">
        <v>489.45041659449168</v>
      </c>
      <c r="X35">
        <v>490.42116323093876</v>
      </c>
      <c r="Y35">
        <v>491.6396020509892</v>
      </c>
      <c r="Z35">
        <v>487.81234864992683</v>
      </c>
      <c r="AA35">
        <v>485.61744382901969</v>
      </c>
      <c r="AB35">
        <v>481.99452044375118</v>
      </c>
      <c r="AC35">
        <v>479.8437748585439</v>
      </c>
      <c r="AD35">
        <v>479.48869091764817</v>
      </c>
      <c r="AE35">
        <v>480.05654901287073</v>
      </c>
      <c r="AF35">
        <v>482.55995646682891</v>
      </c>
      <c r="AG35">
        <v>485.05646310247755</v>
      </c>
      <c r="AH35">
        <v>487.79315383257756</v>
      </c>
      <c r="AI35">
        <v>489.78342169559153</v>
      </c>
      <c r="AJ35">
        <v>490.79667149641983</v>
      </c>
      <c r="AK35">
        <v>491.06742183874127</v>
      </c>
      <c r="AL35">
        <v>490.52778634044768</v>
      </c>
      <c r="AM35">
        <v>489.84089513284965</v>
      </c>
      <c r="AN35">
        <v>489.15027989584075</v>
      </c>
      <c r="AO35">
        <v>488.80860207452969</v>
      </c>
      <c r="AP35">
        <v>488.91676483024122</v>
      </c>
      <c r="AQ35">
        <v>489.39857594938383</v>
      </c>
      <c r="AR35">
        <v>490.20393293611073</v>
      </c>
      <c r="AS35">
        <v>491.0968362106687</v>
      </c>
      <c r="AT35">
        <v>491.96241853912517</v>
      </c>
      <c r="AU35">
        <v>492.65760645700021</v>
      </c>
      <c r="AV35">
        <v>493.12447635594219</v>
      </c>
      <c r="AW35">
        <v>493.37707831796138</v>
      </c>
      <c r="AX35">
        <v>493.45052361487876</v>
      </c>
      <c r="AY35">
        <v>493.44060472425338</v>
      </c>
      <c r="BA35" s="1">
        <v>1</v>
      </c>
      <c r="BB35" t="str">
        <f t="shared" si="0"/>
        <v>Pa - Sudeste Paraense</v>
      </c>
      <c r="BC35" s="3">
        <v>752.14140541872291</v>
      </c>
      <c r="BD35" s="3">
        <v>504.97746128258427</v>
      </c>
      <c r="BE35" s="3">
        <v>88.376068018003082</v>
      </c>
      <c r="BF35" s="3">
        <v>281.79969859136133</v>
      </c>
      <c r="BG35" s="3">
        <v>60.373350834123983</v>
      </c>
      <c r="BH35" s="3">
        <v>188.87722550180223</v>
      </c>
      <c r="BI35" s="3">
        <v>125.8141740047073</v>
      </c>
      <c r="BJ35" s="3">
        <v>141.85423755373762</v>
      </c>
      <c r="BK35" s="3">
        <v>220.2942260937794</v>
      </c>
      <c r="BL35" s="3">
        <v>173.7360662361159</v>
      </c>
      <c r="BM35" s="3">
        <v>219.16712495936247</v>
      </c>
      <c r="BN35" s="3">
        <v>168.07674956250804</v>
      </c>
      <c r="BO35" s="3">
        <v>158.89349168365345</v>
      </c>
      <c r="BP35" s="3">
        <v>138.67866937450498</v>
      </c>
      <c r="BQ35" s="3">
        <v>106.87046314464374</v>
      </c>
      <c r="BR35" s="3">
        <v>102.91197084614328</v>
      </c>
      <c r="BS35" s="3">
        <v>78.069809778407262</v>
      </c>
      <c r="BT35" s="3">
        <v>77.418810224334777</v>
      </c>
      <c r="BU35" s="3">
        <v>70.402757420054058</v>
      </c>
      <c r="BV35" s="3">
        <v>68.233470128653096</v>
      </c>
      <c r="BW35" s="3">
        <v>69.906743882937405</v>
      </c>
      <c r="BX35" s="3">
        <v>64.997900180802958</v>
      </c>
      <c r="BY35" s="3">
        <v>63.718163662686493</v>
      </c>
      <c r="BZ35" s="3">
        <v>55.287454321581492</v>
      </c>
      <c r="CA35" s="3">
        <v>46.740722971696698</v>
      </c>
      <c r="CB35" s="3">
        <v>36.306776167704243</v>
      </c>
      <c r="CC35" s="3">
        <v>25.178500612873677</v>
      </c>
      <c r="CD35" s="3">
        <v>16.584947815871487</v>
      </c>
      <c r="CE35" s="3">
        <v>8.5505294083160948</v>
      </c>
      <c r="CF35" s="3">
        <v>3.446271405620962</v>
      </c>
      <c r="CG35" s="3">
        <v>-0.68197554077704581</v>
      </c>
      <c r="CH35" s="3">
        <v>-3.882087476983429</v>
      </c>
      <c r="CI35" s="3">
        <v>-6.7936322553587161</v>
      </c>
      <c r="CJ35" s="3">
        <v>-10.398925717504369</v>
      </c>
      <c r="CK35" s="3">
        <v>-14.330866446703112</v>
      </c>
      <c r="CL35" s="3">
        <v>-19.09628437982002</v>
      </c>
      <c r="CM35" s="3">
        <v>-24.15184638305476</v>
      </c>
      <c r="CN35" s="3">
        <v>-29.360603234366408</v>
      </c>
      <c r="CO35" s="3">
        <v>-34.458269769698461</v>
      </c>
      <c r="CP35" s="3">
        <v>-39.11656935042646</v>
      </c>
      <c r="CQ35" s="3">
        <v>-43.348987357862711</v>
      </c>
      <c r="CR35" s="3">
        <v>-47.013878321503512</v>
      </c>
      <c r="CS35" s="3">
        <v>-50.258497888502234</v>
      </c>
      <c r="CT35" s="3">
        <v>-53.181750855998359</v>
      </c>
      <c r="CU35" s="3">
        <v>-55.934467886075879</v>
      </c>
      <c r="CV35" s="3">
        <v>-58.681478315024151</v>
      </c>
      <c r="CW35" s="3">
        <v>-61.484302752617282</v>
      </c>
      <c r="CX35" s="3">
        <v>-64.401387001020908</v>
      </c>
      <c r="CY35" s="3">
        <v>-67.386743322920324</v>
      </c>
    </row>
    <row r="36" spans="1:103" x14ac:dyDescent="0.25">
      <c r="A36" t="s">
        <v>20</v>
      </c>
      <c r="B36" t="s">
        <v>5</v>
      </c>
      <c r="C36">
        <v>7.9722354216487465</v>
      </c>
      <c r="D36">
        <v>85.023074738643103</v>
      </c>
      <c r="E36">
        <v>370.01291395657393</v>
      </c>
      <c r="F36">
        <v>180.89326518047275</v>
      </c>
      <c r="G36">
        <v>258.74721188601353</v>
      </c>
      <c r="H36">
        <v>298.28210882771617</v>
      </c>
      <c r="I36">
        <v>303.33523025425251</v>
      </c>
      <c r="J36">
        <v>347.7732474625023</v>
      </c>
      <c r="K36">
        <v>285.21780473174056</v>
      </c>
      <c r="L36">
        <v>324.94164302339613</v>
      </c>
      <c r="M36">
        <v>311.63144002847093</v>
      </c>
      <c r="N36">
        <v>317.99724006210477</v>
      </c>
      <c r="O36">
        <v>327.0237193594063</v>
      </c>
      <c r="P36">
        <v>322.56801508343375</v>
      </c>
      <c r="Q36">
        <v>347.50037616166895</v>
      </c>
      <c r="R36">
        <v>355.91838124226985</v>
      </c>
      <c r="S36">
        <v>377.76107598110076</v>
      </c>
      <c r="T36">
        <v>392.72427885568356</v>
      </c>
      <c r="U36">
        <v>404.02456688075273</v>
      </c>
      <c r="V36">
        <v>416.10616201287678</v>
      </c>
      <c r="W36">
        <v>419.54367271155428</v>
      </c>
      <c r="X36">
        <v>425.4232630501358</v>
      </c>
      <c r="Y36">
        <v>427.9214383883027</v>
      </c>
      <c r="Z36">
        <v>432.52489432834534</v>
      </c>
      <c r="AA36">
        <v>438.87672085732299</v>
      </c>
      <c r="AB36">
        <v>445.68774427604694</v>
      </c>
      <c r="AC36">
        <v>454.66527424567022</v>
      </c>
      <c r="AD36">
        <v>462.90374310177668</v>
      </c>
      <c r="AE36">
        <v>471.50601960455464</v>
      </c>
      <c r="AF36">
        <v>479.11368506120795</v>
      </c>
      <c r="AG36">
        <v>485.7384386432546</v>
      </c>
      <c r="AH36">
        <v>491.67524130956099</v>
      </c>
      <c r="AI36">
        <v>496.57705395095024</v>
      </c>
      <c r="AJ36">
        <v>501.1955972139242</v>
      </c>
      <c r="AK36">
        <v>505.39828828544438</v>
      </c>
      <c r="AL36">
        <v>509.6240707202677</v>
      </c>
      <c r="AM36">
        <v>513.99274151590441</v>
      </c>
      <c r="AN36">
        <v>518.51088313020716</v>
      </c>
      <c r="AO36">
        <v>523.26687184422815</v>
      </c>
      <c r="AP36">
        <v>528.03333418066768</v>
      </c>
      <c r="AQ36">
        <v>532.74756330724654</v>
      </c>
      <c r="AR36">
        <v>537.21781125761424</v>
      </c>
      <c r="AS36">
        <v>541.35533409917093</v>
      </c>
      <c r="AT36">
        <v>545.14416939512353</v>
      </c>
      <c r="AU36">
        <v>548.59207434307609</v>
      </c>
      <c r="AV36">
        <v>551.80595467096634</v>
      </c>
      <c r="AW36">
        <v>554.86138107057866</v>
      </c>
      <c r="AX36">
        <v>557.85191061589967</v>
      </c>
      <c r="AY36">
        <v>560.8273480471737</v>
      </c>
      <c r="BA36" s="1">
        <v>-1</v>
      </c>
      <c r="BB36" t="str">
        <f t="shared" si="0"/>
        <v>Pa - Sudeste Paraense</v>
      </c>
      <c r="BC36" s="3" t="s">
        <v>144</v>
      </c>
      <c r="BD36" s="3" t="s">
        <v>144</v>
      </c>
      <c r="BE36" s="3" t="s">
        <v>144</v>
      </c>
      <c r="BF36" s="3" t="s">
        <v>144</v>
      </c>
      <c r="BG36" s="3" t="s">
        <v>144</v>
      </c>
      <c r="BH36" s="3" t="s">
        <v>144</v>
      </c>
      <c r="BI36" s="3" t="s">
        <v>144</v>
      </c>
      <c r="BJ36" s="3" t="s">
        <v>144</v>
      </c>
      <c r="BK36" s="3" t="s">
        <v>144</v>
      </c>
      <c r="BL36" s="3" t="s">
        <v>144</v>
      </c>
      <c r="BM36" s="3" t="s">
        <v>144</v>
      </c>
      <c r="BN36" s="3" t="s">
        <v>144</v>
      </c>
      <c r="BO36" s="3" t="s">
        <v>144</v>
      </c>
      <c r="BP36" s="3" t="s">
        <v>144</v>
      </c>
      <c r="BQ36" s="3" t="s">
        <v>144</v>
      </c>
      <c r="BR36" s="3" t="s">
        <v>144</v>
      </c>
      <c r="BS36" s="3" t="s">
        <v>144</v>
      </c>
      <c r="BT36" s="3" t="s">
        <v>144</v>
      </c>
      <c r="BU36" s="3" t="s">
        <v>144</v>
      </c>
      <c r="BV36" s="3" t="s">
        <v>144</v>
      </c>
      <c r="BW36" s="3" t="s">
        <v>144</v>
      </c>
      <c r="BX36" s="3" t="s">
        <v>144</v>
      </c>
      <c r="BY36" s="3" t="s">
        <v>144</v>
      </c>
      <c r="BZ36" s="3" t="s">
        <v>144</v>
      </c>
      <c r="CA36" s="3" t="s">
        <v>144</v>
      </c>
      <c r="CB36" s="3" t="s">
        <v>144</v>
      </c>
      <c r="CC36" s="3" t="s">
        <v>144</v>
      </c>
      <c r="CD36" s="3" t="s">
        <v>144</v>
      </c>
      <c r="CE36" s="3" t="s">
        <v>144</v>
      </c>
      <c r="CF36" s="3" t="s">
        <v>144</v>
      </c>
      <c r="CG36" s="3" t="s">
        <v>144</v>
      </c>
      <c r="CH36" s="3" t="s">
        <v>144</v>
      </c>
      <c r="CI36" s="3" t="s">
        <v>144</v>
      </c>
      <c r="CJ36" s="3" t="s">
        <v>144</v>
      </c>
      <c r="CK36" s="3" t="s">
        <v>144</v>
      </c>
      <c r="CL36" s="3" t="s">
        <v>144</v>
      </c>
      <c r="CM36" s="3" t="s">
        <v>144</v>
      </c>
      <c r="CN36" s="3" t="s">
        <v>144</v>
      </c>
      <c r="CO36" s="3" t="s">
        <v>144</v>
      </c>
      <c r="CP36" s="3" t="s">
        <v>144</v>
      </c>
      <c r="CQ36" s="3" t="s">
        <v>144</v>
      </c>
      <c r="CR36" s="3" t="s">
        <v>144</v>
      </c>
      <c r="CS36" s="3" t="s">
        <v>144</v>
      </c>
      <c r="CT36" s="3" t="s">
        <v>144</v>
      </c>
      <c r="CU36" s="3" t="s">
        <v>144</v>
      </c>
      <c r="CV36" s="3" t="s">
        <v>144</v>
      </c>
      <c r="CW36" s="3" t="s">
        <v>144</v>
      </c>
      <c r="CX36" s="3" t="s">
        <v>144</v>
      </c>
      <c r="CY36" s="3" t="s">
        <v>144</v>
      </c>
    </row>
    <row r="37" spans="1:103" x14ac:dyDescent="0.25">
      <c r="A37" t="s">
        <v>21</v>
      </c>
      <c r="B37" t="s">
        <v>4</v>
      </c>
      <c r="C37">
        <v>14.08284847296795</v>
      </c>
      <c r="D37">
        <v>14.51799774384626</v>
      </c>
      <c r="E37">
        <v>13.853164632841915</v>
      </c>
      <c r="F37">
        <v>10.300299380668967</v>
      </c>
      <c r="G37">
        <v>7.6823812769886572</v>
      </c>
      <c r="H37">
        <v>8.38205313700721</v>
      </c>
      <c r="I37">
        <v>7.085675720330264</v>
      </c>
      <c r="J37">
        <v>7.2633699321357863</v>
      </c>
      <c r="K37">
        <v>6.7838528955121555</v>
      </c>
      <c r="L37">
        <v>6.8825658054988503</v>
      </c>
      <c r="M37">
        <v>7.0993129018919232</v>
      </c>
      <c r="N37">
        <v>6.6126449568868289</v>
      </c>
      <c r="O37">
        <v>6.4299680628812608</v>
      </c>
      <c r="P37">
        <v>5.8649559806069966</v>
      </c>
      <c r="Q37">
        <v>5.5568058487805212</v>
      </c>
      <c r="R37">
        <v>5.2116329411627778</v>
      </c>
      <c r="S37">
        <v>4.8367554527577603</v>
      </c>
      <c r="T37">
        <v>4.5906750814880279</v>
      </c>
      <c r="U37">
        <v>4.2784564514081209</v>
      </c>
      <c r="V37">
        <v>4.0907945286904575</v>
      </c>
      <c r="W37">
        <v>3.8854481579921831</v>
      </c>
      <c r="X37">
        <v>3.7149108302104525</v>
      </c>
      <c r="Y37">
        <v>3.5650315906512899</v>
      </c>
      <c r="Z37">
        <v>3.3879874849593232</v>
      </c>
      <c r="AA37">
        <v>3.2188264692335617</v>
      </c>
      <c r="AB37">
        <v>3.0095993561488319</v>
      </c>
      <c r="AC37">
        <v>2.7967854249029793</v>
      </c>
      <c r="AD37">
        <v>2.5791552290451367</v>
      </c>
      <c r="AE37">
        <v>2.370138253059443</v>
      </c>
      <c r="AF37">
        <v>2.1861436008944501</v>
      </c>
      <c r="AG37">
        <v>2.0188191404169502</v>
      </c>
      <c r="AH37">
        <v>1.8753001444551889</v>
      </c>
      <c r="AI37">
        <v>1.7425550635663729</v>
      </c>
      <c r="AJ37">
        <v>1.6168323480421123</v>
      </c>
      <c r="AK37">
        <v>1.492721667944108</v>
      </c>
      <c r="AL37">
        <v>1.3656919976411943</v>
      </c>
      <c r="AM37">
        <v>1.2380028104241076</v>
      </c>
      <c r="AN37">
        <v>1.1087620220406138</v>
      </c>
      <c r="AO37">
        <v>0.98159884215128668</v>
      </c>
      <c r="AP37">
        <v>0.85789793881070031</v>
      </c>
      <c r="AQ37">
        <v>0.73935796347176375</v>
      </c>
      <c r="AR37">
        <v>0.62749070866882473</v>
      </c>
      <c r="AS37">
        <v>0.52212907707154477</v>
      </c>
      <c r="AT37">
        <v>0.42352021540572454</v>
      </c>
      <c r="AU37">
        <v>0.33046160894487481</v>
      </c>
      <c r="AV37">
        <v>0.24188144282496904</v>
      </c>
      <c r="AW37">
        <v>0.15645980109686941</v>
      </c>
      <c r="AX37">
        <v>7.2996796502948574E-2</v>
      </c>
      <c r="AY37">
        <v>-9.0213469155226884E-3</v>
      </c>
      <c r="BA37" s="1">
        <v>1</v>
      </c>
      <c r="BB37" t="str">
        <f t="shared" si="0"/>
        <v>Ap - Norte do Amapa</v>
      </c>
      <c r="BC37" s="3">
        <v>28.533179694878903</v>
      </c>
      <c r="BD37" s="3">
        <v>19.367244608015266</v>
      </c>
      <c r="BE37" s="3">
        <v>10.715105314009467</v>
      </c>
      <c r="BF37" s="3">
        <v>5.3295093004985779</v>
      </c>
      <c r="BG37" s="3">
        <v>1.8710341478472019</v>
      </c>
      <c r="BH37" s="3">
        <v>6.6934469676202095</v>
      </c>
      <c r="BI37" s="3">
        <v>4.5486872232610178</v>
      </c>
      <c r="BJ37" s="3">
        <v>6.1468880892046771</v>
      </c>
      <c r="BK37" s="3">
        <v>6.5157306856470658</v>
      </c>
      <c r="BL37" s="3">
        <v>6.8590894596269241</v>
      </c>
      <c r="BM37" s="3">
        <v>7.6336746856630562</v>
      </c>
      <c r="BN37" s="3">
        <v>6.2262715807484525</v>
      </c>
      <c r="BO37" s="3">
        <v>6.049263805717854</v>
      </c>
      <c r="BP37" s="3">
        <v>5.1358543317491705</v>
      </c>
      <c r="BQ37" s="3">
        <v>4.8277317725562092</v>
      </c>
      <c r="BR37" s="3">
        <v>4.6572917866377299</v>
      </c>
      <c r="BS37" s="3">
        <v>4.3321197463208279</v>
      </c>
      <c r="BT37" s="3">
        <v>4.4715161311030975</v>
      </c>
      <c r="BU37" s="3">
        <v>4.3837201589140804</v>
      </c>
      <c r="BV37" s="3">
        <v>4.5303751219768573</v>
      </c>
      <c r="BW37" s="3">
        <v>4.5617680660331477</v>
      </c>
      <c r="BX37" s="3">
        <v>4.5386437613797277</v>
      </c>
      <c r="BY37" s="3">
        <v>4.5142690084920734</v>
      </c>
      <c r="BZ37" s="3">
        <v>4.3439251550731282</v>
      </c>
      <c r="CA37" s="3">
        <v>4.1897774158630261</v>
      </c>
      <c r="CB37" s="3">
        <v>3.9618560407426191</v>
      </c>
      <c r="CC37" s="3">
        <v>3.7644338999748035</v>
      </c>
      <c r="CD37" s="3">
        <v>3.6082790977529755</v>
      </c>
      <c r="CE37" s="3">
        <v>3.4915778620107436</v>
      </c>
      <c r="CF37" s="3">
        <v>3.4430892043865713</v>
      </c>
      <c r="CG37" s="3">
        <v>3.4121072053148374</v>
      </c>
      <c r="CH37" s="3">
        <v>3.4041425381871835</v>
      </c>
      <c r="CI37" s="3">
        <v>3.3843315642600342</v>
      </c>
      <c r="CJ37" s="3">
        <v>3.3443570181563489</v>
      </c>
      <c r="CK37" s="3">
        <v>3.2844185248149858</v>
      </c>
      <c r="CL37" s="3">
        <v>3.2013935264952327</v>
      </c>
      <c r="CM37" s="3">
        <v>3.1119412330024745</v>
      </c>
      <c r="CN37" s="3">
        <v>3.0195104583619359</v>
      </c>
      <c r="CO37" s="3">
        <v>2.9353138100238212</v>
      </c>
      <c r="CP37" s="3">
        <v>2.8630998749037513</v>
      </c>
      <c r="CQ37" s="3">
        <v>2.8033895524747368</v>
      </c>
      <c r="CR37" s="3">
        <v>2.7564896302071431</v>
      </c>
      <c r="CS37" s="3">
        <v>2.7173014294119575</v>
      </c>
      <c r="CT37" s="3">
        <v>2.6830862884660731</v>
      </c>
      <c r="CU37" s="3">
        <v>2.6490972202656775</v>
      </c>
      <c r="CV37" s="3">
        <v>2.6125343371369762</v>
      </c>
      <c r="CW37" s="3">
        <v>2.5720735878741356</v>
      </c>
      <c r="CX37" s="3">
        <v>2.5274090927411348</v>
      </c>
      <c r="CY37" s="3">
        <v>2.4803997299007885</v>
      </c>
    </row>
    <row r="38" spans="1:103" x14ac:dyDescent="0.25">
      <c r="A38" t="s">
        <v>21</v>
      </c>
      <c r="B38" t="s">
        <v>5</v>
      </c>
      <c r="C38">
        <v>-14.450331221910952</v>
      </c>
      <c r="D38">
        <v>-4.8492468641690065</v>
      </c>
      <c r="E38">
        <v>3.138059318832449</v>
      </c>
      <c r="F38">
        <v>4.9707900801703895</v>
      </c>
      <c r="G38">
        <v>5.8113471291414553</v>
      </c>
      <c r="H38">
        <v>1.6886061693870005</v>
      </c>
      <c r="I38">
        <v>2.5369884970692458</v>
      </c>
      <c r="J38">
        <v>1.1164818429311092</v>
      </c>
      <c r="K38">
        <v>0.26812220986508983</v>
      </c>
      <c r="L38">
        <v>2.3476345871926187E-2</v>
      </c>
      <c r="M38">
        <v>-0.53436178377113264</v>
      </c>
      <c r="N38">
        <v>0.38637337613837675</v>
      </c>
      <c r="O38">
        <v>0.38070425716340656</v>
      </c>
      <c r="P38">
        <v>0.72910164885782569</v>
      </c>
      <c r="Q38">
        <v>0.72907407622431164</v>
      </c>
      <c r="R38">
        <v>0.5543411545250474</v>
      </c>
      <c r="S38">
        <v>0.50463570643693234</v>
      </c>
      <c r="T38">
        <v>0.11915895038493053</v>
      </c>
      <c r="U38">
        <v>-0.10526370750595941</v>
      </c>
      <c r="V38">
        <v>-0.43958059328640003</v>
      </c>
      <c r="W38">
        <v>-0.67631990804096431</v>
      </c>
      <c r="X38">
        <v>-0.82373293116927526</v>
      </c>
      <c r="Y38">
        <v>-0.94923741784078297</v>
      </c>
      <c r="Z38">
        <v>-0.95593767011380537</v>
      </c>
      <c r="AA38">
        <v>-0.97095094662946402</v>
      </c>
      <c r="AB38">
        <v>-0.95225668459378721</v>
      </c>
      <c r="AC38">
        <v>-0.96764847507182428</v>
      </c>
      <c r="AD38">
        <v>-1.0291238687078388</v>
      </c>
      <c r="AE38">
        <v>-1.1214396089513006</v>
      </c>
      <c r="AF38">
        <v>-1.2569456034921211</v>
      </c>
      <c r="AG38">
        <v>-1.3932880648978871</v>
      </c>
      <c r="AH38">
        <v>-1.5288423937319946</v>
      </c>
      <c r="AI38">
        <v>-1.6417765006936613</v>
      </c>
      <c r="AJ38">
        <v>-1.7275246701142364</v>
      </c>
      <c r="AK38">
        <v>-1.7916968568708778</v>
      </c>
      <c r="AL38">
        <v>-1.8357015288540386</v>
      </c>
      <c r="AM38">
        <v>-1.8739384225783668</v>
      </c>
      <c r="AN38">
        <v>-1.9107484363213221</v>
      </c>
      <c r="AO38">
        <v>-1.9537149678725347</v>
      </c>
      <c r="AP38">
        <v>-2.0052019360930511</v>
      </c>
      <c r="AQ38">
        <v>-2.064031589002973</v>
      </c>
      <c r="AR38">
        <v>-2.1289989215383183</v>
      </c>
      <c r="AS38">
        <v>-2.1951723523404127</v>
      </c>
      <c r="AT38">
        <v>-2.2595660730603484</v>
      </c>
      <c r="AU38">
        <v>-2.3186356113208029</v>
      </c>
      <c r="AV38">
        <v>-2.3706528943120073</v>
      </c>
      <c r="AW38">
        <v>-2.4156137867772665</v>
      </c>
      <c r="AX38">
        <v>-2.454412296238186</v>
      </c>
      <c r="AY38">
        <v>-2.4894210768163112</v>
      </c>
      <c r="BA38" s="1">
        <v>-1</v>
      </c>
      <c r="BB38" t="str">
        <f t="shared" si="0"/>
        <v>Ap - Norte do Amapa</v>
      </c>
      <c r="BC38" s="3" t="s">
        <v>144</v>
      </c>
      <c r="BD38" s="3" t="s">
        <v>144</v>
      </c>
      <c r="BE38" s="3" t="s">
        <v>144</v>
      </c>
      <c r="BF38" s="3" t="s">
        <v>144</v>
      </c>
      <c r="BG38" s="3" t="s">
        <v>144</v>
      </c>
      <c r="BH38" s="3" t="s">
        <v>144</v>
      </c>
      <c r="BI38" s="3" t="s">
        <v>144</v>
      </c>
      <c r="BJ38" s="3" t="s">
        <v>144</v>
      </c>
      <c r="BK38" s="3" t="s">
        <v>144</v>
      </c>
      <c r="BL38" s="3" t="s">
        <v>144</v>
      </c>
      <c r="BM38" s="3" t="s">
        <v>144</v>
      </c>
      <c r="BN38" s="3" t="s">
        <v>144</v>
      </c>
      <c r="BO38" s="3" t="s">
        <v>144</v>
      </c>
      <c r="BP38" s="3" t="s">
        <v>144</v>
      </c>
      <c r="BQ38" s="3" t="s">
        <v>144</v>
      </c>
      <c r="BR38" s="3" t="s">
        <v>144</v>
      </c>
      <c r="BS38" s="3" t="s">
        <v>144</v>
      </c>
      <c r="BT38" s="3" t="s">
        <v>144</v>
      </c>
      <c r="BU38" s="3" t="s">
        <v>144</v>
      </c>
      <c r="BV38" s="3" t="s">
        <v>144</v>
      </c>
      <c r="BW38" s="3" t="s">
        <v>144</v>
      </c>
      <c r="BX38" s="3" t="s">
        <v>144</v>
      </c>
      <c r="BY38" s="3" t="s">
        <v>144</v>
      </c>
      <c r="BZ38" s="3" t="s">
        <v>144</v>
      </c>
      <c r="CA38" s="3" t="s">
        <v>144</v>
      </c>
      <c r="CB38" s="3" t="s">
        <v>144</v>
      </c>
      <c r="CC38" s="3" t="s">
        <v>144</v>
      </c>
      <c r="CD38" s="3" t="s">
        <v>144</v>
      </c>
      <c r="CE38" s="3" t="s">
        <v>144</v>
      </c>
      <c r="CF38" s="3" t="s">
        <v>144</v>
      </c>
      <c r="CG38" s="3" t="s">
        <v>144</v>
      </c>
      <c r="CH38" s="3" t="s">
        <v>144</v>
      </c>
      <c r="CI38" s="3" t="s">
        <v>144</v>
      </c>
      <c r="CJ38" s="3" t="s">
        <v>144</v>
      </c>
      <c r="CK38" s="3" t="s">
        <v>144</v>
      </c>
      <c r="CL38" s="3" t="s">
        <v>144</v>
      </c>
      <c r="CM38" s="3" t="s">
        <v>144</v>
      </c>
      <c r="CN38" s="3" t="s">
        <v>144</v>
      </c>
      <c r="CO38" s="3" t="s">
        <v>144</v>
      </c>
      <c r="CP38" s="3" t="s">
        <v>144</v>
      </c>
      <c r="CQ38" s="3" t="s">
        <v>144</v>
      </c>
      <c r="CR38" s="3" t="s">
        <v>144</v>
      </c>
      <c r="CS38" s="3" t="s">
        <v>144</v>
      </c>
      <c r="CT38" s="3" t="s">
        <v>144</v>
      </c>
      <c r="CU38" s="3" t="s">
        <v>144</v>
      </c>
      <c r="CV38" s="3" t="s">
        <v>144</v>
      </c>
      <c r="CW38" s="3" t="s">
        <v>144</v>
      </c>
      <c r="CX38" s="3" t="s">
        <v>144</v>
      </c>
      <c r="CY38" s="3" t="s">
        <v>144</v>
      </c>
    </row>
    <row r="39" spans="1:103" x14ac:dyDescent="0.25">
      <c r="A39" t="s">
        <v>22</v>
      </c>
      <c r="B39" t="s">
        <v>4</v>
      </c>
      <c r="C39">
        <v>154.68462205505065</v>
      </c>
      <c r="D39">
        <v>179.6379894372445</v>
      </c>
      <c r="E39">
        <v>174.86318943372009</v>
      </c>
      <c r="F39">
        <v>178.03118367370294</v>
      </c>
      <c r="G39">
        <v>150.13222131579596</v>
      </c>
      <c r="H39">
        <v>201.87908159967526</v>
      </c>
      <c r="I39">
        <v>189.00245352484208</v>
      </c>
      <c r="J39">
        <v>201.33036130944171</v>
      </c>
      <c r="K39">
        <v>202.62014165424932</v>
      </c>
      <c r="L39">
        <v>202.23097326238027</v>
      </c>
      <c r="M39">
        <v>211.0531651046565</v>
      </c>
      <c r="N39">
        <v>200.84005532824173</v>
      </c>
      <c r="O39">
        <v>201.49719836705313</v>
      </c>
      <c r="P39">
        <v>196.1445591605972</v>
      </c>
      <c r="Q39">
        <v>195.79845013967815</v>
      </c>
      <c r="R39">
        <v>198.11073364332805</v>
      </c>
      <c r="S39">
        <v>198.7639960175932</v>
      </c>
      <c r="T39">
        <v>203.46762160817855</v>
      </c>
      <c r="U39">
        <v>205.46188898264239</v>
      </c>
      <c r="V39">
        <v>208.58076216272642</v>
      </c>
      <c r="W39">
        <v>210.13703005664837</v>
      </c>
      <c r="X39">
        <v>210.57056527128805</v>
      </c>
      <c r="Y39">
        <v>211.04663581696542</v>
      </c>
      <c r="Z39">
        <v>210.46366227602894</v>
      </c>
      <c r="AA39">
        <v>210.48516922791939</v>
      </c>
      <c r="AB39">
        <v>210.29268147625683</v>
      </c>
      <c r="AC39">
        <v>210.54079025682739</v>
      </c>
      <c r="AD39">
        <v>211.18907540134416</v>
      </c>
      <c r="AE39">
        <v>211.98605533886092</v>
      </c>
      <c r="AF39">
        <v>213.14473903751755</v>
      </c>
      <c r="AG39">
        <v>214.20252482146444</v>
      </c>
      <c r="AH39">
        <v>215.25450394502786</v>
      </c>
      <c r="AI39">
        <v>216.0834746725547</v>
      </c>
      <c r="AJ39">
        <v>216.66452841730262</v>
      </c>
      <c r="AK39">
        <v>217.06474518131077</v>
      </c>
      <c r="AL39">
        <v>217.27813563915382</v>
      </c>
      <c r="AM39">
        <v>217.46976343295091</v>
      </c>
      <c r="AN39">
        <v>217.67247031070079</v>
      </c>
      <c r="AO39">
        <v>217.96870741513354</v>
      </c>
      <c r="AP39">
        <v>218.37201574292175</v>
      </c>
      <c r="AQ39">
        <v>218.85352610699931</v>
      </c>
      <c r="AR39">
        <v>219.39009193507076</v>
      </c>
      <c r="AS39">
        <v>219.91793164794856</v>
      </c>
      <c r="AT39">
        <v>220.40905463136389</v>
      </c>
      <c r="AU39">
        <v>220.83354500262269</v>
      </c>
      <c r="AV39">
        <v>221.18650596796189</v>
      </c>
      <c r="AW39">
        <v>221.48026080526131</v>
      </c>
      <c r="AX39">
        <v>221.73019262017749</v>
      </c>
      <c r="AY39">
        <v>221.9624480801329</v>
      </c>
      <c r="BA39" s="1">
        <v>1</v>
      </c>
      <c r="BB39" t="str">
        <f t="shared" si="0"/>
        <v>Ap - Sul do Amapa</v>
      </c>
      <c r="BC39" s="3">
        <v>112.86753952098168</v>
      </c>
      <c r="BD39" s="3">
        <v>179.96344904397648</v>
      </c>
      <c r="BE39" s="3">
        <v>70.027572509580409</v>
      </c>
      <c r="BF39" s="3">
        <v>126.90786006593686</v>
      </c>
      <c r="BG39" s="3">
        <v>46.29742966666339</v>
      </c>
      <c r="BH39" s="3">
        <v>89.930480577963962</v>
      </c>
      <c r="BI39" s="3">
        <v>77.571598239506969</v>
      </c>
      <c r="BJ39" s="3">
        <v>60.887063346407615</v>
      </c>
      <c r="BK39" s="3">
        <v>79.376606476320887</v>
      </c>
      <c r="BL39" s="3">
        <v>58.869401643681442</v>
      </c>
      <c r="BM39" s="3">
        <v>73.467294598186442</v>
      </c>
      <c r="BN39" s="3">
        <v>59.745549659729932</v>
      </c>
      <c r="BO39" s="3">
        <v>56.225376092973534</v>
      </c>
      <c r="BP39" s="3">
        <v>54.044158528684846</v>
      </c>
      <c r="BQ39" s="3">
        <v>45.765491758773692</v>
      </c>
      <c r="BR39" s="3">
        <v>47.557050989374574</v>
      </c>
      <c r="BS39" s="3">
        <v>41.146372090790862</v>
      </c>
      <c r="BT39" s="3">
        <v>40.752466805303442</v>
      </c>
      <c r="BU39" s="3">
        <v>38.201085200774912</v>
      </c>
      <c r="BV39" s="3">
        <v>35.713834217326195</v>
      </c>
      <c r="BW39" s="3">
        <v>34.933541036848993</v>
      </c>
      <c r="BX39" s="3">
        <v>31.957779766666533</v>
      </c>
      <c r="BY39" s="3">
        <v>30.879625293948948</v>
      </c>
      <c r="BZ39" s="3">
        <v>28.417486874230292</v>
      </c>
      <c r="CA39" s="3">
        <v>26.369041793030675</v>
      </c>
      <c r="CB39" s="3">
        <v>24.247102726959838</v>
      </c>
      <c r="CC39" s="3">
        <v>21.742420509319061</v>
      </c>
      <c r="CD39" s="3">
        <v>19.86782757034635</v>
      </c>
      <c r="CE39" s="3">
        <v>17.766693773321634</v>
      </c>
      <c r="CF39" s="3">
        <v>16.192467551373767</v>
      </c>
      <c r="CG39" s="3">
        <v>14.692314764397281</v>
      </c>
      <c r="CH39" s="3">
        <v>13.308661651752516</v>
      </c>
      <c r="CI39" s="3">
        <v>12.061598365678407</v>
      </c>
      <c r="CJ39" s="3">
        <v>10.687944742014423</v>
      </c>
      <c r="CK39" s="3">
        <v>9.3776342741830376</v>
      </c>
      <c r="CL39" s="3">
        <v>7.9716393314905361</v>
      </c>
      <c r="CM39" s="3">
        <v>6.5914721578251658</v>
      </c>
      <c r="CN39" s="3">
        <v>5.2443862745768683</v>
      </c>
      <c r="CO39" s="3">
        <v>3.9331974780537848</v>
      </c>
      <c r="CP39" s="3">
        <v>2.7198609317997864</v>
      </c>
      <c r="CQ39" s="3">
        <v>1.5593618344810238</v>
      </c>
      <c r="CR39" s="3">
        <v>0.48533818911658955</v>
      </c>
      <c r="CS39" s="3">
        <v>-0.53289076400395174</v>
      </c>
      <c r="CT39" s="3">
        <v>-1.5018475223349412</v>
      </c>
      <c r="CU39" s="3">
        <v>-2.4284465752038784</v>
      </c>
      <c r="CV39" s="3">
        <v>-3.3343916594762106</v>
      </c>
      <c r="CW39" s="3">
        <v>-4.2162890253976286</v>
      </c>
      <c r="CX39" s="3">
        <v>-5.0863188489382765</v>
      </c>
      <c r="CY39" s="3">
        <v>-5.9387239277980086</v>
      </c>
    </row>
    <row r="40" spans="1:103" x14ac:dyDescent="0.25">
      <c r="A40" t="s">
        <v>22</v>
      </c>
      <c r="B40" t="s">
        <v>5</v>
      </c>
      <c r="C40">
        <v>41.817082534068973</v>
      </c>
      <c r="D40">
        <v>-0.32545960673198332</v>
      </c>
      <c r="E40">
        <v>104.83561692413969</v>
      </c>
      <c r="F40">
        <v>51.123323607766089</v>
      </c>
      <c r="G40">
        <v>103.83479164913257</v>
      </c>
      <c r="H40">
        <v>111.9486010217113</v>
      </c>
      <c r="I40">
        <v>111.43085528533511</v>
      </c>
      <c r="J40">
        <v>140.4432979630341</v>
      </c>
      <c r="K40">
        <v>123.24353517792844</v>
      </c>
      <c r="L40">
        <v>143.36157161869883</v>
      </c>
      <c r="M40">
        <v>137.58587050647006</v>
      </c>
      <c r="N40">
        <v>141.0945056685118</v>
      </c>
      <c r="O40">
        <v>145.2718222740796</v>
      </c>
      <c r="P40">
        <v>142.10040063191235</v>
      </c>
      <c r="Q40">
        <v>150.03295838090446</v>
      </c>
      <c r="R40">
        <v>150.55368265395347</v>
      </c>
      <c r="S40">
        <v>157.61762392680234</v>
      </c>
      <c r="T40">
        <v>162.71515480287511</v>
      </c>
      <c r="U40">
        <v>167.26080378186748</v>
      </c>
      <c r="V40">
        <v>172.86692794540022</v>
      </c>
      <c r="W40">
        <v>175.20348901979938</v>
      </c>
      <c r="X40">
        <v>178.61278550462151</v>
      </c>
      <c r="Y40">
        <v>180.16701052301647</v>
      </c>
      <c r="Z40">
        <v>182.04617540179865</v>
      </c>
      <c r="AA40">
        <v>184.11612743488871</v>
      </c>
      <c r="AB40">
        <v>186.04557874929699</v>
      </c>
      <c r="AC40">
        <v>188.79836974750833</v>
      </c>
      <c r="AD40">
        <v>191.32124783099781</v>
      </c>
      <c r="AE40">
        <v>194.21936156553929</v>
      </c>
      <c r="AF40">
        <v>196.95227148614379</v>
      </c>
      <c r="AG40">
        <v>199.51021005706716</v>
      </c>
      <c r="AH40">
        <v>201.94584229327535</v>
      </c>
      <c r="AI40">
        <v>204.02187630687629</v>
      </c>
      <c r="AJ40">
        <v>205.9765836752882</v>
      </c>
      <c r="AK40">
        <v>207.68711090712773</v>
      </c>
      <c r="AL40">
        <v>209.30649630766328</v>
      </c>
      <c r="AM40">
        <v>210.87829127512575</v>
      </c>
      <c r="AN40">
        <v>212.42808403612392</v>
      </c>
      <c r="AO40">
        <v>214.03550993707975</v>
      </c>
      <c r="AP40">
        <v>215.65215481112196</v>
      </c>
      <c r="AQ40">
        <v>217.29416427251829</v>
      </c>
      <c r="AR40">
        <v>218.90475374595417</v>
      </c>
      <c r="AS40">
        <v>220.45082241195252</v>
      </c>
      <c r="AT40">
        <v>221.91090215369883</v>
      </c>
      <c r="AU40">
        <v>223.26199157782656</v>
      </c>
      <c r="AV40">
        <v>224.5208976274381</v>
      </c>
      <c r="AW40">
        <v>225.69654983065894</v>
      </c>
      <c r="AX40">
        <v>226.81651146911577</v>
      </c>
      <c r="AY40">
        <v>227.90117200793091</v>
      </c>
      <c r="BA40" s="1">
        <v>-1</v>
      </c>
      <c r="BB40" t="str">
        <f t="shared" si="0"/>
        <v>Ap - Sul do Amapa</v>
      </c>
      <c r="BC40" s="3" t="s">
        <v>144</v>
      </c>
      <c r="BD40" s="3" t="s">
        <v>144</v>
      </c>
      <c r="BE40" s="3" t="s">
        <v>144</v>
      </c>
      <c r="BF40" s="3" t="s">
        <v>144</v>
      </c>
      <c r="BG40" s="3" t="s">
        <v>144</v>
      </c>
      <c r="BH40" s="3" t="s">
        <v>144</v>
      </c>
      <c r="BI40" s="3" t="s">
        <v>144</v>
      </c>
      <c r="BJ40" s="3" t="s">
        <v>144</v>
      </c>
      <c r="BK40" s="3" t="s">
        <v>144</v>
      </c>
      <c r="BL40" s="3" t="s">
        <v>144</v>
      </c>
      <c r="BM40" s="3" t="s">
        <v>144</v>
      </c>
      <c r="BN40" s="3" t="s">
        <v>144</v>
      </c>
      <c r="BO40" s="3" t="s">
        <v>144</v>
      </c>
      <c r="BP40" s="3" t="s">
        <v>144</v>
      </c>
      <c r="BQ40" s="3" t="s">
        <v>144</v>
      </c>
      <c r="BR40" s="3" t="s">
        <v>144</v>
      </c>
      <c r="BS40" s="3" t="s">
        <v>144</v>
      </c>
      <c r="BT40" s="3" t="s">
        <v>144</v>
      </c>
      <c r="BU40" s="3" t="s">
        <v>144</v>
      </c>
      <c r="BV40" s="3" t="s">
        <v>144</v>
      </c>
      <c r="BW40" s="3" t="s">
        <v>144</v>
      </c>
      <c r="BX40" s="3" t="s">
        <v>144</v>
      </c>
      <c r="BY40" s="3" t="s">
        <v>144</v>
      </c>
      <c r="BZ40" s="3" t="s">
        <v>144</v>
      </c>
      <c r="CA40" s="3" t="s">
        <v>144</v>
      </c>
      <c r="CB40" s="3" t="s">
        <v>144</v>
      </c>
      <c r="CC40" s="3" t="s">
        <v>144</v>
      </c>
      <c r="CD40" s="3" t="s">
        <v>144</v>
      </c>
      <c r="CE40" s="3" t="s">
        <v>144</v>
      </c>
      <c r="CF40" s="3" t="s">
        <v>144</v>
      </c>
      <c r="CG40" s="3" t="s">
        <v>144</v>
      </c>
      <c r="CH40" s="3" t="s">
        <v>144</v>
      </c>
      <c r="CI40" s="3" t="s">
        <v>144</v>
      </c>
      <c r="CJ40" s="3" t="s">
        <v>144</v>
      </c>
      <c r="CK40" s="3" t="s">
        <v>144</v>
      </c>
      <c r="CL40" s="3" t="s">
        <v>144</v>
      </c>
      <c r="CM40" s="3" t="s">
        <v>144</v>
      </c>
      <c r="CN40" s="3" t="s">
        <v>144</v>
      </c>
      <c r="CO40" s="3" t="s">
        <v>144</v>
      </c>
      <c r="CP40" s="3" t="s">
        <v>144</v>
      </c>
      <c r="CQ40" s="3" t="s">
        <v>144</v>
      </c>
      <c r="CR40" s="3" t="s">
        <v>144</v>
      </c>
      <c r="CS40" s="3" t="s">
        <v>144</v>
      </c>
      <c r="CT40" s="3" t="s">
        <v>144</v>
      </c>
      <c r="CU40" s="3" t="s">
        <v>144</v>
      </c>
      <c r="CV40" s="3" t="s">
        <v>144</v>
      </c>
      <c r="CW40" s="3" t="s">
        <v>144</v>
      </c>
      <c r="CX40" s="3" t="s">
        <v>144</v>
      </c>
      <c r="CY40" s="3" t="s">
        <v>144</v>
      </c>
    </row>
    <row r="41" spans="1:103" x14ac:dyDescent="0.25">
      <c r="A41" t="s">
        <v>23</v>
      </c>
      <c r="B41" t="s">
        <v>4</v>
      </c>
      <c r="C41">
        <v>212.58221366411527</v>
      </c>
      <c r="D41">
        <v>140.63458404066364</v>
      </c>
      <c r="E41">
        <v>87.320280463420616</v>
      </c>
      <c r="F41">
        <v>76.899777049070252</v>
      </c>
      <c r="G41">
        <v>85.633590871181667</v>
      </c>
      <c r="H41">
        <v>132.97833862882962</v>
      </c>
      <c r="I41">
        <v>125.64273973565639</v>
      </c>
      <c r="J41">
        <v>139.74530413413672</v>
      </c>
      <c r="K41">
        <v>141.50521540827654</v>
      </c>
      <c r="L41">
        <v>144.15065278934838</v>
      </c>
      <c r="M41">
        <v>143.76300030162989</v>
      </c>
      <c r="N41">
        <v>130.5666500593635</v>
      </c>
      <c r="O41">
        <v>126.48562459523167</v>
      </c>
      <c r="P41">
        <v>119.97783103792349</v>
      </c>
      <c r="Q41">
        <v>120.4234667503307</v>
      </c>
      <c r="R41">
        <v>122.73763642042577</v>
      </c>
      <c r="S41">
        <v>125.7972440848131</v>
      </c>
      <c r="T41">
        <v>131.53879890999025</v>
      </c>
      <c r="U41">
        <v>135.02810479835148</v>
      </c>
      <c r="V41">
        <v>138.55980637946269</v>
      </c>
      <c r="W41">
        <v>139.61848277924011</v>
      </c>
      <c r="X41">
        <v>139.37491277776132</v>
      </c>
      <c r="Y41">
        <v>138.45692402349874</v>
      </c>
      <c r="Z41">
        <v>136.76615239302609</v>
      </c>
      <c r="AA41">
        <v>135.65050711613668</v>
      </c>
      <c r="AB41">
        <v>134.73368109171449</v>
      </c>
      <c r="AC41">
        <v>134.70212675034691</v>
      </c>
      <c r="AD41">
        <v>135.34055789321476</v>
      </c>
      <c r="AE41">
        <v>136.44176619703225</v>
      </c>
      <c r="AF41">
        <v>137.88099579249172</v>
      </c>
      <c r="AG41">
        <v>139.17451168619314</v>
      </c>
      <c r="AH41">
        <v>140.26363692838788</v>
      </c>
      <c r="AI41">
        <v>140.91047124595559</v>
      </c>
      <c r="AJ41">
        <v>141.15248531342837</v>
      </c>
      <c r="AK41">
        <v>141.09107203219639</v>
      </c>
      <c r="AL41">
        <v>140.84826173915067</v>
      </c>
      <c r="AM41">
        <v>140.63557703303627</v>
      </c>
      <c r="AN41">
        <v>140.5436007978482</v>
      </c>
      <c r="AO41">
        <v>140.66302225746139</v>
      </c>
      <c r="AP41">
        <v>140.9813809800215</v>
      </c>
      <c r="AQ41">
        <v>141.44183005221811</v>
      </c>
      <c r="AR41">
        <v>141.96956076202278</v>
      </c>
      <c r="AS41">
        <v>142.47072318542274</v>
      </c>
      <c r="AT41">
        <v>142.89144627351206</v>
      </c>
      <c r="AU41">
        <v>143.19539766098322</v>
      </c>
      <c r="AV41">
        <v>143.38687947291365</v>
      </c>
      <c r="AW41">
        <v>143.49341402724912</v>
      </c>
      <c r="AX41">
        <v>143.55353092112907</v>
      </c>
      <c r="AY41">
        <v>143.61095059786234</v>
      </c>
      <c r="BA41" s="1">
        <v>1</v>
      </c>
      <c r="BB41" t="str">
        <f t="shared" si="0"/>
        <v>To - Ocidental do TO</v>
      </c>
      <c r="BC41" s="3">
        <v>220.35563244738091</v>
      </c>
      <c r="BD41" s="3">
        <v>56.081526576665468</v>
      </c>
      <c r="BE41" s="3">
        <v>-88.600667255009867</v>
      </c>
      <c r="BF41" s="3">
        <v>-14.997415454242628</v>
      </c>
      <c r="BG41" s="3">
        <v>-7.4790384956017846</v>
      </c>
      <c r="BH41" s="3">
        <v>31.551525998062786</v>
      </c>
      <c r="BI41" s="3">
        <v>8.3239491355820689</v>
      </c>
      <c r="BJ41" s="3">
        <v>14.409258200970072</v>
      </c>
      <c r="BK41" s="3">
        <v>33.936753542507475</v>
      </c>
      <c r="BL41" s="3">
        <v>25.240852803844021</v>
      </c>
      <c r="BM41" s="3">
        <v>27.360822366047955</v>
      </c>
      <c r="BN41" s="3">
        <v>11.733129537128946</v>
      </c>
      <c r="BO41" s="3">
        <v>9.2328535837561105</v>
      </c>
      <c r="BP41" s="3">
        <v>5.7300248188565632</v>
      </c>
      <c r="BQ41" s="3">
        <v>1.0662380619586145</v>
      </c>
      <c r="BR41" s="3">
        <v>0.99880344006167832</v>
      </c>
      <c r="BS41" s="3">
        <v>-2.7303597485161362</v>
      </c>
      <c r="BT41" s="3">
        <v>-1.5924637065183731</v>
      </c>
      <c r="BU41" s="3">
        <v>-2.228455315618703</v>
      </c>
      <c r="BV41" s="3">
        <v>-2.2645267227509578</v>
      </c>
      <c r="BW41" s="3">
        <v>-2.2714161021632719</v>
      </c>
      <c r="BX41" s="3">
        <v>-3.7097572025473937</v>
      </c>
      <c r="BY41" s="3">
        <v>-4.6369447200756895</v>
      </c>
      <c r="BZ41" s="3">
        <v>-6.9977356738915546</v>
      </c>
      <c r="CA41" s="3">
        <v>-9.2131327784855443</v>
      </c>
      <c r="CB41" s="3">
        <v>-11.579764053306462</v>
      </c>
      <c r="CC41" s="3">
        <v>-13.699343903245648</v>
      </c>
      <c r="CD41" s="3">
        <v>-15.08927753424544</v>
      </c>
      <c r="CE41" s="3">
        <v>-16.230733693040662</v>
      </c>
      <c r="CF41" s="3">
        <v>-16.816517033657647</v>
      </c>
      <c r="CG41" s="3">
        <v>-17.348096649987269</v>
      </c>
      <c r="CH41" s="3">
        <v>-17.862819400232098</v>
      </c>
      <c r="CI41" s="3">
        <v>-18.503752629592185</v>
      </c>
      <c r="CJ41" s="3">
        <v>-19.391547515003225</v>
      </c>
      <c r="CK41" s="3">
        <v>-20.390210313172588</v>
      </c>
      <c r="CL41" s="3">
        <v>-21.527756622556581</v>
      </c>
      <c r="CM41" s="3">
        <v>-22.650683060745081</v>
      </c>
      <c r="CN41" s="3">
        <v>-23.722281647639448</v>
      </c>
      <c r="CO41" s="3">
        <v>-24.693940261980288</v>
      </c>
      <c r="CP41" s="3">
        <v>-25.529432891644802</v>
      </c>
      <c r="CQ41" s="3">
        <v>-26.258806630876052</v>
      </c>
      <c r="CR41" s="3">
        <v>-26.882956405738042</v>
      </c>
      <c r="CS41" s="3">
        <v>-27.452239122874715</v>
      </c>
      <c r="CT41" s="3">
        <v>-27.995571265286486</v>
      </c>
      <c r="CU41" s="3">
        <v>-28.544111768299587</v>
      </c>
      <c r="CV41" s="3">
        <v>-29.120779143919464</v>
      </c>
      <c r="CW41" s="3">
        <v>-29.724207722693365</v>
      </c>
      <c r="CX41" s="3">
        <v>-30.350215422914346</v>
      </c>
      <c r="CY41" s="3">
        <v>-30.976543897859557</v>
      </c>
    </row>
    <row r="42" spans="1:103" x14ac:dyDescent="0.25">
      <c r="A42" t="s">
        <v>23</v>
      </c>
      <c r="B42" t="s">
        <v>5</v>
      </c>
      <c r="C42">
        <v>-7.773418783265635</v>
      </c>
      <c r="D42">
        <v>84.553057463998172</v>
      </c>
      <c r="E42">
        <v>175.92094771843048</v>
      </c>
      <c r="F42">
        <v>91.89719250331288</v>
      </c>
      <c r="G42">
        <v>93.112629366783452</v>
      </c>
      <c r="H42">
        <v>101.42681263076683</v>
      </c>
      <c r="I42">
        <v>117.31879060007432</v>
      </c>
      <c r="J42">
        <v>125.33604593316664</v>
      </c>
      <c r="K42">
        <v>107.56846186576907</v>
      </c>
      <c r="L42">
        <v>118.90979998550436</v>
      </c>
      <c r="M42">
        <v>116.40217793558193</v>
      </c>
      <c r="N42">
        <v>118.83352052223455</v>
      </c>
      <c r="O42">
        <v>117.25277101147556</v>
      </c>
      <c r="P42">
        <v>114.24780621906693</v>
      </c>
      <c r="Q42">
        <v>119.35722868837209</v>
      </c>
      <c r="R42">
        <v>121.73883298036409</v>
      </c>
      <c r="S42">
        <v>128.52760383332924</v>
      </c>
      <c r="T42">
        <v>133.13126261650862</v>
      </c>
      <c r="U42">
        <v>137.25656011397018</v>
      </c>
      <c r="V42">
        <v>140.82433310221364</v>
      </c>
      <c r="W42">
        <v>141.88989888140338</v>
      </c>
      <c r="X42">
        <v>143.08466998030872</v>
      </c>
      <c r="Y42">
        <v>143.09386874357443</v>
      </c>
      <c r="Z42">
        <v>143.76388806691764</v>
      </c>
      <c r="AA42">
        <v>144.86363989462222</v>
      </c>
      <c r="AB42">
        <v>146.31344514502095</v>
      </c>
      <c r="AC42">
        <v>148.40147065359255</v>
      </c>
      <c r="AD42">
        <v>150.4298354274602</v>
      </c>
      <c r="AE42">
        <v>152.67249989007291</v>
      </c>
      <c r="AF42">
        <v>154.69751282614936</v>
      </c>
      <c r="AG42">
        <v>156.52260833618041</v>
      </c>
      <c r="AH42">
        <v>158.12645632861998</v>
      </c>
      <c r="AI42">
        <v>159.41422387554778</v>
      </c>
      <c r="AJ42">
        <v>160.5440328284316</v>
      </c>
      <c r="AK42">
        <v>161.48128234536898</v>
      </c>
      <c r="AL42">
        <v>162.37601836170725</v>
      </c>
      <c r="AM42">
        <v>163.28626009378135</v>
      </c>
      <c r="AN42">
        <v>164.26588244548765</v>
      </c>
      <c r="AO42">
        <v>165.35696251944168</v>
      </c>
      <c r="AP42">
        <v>166.5108138716663</v>
      </c>
      <c r="AQ42">
        <v>167.70063668309416</v>
      </c>
      <c r="AR42">
        <v>168.85251716776082</v>
      </c>
      <c r="AS42">
        <v>169.92296230829746</v>
      </c>
      <c r="AT42">
        <v>170.88701753879855</v>
      </c>
      <c r="AU42">
        <v>171.7395094292828</v>
      </c>
      <c r="AV42">
        <v>172.50765861683311</v>
      </c>
      <c r="AW42">
        <v>173.21762174994248</v>
      </c>
      <c r="AX42">
        <v>173.90374634404341</v>
      </c>
      <c r="AY42">
        <v>174.5874944957219</v>
      </c>
      <c r="BA42" s="1">
        <v>-1</v>
      </c>
      <c r="BB42" t="str">
        <f t="shared" si="0"/>
        <v>To - Ocidental do TO</v>
      </c>
      <c r="BC42" s="3" t="s">
        <v>144</v>
      </c>
      <c r="BD42" s="3" t="s">
        <v>144</v>
      </c>
      <c r="BE42" s="3" t="s">
        <v>144</v>
      </c>
      <c r="BF42" s="3" t="s">
        <v>144</v>
      </c>
      <c r="BG42" s="3" t="s">
        <v>144</v>
      </c>
      <c r="BH42" s="3" t="s">
        <v>144</v>
      </c>
      <c r="BI42" s="3" t="s">
        <v>144</v>
      </c>
      <c r="BJ42" s="3" t="s">
        <v>144</v>
      </c>
      <c r="BK42" s="3" t="s">
        <v>144</v>
      </c>
      <c r="BL42" s="3" t="s">
        <v>144</v>
      </c>
      <c r="BM42" s="3" t="s">
        <v>144</v>
      </c>
      <c r="BN42" s="3" t="s">
        <v>144</v>
      </c>
      <c r="BO42" s="3" t="s">
        <v>144</v>
      </c>
      <c r="BP42" s="3" t="s">
        <v>144</v>
      </c>
      <c r="BQ42" s="3" t="s">
        <v>144</v>
      </c>
      <c r="BR42" s="3" t="s">
        <v>144</v>
      </c>
      <c r="BS42" s="3" t="s">
        <v>144</v>
      </c>
      <c r="BT42" s="3" t="s">
        <v>144</v>
      </c>
      <c r="BU42" s="3" t="s">
        <v>144</v>
      </c>
      <c r="BV42" s="3" t="s">
        <v>144</v>
      </c>
      <c r="BW42" s="3" t="s">
        <v>144</v>
      </c>
      <c r="BX42" s="3" t="s">
        <v>144</v>
      </c>
      <c r="BY42" s="3" t="s">
        <v>144</v>
      </c>
      <c r="BZ42" s="3" t="s">
        <v>144</v>
      </c>
      <c r="CA42" s="3" t="s">
        <v>144</v>
      </c>
      <c r="CB42" s="3" t="s">
        <v>144</v>
      </c>
      <c r="CC42" s="3" t="s">
        <v>144</v>
      </c>
      <c r="CD42" s="3" t="s">
        <v>144</v>
      </c>
      <c r="CE42" s="3" t="s">
        <v>144</v>
      </c>
      <c r="CF42" s="3" t="s">
        <v>144</v>
      </c>
      <c r="CG42" s="3" t="s">
        <v>144</v>
      </c>
      <c r="CH42" s="3" t="s">
        <v>144</v>
      </c>
      <c r="CI42" s="3" t="s">
        <v>144</v>
      </c>
      <c r="CJ42" s="3" t="s">
        <v>144</v>
      </c>
      <c r="CK42" s="3" t="s">
        <v>144</v>
      </c>
      <c r="CL42" s="3" t="s">
        <v>144</v>
      </c>
      <c r="CM42" s="3" t="s">
        <v>144</v>
      </c>
      <c r="CN42" s="3" t="s">
        <v>144</v>
      </c>
      <c r="CO42" s="3" t="s">
        <v>144</v>
      </c>
      <c r="CP42" s="3" t="s">
        <v>144</v>
      </c>
      <c r="CQ42" s="3" t="s">
        <v>144</v>
      </c>
      <c r="CR42" s="3" t="s">
        <v>144</v>
      </c>
      <c r="CS42" s="3" t="s">
        <v>144</v>
      </c>
      <c r="CT42" s="3" t="s">
        <v>144</v>
      </c>
      <c r="CU42" s="3" t="s">
        <v>144</v>
      </c>
      <c r="CV42" s="3" t="s">
        <v>144</v>
      </c>
      <c r="CW42" s="3" t="s">
        <v>144</v>
      </c>
      <c r="CX42" s="3" t="s">
        <v>144</v>
      </c>
      <c r="CY42" s="3" t="s">
        <v>144</v>
      </c>
    </row>
    <row r="43" spans="1:103" x14ac:dyDescent="0.25">
      <c r="A43" t="s">
        <v>24</v>
      </c>
      <c r="B43" t="s">
        <v>4</v>
      </c>
      <c r="C43">
        <v>281.7043345507351</v>
      </c>
      <c r="D43">
        <v>186.74583023035214</v>
      </c>
      <c r="E43">
        <v>161.01482919113968</v>
      </c>
      <c r="F43">
        <v>129.48654336556172</v>
      </c>
      <c r="G43">
        <v>125.93456036391417</v>
      </c>
      <c r="H43">
        <v>192.13832970750454</v>
      </c>
      <c r="I43">
        <v>173.85762986704515</v>
      </c>
      <c r="J43">
        <v>203.44840655553912</v>
      </c>
      <c r="K43">
        <v>204.08669814817395</v>
      </c>
      <c r="L43">
        <v>211.87834931809579</v>
      </c>
      <c r="M43">
        <v>215.97448554531098</v>
      </c>
      <c r="N43">
        <v>198.40432941672864</v>
      </c>
      <c r="O43">
        <v>195.28767485309447</v>
      </c>
      <c r="P43">
        <v>182.81916490424746</v>
      </c>
      <c r="Q43">
        <v>181.46782852538689</v>
      </c>
      <c r="R43">
        <v>181.32874551176062</v>
      </c>
      <c r="S43">
        <v>182.77197687751456</v>
      </c>
      <c r="T43">
        <v>189.51096853575251</v>
      </c>
      <c r="U43">
        <v>193.27662395513363</v>
      </c>
      <c r="V43">
        <v>198.93148578844784</v>
      </c>
      <c r="W43">
        <v>201.13341902733077</v>
      </c>
      <c r="X43">
        <v>201.89219178121198</v>
      </c>
      <c r="Y43">
        <v>201.41879511139061</v>
      </c>
      <c r="Z43">
        <v>199.23608701098476</v>
      </c>
      <c r="AA43">
        <v>197.56286124730423</v>
      </c>
      <c r="AB43">
        <v>195.56284983854101</v>
      </c>
      <c r="AC43">
        <v>194.68918660090321</v>
      </c>
      <c r="AD43">
        <v>194.63796890061403</v>
      </c>
      <c r="AE43">
        <v>195.34814022919426</v>
      </c>
      <c r="AF43">
        <v>196.78577038622299</v>
      </c>
      <c r="AG43">
        <v>198.22783098741436</v>
      </c>
      <c r="AH43">
        <v>199.65820859408552</v>
      </c>
      <c r="AI43">
        <v>200.59795238291304</v>
      </c>
      <c r="AJ43">
        <v>201.04848688155187</v>
      </c>
      <c r="AK43">
        <v>201.04534944396372</v>
      </c>
      <c r="AL43">
        <v>200.68321749289029</v>
      </c>
      <c r="AM43">
        <v>200.24684064000425</v>
      </c>
      <c r="AN43">
        <v>199.85102069530302</v>
      </c>
      <c r="AO43">
        <v>199.6791085951547</v>
      </c>
      <c r="AP43">
        <v>199.75812832359631</v>
      </c>
      <c r="AQ43">
        <v>200.0637097793585</v>
      </c>
      <c r="AR43">
        <v>200.52961126800957</v>
      </c>
      <c r="AS43">
        <v>201.0344671721092</v>
      </c>
      <c r="AT43">
        <v>201.50052262945238</v>
      </c>
      <c r="AU43">
        <v>201.85062380725577</v>
      </c>
      <c r="AV43">
        <v>202.06424233874111</v>
      </c>
      <c r="AW43">
        <v>202.15278408232695</v>
      </c>
      <c r="AX43">
        <v>202.15172662914759</v>
      </c>
      <c r="AY43">
        <v>202.11628015119075</v>
      </c>
      <c r="BA43" s="1">
        <v>1</v>
      </c>
      <c r="BB43" t="str">
        <f t="shared" si="0"/>
        <v>To - Oriental do TO</v>
      </c>
      <c r="BC43" s="3">
        <v>250.62503874582899</v>
      </c>
      <c r="BD43" s="3">
        <v>61.330921743199411</v>
      </c>
      <c r="BE43" s="3">
        <v>-11.397951445717524</v>
      </c>
      <c r="BF43" s="3">
        <v>6.9190544167842489</v>
      </c>
      <c r="BG43" s="3">
        <v>-18.884341833145854</v>
      </c>
      <c r="BH43" s="3">
        <v>49.002655834956983</v>
      </c>
      <c r="BI43" s="3">
        <v>10.43793509854396</v>
      </c>
      <c r="BJ43" s="3">
        <v>40.910858142420409</v>
      </c>
      <c r="BK43" s="3">
        <v>47.784708085754147</v>
      </c>
      <c r="BL43" s="3">
        <v>46.113420386678968</v>
      </c>
      <c r="BM43" s="3">
        <v>52.192490495388142</v>
      </c>
      <c r="BN43" s="3">
        <v>29.688820236836506</v>
      </c>
      <c r="BO43" s="3">
        <v>29.146610313205258</v>
      </c>
      <c r="BP43" s="3">
        <v>16.880068046639479</v>
      </c>
      <c r="BQ43" s="3">
        <v>12.966985805771685</v>
      </c>
      <c r="BR43" s="3">
        <v>11.648474329800791</v>
      </c>
      <c r="BS43" s="3">
        <v>8.5715206140862961</v>
      </c>
      <c r="BT43" s="3">
        <v>12.912431710535515</v>
      </c>
      <c r="BU43" s="3">
        <v>13.192835409073268</v>
      </c>
      <c r="BV43" s="3">
        <v>16.295566160281624</v>
      </c>
      <c r="BW43" s="3">
        <v>16.95005265575108</v>
      </c>
      <c r="BX43" s="3">
        <v>16.201843921848649</v>
      </c>
      <c r="BY43" s="3">
        <v>15.180891530526054</v>
      </c>
      <c r="BZ43" s="3">
        <v>11.950051609347014</v>
      </c>
      <c r="CA43" s="3">
        <v>9.3590598835189382</v>
      </c>
      <c r="CB43" s="3">
        <v>6.1570709144264697</v>
      </c>
      <c r="CC43" s="3">
        <v>3.8493123900851742</v>
      </c>
      <c r="CD43" s="3">
        <v>2.3883317158301054</v>
      </c>
      <c r="CE43" s="3">
        <v>1.4995446957705099</v>
      </c>
      <c r="CF43" s="3">
        <v>1.4810254796190634</v>
      </c>
      <c r="CG43" s="3">
        <v>1.4839390286705907</v>
      </c>
      <c r="CH43" s="3">
        <v>1.6126905034983849</v>
      </c>
      <c r="CI43" s="3">
        <v>1.401906004691341</v>
      </c>
      <c r="CJ43" s="3">
        <v>0.80639206338040026</v>
      </c>
      <c r="CK43" s="3">
        <v>-9.3503970600124831E-2</v>
      </c>
      <c r="CL43" s="3">
        <v>-1.3011114059333693</v>
      </c>
      <c r="CM43" s="3">
        <v>-2.5371157573953269</v>
      </c>
      <c r="CN43" s="3">
        <v>-3.7464798584321386</v>
      </c>
      <c r="CO43" s="3">
        <v>-4.768425512942855</v>
      </c>
      <c r="CP43" s="3">
        <v>-5.5663139630039495</v>
      </c>
      <c r="CQ43" s="3">
        <v>-6.161695831475555</v>
      </c>
      <c r="CR43" s="3">
        <v>-6.5793228109223776</v>
      </c>
      <c r="CS43" s="3">
        <v>-6.922335865960207</v>
      </c>
      <c r="CT43" s="3">
        <v>-7.2454131447231305</v>
      </c>
      <c r="CU43" s="3">
        <v>-7.61967050477881</v>
      </c>
      <c r="CV43" s="3">
        <v>-8.0737870520989929</v>
      </c>
      <c r="CW43" s="3">
        <v>-8.6061397196815506</v>
      </c>
      <c r="CX43" s="3">
        <v>-9.1997884059717023</v>
      </c>
      <c r="CY43" s="3">
        <v>-9.810648814546397</v>
      </c>
    </row>
    <row r="44" spans="1:103" x14ac:dyDescent="0.25">
      <c r="A44" t="s">
        <v>24</v>
      </c>
      <c r="B44" t="s">
        <v>5</v>
      </c>
      <c r="C44">
        <v>31.079295804906096</v>
      </c>
      <c r="D44">
        <v>125.41490848715273</v>
      </c>
      <c r="E44">
        <v>172.41278063685721</v>
      </c>
      <c r="F44">
        <v>122.56748894877747</v>
      </c>
      <c r="G44">
        <v>144.81890219706003</v>
      </c>
      <c r="H44">
        <v>143.13567387254756</v>
      </c>
      <c r="I44">
        <v>163.41969476850119</v>
      </c>
      <c r="J44">
        <v>162.53754841311871</v>
      </c>
      <c r="K44">
        <v>156.3019900624198</v>
      </c>
      <c r="L44">
        <v>165.76492893141682</v>
      </c>
      <c r="M44">
        <v>163.78199504992284</v>
      </c>
      <c r="N44">
        <v>168.71550917989214</v>
      </c>
      <c r="O44">
        <v>166.14106453988921</v>
      </c>
      <c r="P44">
        <v>165.93909685760798</v>
      </c>
      <c r="Q44">
        <v>168.50084271961521</v>
      </c>
      <c r="R44">
        <v>169.68027118195982</v>
      </c>
      <c r="S44">
        <v>174.20045626342826</v>
      </c>
      <c r="T44">
        <v>176.598536825217</v>
      </c>
      <c r="U44">
        <v>180.08378854606036</v>
      </c>
      <c r="V44">
        <v>182.63591962816622</v>
      </c>
      <c r="W44">
        <v>184.18336637157969</v>
      </c>
      <c r="X44">
        <v>185.69034785936333</v>
      </c>
      <c r="Y44">
        <v>186.23790358086455</v>
      </c>
      <c r="Z44">
        <v>187.28603540163775</v>
      </c>
      <c r="AA44">
        <v>188.20380136378529</v>
      </c>
      <c r="AB44">
        <v>189.40577892411454</v>
      </c>
      <c r="AC44">
        <v>190.83987421081804</v>
      </c>
      <c r="AD44">
        <v>192.24963718478392</v>
      </c>
      <c r="AE44">
        <v>193.84859553342375</v>
      </c>
      <c r="AF44">
        <v>195.30474490660393</v>
      </c>
      <c r="AG44">
        <v>196.74389195874377</v>
      </c>
      <c r="AH44">
        <v>198.04551809058714</v>
      </c>
      <c r="AI44">
        <v>199.19604637822169</v>
      </c>
      <c r="AJ44">
        <v>200.24209481817147</v>
      </c>
      <c r="AK44">
        <v>201.13885341456384</v>
      </c>
      <c r="AL44">
        <v>201.98432889882366</v>
      </c>
      <c r="AM44">
        <v>202.78395639739958</v>
      </c>
      <c r="AN44">
        <v>203.59750055373516</v>
      </c>
      <c r="AO44">
        <v>204.44753410809756</v>
      </c>
      <c r="AP44">
        <v>205.32444228660026</v>
      </c>
      <c r="AQ44">
        <v>206.22540561083406</v>
      </c>
      <c r="AR44">
        <v>207.10893407893195</v>
      </c>
      <c r="AS44">
        <v>207.95680303806941</v>
      </c>
      <c r="AT44">
        <v>208.74593577417551</v>
      </c>
      <c r="AU44">
        <v>209.47029431203458</v>
      </c>
      <c r="AV44">
        <v>210.1380293908401</v>
      </c>
      <c r="AW44">
        <v>210.7589238020085</v>
      </c>
      <c r="AX44">
        <v>211.35151503511929</v>
      </c>
      <c r="AY44">
        <v>211.92692896573715</v>
      </c>
      <c r="BA44" s="1">
        <v>-1</v>
      </c>
      <c r="BB44" t="str">
        <f t="shared" si="0"/>
        <v>To - Oriental do TO</v>
      </c>
      <c r="BC44" s="3" t="s">
        <v>144</v>
      </c>
      <c r="BD44" s="3" t="s">
        <v>144</v>
      </c>
      <c r="BE44" s="3" t="s">
        <v>144</v>
      </c>
      <c r="BF44" s="3" t="s">
        <v>144</v>
      </c>
      <c r="BG44" s="3" t="s">
        <v>144</v>
      </c>
      <c r="BH44" s="3" t="s">
        <v>144</v>
      </c>
      <c r="BI44" s="3" t="s">
        <v>144</v>
      </c>
      <c r="BJ44" s="3" t="s">
        <v>144</v>
      </c>
      <c r="BK44" s="3" t="s">
        <v>144</v>
      </c>
      <c r="BL44" s="3" t="s">
        <v>144</v>
      </c>
      <c r="BM44" s="3" t="s">
        <v>144</v>
      </c>
      <c r="BN44" s="3" t="s">
        <v>144</v>
      </c>
      <c r="BO44" s="3" t="s">
        <v>144</v>
      </c>
      <c r="BP44" s="3" t="s">
        <v>144</v>
      </c>
      <c r="BQ44" s="3" t="s">
        <v>144</v>
      </c>
      <c r="BR44" s="3" t="s">
        <v>144</v>
      </c>
      <c r="BS44" s="3" t="s">
        <v>144</v>
      </c>
      <c r="BT44" s="3" t="s">
        <v>144</v>
      </c>
      <c r="BU44" s="3" t="s">
        <v>144</v>
      </c>
      <c r="BV44" s="3" t="s">
        <v>144</v>
      </c>
      <c r="BW44" s="3" t="s">
        <v>144</v>
      </c>
      <c r="BX44" s="3" t="s">
        <v>144</v>
      </c>
      <c r="BY44" s="3" t="s">
        <v>144</v>
      </c>
      <c r="BZ44" s="3" t="s">
        <v>144</v>
      </c>
      <c r="CA44" s="3" t="s">
        <v>144</v>
      </c>
      <c r="CB44" s="3" t="s">
        <v>144</v>
      </c>
      <c r="CC44" s="3" t="s">
        <v>144</v>
      </c>
      <c r="CD44" s="3" t="s">
        <v>144</v>
      </c>
      <c r="CE44" s="3" t="s">
        <v>144</v>
      </c>
      <c r="CF44" s="3" t="s">
        <v>144</v>
      </c>
      <c r="CG44" s="3" t="s">
        <v>144</v>
      </c>
      <c r="CH44" s="3" t="s">
        <v>144</v>
      </c>
      <c r="CI44" s="3" t="s">
        <v>144</v>
      </c>
      <c r="CJ44" s="3" t="s">
        <v>144</v>
      </c>
      <c r="CK44" s="3" t="s">
        <v>144</v>
      </c>
      <c r="CL44" s="3" t="s">
        <v>144</v>
      </c>
      <c r="CM44" s="3" t="s">
        <v>144</v>
      </c>
      <c r="CN44" s="3" t="s">
        <v>144</v>
      </c>
      <c r="CO44" s="3" t="s">
        <v>144</v>
      </c>
      <c r="CP44" s="3" t="s">
        <v>144</v>
      </c>
      <c r="CQ44" s="3" t="s">
        <v>144</v>
      </c>
      <c r="CR44" s="3" t="s">
        <v>144</v>
      </c>
      <c r="CS44" s="3" t="s">
        <v>144</v>
      </c>
      <c r="CT44" s="3" t="s">
        <v>144</v>
      </c>
      <c r="CU44" s="3" t="s">
        <v>144</v>
      </c>
      <c r="CV44" s="3" t="s">
        <v>144</v>
      </c>
      <c r="CW44" s="3" t="s">
        <v>144</v>
      </c>
      <c r="CX44" s="3" t="s">
        <v>144</v>
      </c>
      <c r="CY44" s="3" t="s">
        <v>144</v>
      </c>
    </row>
    <row r="45" spans="1:103" x14ac:dyDescent="0.25">
      <c r="A45" t="s">
        <v>25</v>
      </c>
      <c r="B45" t="s">
        <v>4</v>
      </c>
      <c r="C45">
        <v>642.30146787648107</v>
      </c>
      <c r="D45">
        <v>538.73335926130312</v>
      </c>
      <c r="E45">
        <v>665.81765377564318</v>
      </c>
      <c r="F45">
        <v>614.33219705745535</v>
      </c>
      <c r="G45">
        <v>520.35835164876198</v>
      </c>
      <c r="H45">
        <v>705.92362267516546</v>
      </c>
      <c r="I45">
        <v>653.17178664002518</v>
      </c>
      <c r="J45">
        <v>745.1741446931095</v>
      </c>
      <c r="K45">
        <v>744.4445945038218</v>
      </c>
      <c r="L45">
        <v>772.1633121038285</v>
      </c>
      <c r="M45">
        <v>812.9793502025492</v>
      </c>
      <c r="N45">
        <v>784.39825257965208</v>
      </c>
      <c r="O45">
        <v>797.05939336837059</v>
      </c>
      <c r="P45">
        <v>772.06205065375866</v>
      </c>
      <c r="Q45">
        <v>774.38329694012168</v>
      </c>
      <c r="R45">
        <v>778.37382750701079</v>
      </c>
      <c r="S45">
        <v>782.78998051386895</v>
      </c>
      <c r="T45">
        <v>804.2348649320752</v>
      </c>
      <c r="U45">
        <v>817.27893138854768</v>
      </c>
      <c r="V45">
        <v>839.2506789683116</v>
      </c>
      <c r="W45">
        <v>853.7941186710226</v>
      </c>
      <c r="X45">
        <v>865.51256751162646</v>
      </c>
      <c r="Y45">
        <v>874.7572845319861</v>
      </c>
      <c r="Z45">
        <v>878.28336931476872</v>
      </c>
      <c r="AA45">
        <v>882.58320116417042</v>
      </c>
      <c r="AB45">
        <v>884.30804705635887</v>
      </c>
      <c r="AC45">
        <v>887.74249747567455</v>
      </c>
      <c r="AD45">
        <v>892.34570234472824</v>
      </c>
      <c r="AE45">
        <v>898.25061191903376</v>
      </c>
      <c r="AF45">
        <v>906.12033067020513</v>
      </c>
      <c r="AG45">
        <v>914.13471161633458</v>
      </c>
      <c r="AH45">
        <v>922.63078944955555</v>
      </c>
      <c r="AI45">
        <v>930.25225110177951</v>
      </c>
      <c r="AJ45">
        <v>936.86144238015754</v>
      </c>
      <c r="AK45">
        <v>942.34908525899959</v>
      </c>
      <c r="AL45">
        <v>946.64614833437861</v>
      </c>
      <c r="AM45">
        <v>950.37327966742714</v>
      </c>
      <c r="AN45">
        <v>953.699135414686</v>
      </c>
      <c r="AO45">
        <v>957.1436510500256</v>
      </c>
      <c r="AP45">
        <v>960.87115081015656</v>
      </c>
      <c r="AQ45">
        <v>964.9443556607564</v>
      </c>
      <c r="AR45">
        <v>969.33964777979338</v>
      </c>
      <c r="AS45">
        <v>973.82560912123859</v>
      </c>
      <c r="AT45">
        <v>978.25879199273322</v>
      </c>
      <c r="AU45">
        <v>982.43070585706619</v>
      </c>
      <c r="AV45">
        <v>986.24788140975818</v>
      </c>
      <c r="AW45">
        <v>989.6821693380009</v>
      </c>
      <c r="AX45">
        <v>992.76233680708037</v>
      </c>
      <c r="AY45">
        <v>995.59075271719416</v>
      </c>
      <c r="BA45" s="1">
        <v>1</v>
      </c>
      <c r="BB45" t="str">
        <f t="shared" si="0"/>
        <v>Ma - Norte Maranhense</v>
      </c>
      <c r="BC45" s="3">
        <v>614.91846659191924</v>
      </c>
      <c r="BD45" s="3">
        <v>556.78417702487798</v>
      </c>
      <c r="BE45" s="3">
        <v>423.72699247654555</v>
      </c>
      <c r="BF45" s="3">
        <v>508.75364007246174</v>
      </c>
      <c r="BG45" s="3">
        <v>303.26305754749512</v>
      </c>
      <c r="BH45" s="3">
        <v>409.23621082867612</v>
      </c>
      <c r="BI45" s="3">
        <v>350.4657087332742</v>
      </c>
      <c r="BJ45" s="3">
        <v>337.47997319667962</v>
      </c>
      <c r="BK45" s="3">
        <v>367.0357408023101</v>
      </c>
      <c r="BL45" s="3">
        <v>325.38941611744184</v>
      </c>
      <c r="BM45" s="3">
        <v>361.51602113791978</v>
      </c>
      <c r="BN45" s="3">
        <v>317.39217091826248</v>
      </c>
      <c r="BO45" s="3">
        <v>305.43383193361745</v>
      </c>
      <c r="BP45" s="3">
        <v>281.00381084571001</v>
      </c>
      <c r="BQ45" s="3">
        <v>250.7954486044739</v>
      </c>
      <c r="BR45" s="3">
        <v>240.50128972524465</v>
      </c>
      <c r="BS45" s="3">
        <v>213.90354723403641</v>
      </c>
      <c r="BT45" s="3">
        <v>206.31878283093124</v>
      </c>
      <c r="BU45" s="3">
        <v>193.4197661425934</v>
      </c>
      <c r="BV45" s="3">
        <v>185.50070831779135</v>
      </c>
      <c r="BW45" s="3">
        <v>180.25769529084187</v>
      </c>
      <c r="BX45" s="3">
        <v>170.6048148138309</v>
      </c>
      <c r="BY45" s="3">
        <v>164.25383538994538</v>
      </c>
      <c r="BZ45" s="3">
        <v>152.93327359851435</v>
      </c>
      <c r="CA45" s="3">
        <v>142.17324366795413</v>
      </c>
      <c r="CB45" s="3">
        <v>129.92241094074427</v>
      </c>
      <c r="CC45" s="3">
        <v>117.15829245863085</v>
      </c>
      <c r="CD45" s="3">
        <v>106.0584229212235</v>
      </c>
      <c r="CE45" s="3">
        <v>95.216034601147726</v>
      </c>
      <c r="CF45" s="3">
        <v>86.598445323253145</v>
      </c>
      <c r="CG45" s="3">
        <v>78.801522740238397</v>
      </c>
      <c r="CH45" s="3">
        <v>72.020775047554139</v>
      </c>
      <c r="CI45" s="3">
        <v>65.768181047480994</v>
      </c>
      <c r="CJ45" s="3">
        <v>59.325514790838611</v>
      </c>
      <c r="CK45" s="3">
        <v>52.890989712509963</v>
      </c>
      <c r="CL45" s="3">
        <v>45.986443544612712</v>
      </c>
      <c r="CM45" s="3">
        <v>38.974768073326686</v>
      </c>
      <c r="CN45" s="3">
        <v>31.897397927471161</v>
      </c>
      <c r="CO45" s="3">
        <v>24.955747148876981</v>
      </c>
      <c r="CP45" s="3">
        <v>18.393082721447058</v>
      </c>
      <c r="CQ45" s="3">
        <v>12.215305369398152</v>
      </c>
      <c r="CR45" s="3">
        <v>6.5494786294651703</v>
      </c>
      <c r="CS45" s="3">
        <v>1.2964741300784226</v>
      </c>
      <c r="CT45" s="3">
        <v>-3.5993880690305105</v>
      </c>
      <c r="CU45" s="3">
        <v>-8.2462306196758846</v>
      </c>
      <c r="CV45" s="3">
        <v>-12.763801760183355</v>
      </c>
      <c r="CW45" s="3">
        <v>-17.20430639191693</v>
      </c>
      <c r="CX45" s="3">
        <v>-21.625289400748443</v>
      </c>
      <c r="CY45" s="3">
        <v>-26.008253336307689</v>
      </c>
    </row>
    <row r="46" spans="1:103" x14ac:dyDescent="0.25">
      <c r="A46" t="s">
        <v>25</v>
      </c>
      <c r="B46" t="s">
        <v>5</v>
      </c>
      <c r="C46">
        <v>27.3830012845618</v>
      </c>
      <c r="D46">
        <v>-18.050817763574859</v>
      </c>
      <c r="E46">
        <v>242.09066129909763</v>
      </c>
      <c r="F46">
        <v>105.57855698499358</v>
      </c>
      <c r="G46">
        <v>217.09529410126683</v>
      </c>
      <c r="H46">
        <v>296.68741184648934</v>
      </c>
      <c r="I46">
        <v>302.70607790675098</v>
      </c>
      <c r="J46">
        <v>407.69417149642987</v>
      </c>
      <c r="K46">
        <v>377.4088537015117</v>
      </c>
      <c r="L46">
        <v>446.77389598638666</v>
      </c>
      <c r="M46">
        <v>451.46332906462942</v>
      </c>
      <c r="N46">
        <v>467.0060816613896</v>
      </c>
      <c r="O46">
        <v>491.62556143475314</v>
      </c>
      <c r="P46">
        <v>491.05823980804865</v>
      </c>
      <c r="Q46">
        <v>523.58784833564778</v>
      </c>
      <c r="R46">
        <v>537.87253778176614</v>
      </c>
      <c r="S46">
        <v>568.88643327983254</v>
      </c>
      <c r="T46">
        <v>597.91608210114396</v>
      </c>
      <c r="U46">
        <v>623.85916524595427</v>
      </c>
      <c r="V46">
        <v>653.74997065052025</v>
      </c>
      <c r="W46">
        <v>673.53642338018074</v>
      </c>
      <c r="X46">
        <v>694.90775269779556</v>
      </c>
      <c r="Y46">
        <v>710.50344914204072</v>
      </c>
      <c r="Z46">
        <v>725.35009571625437</v>
      </c>
      <c r="AA46">
        <v>740.40995749621629</v>
      </c>
      <c r="AB46">
        <v>754.3856361156146</v>
      </c>
      <c r="AC46">
        <v>770.5842050170437</v>
      </c>
      <c r="AD46">
        <v>786.28727942350474</v>
      </c>
      <c r="AE46">
        <v>803.03457731788603</v>
      </c>
      <c r="AF46">
        <v>819.52188534695199</v>
      </c>
      <c r="AG46">
        <v>835.33318887609619</v>
      </c>
      <c r="AH46">
        <v>850.61001440200141</v>
      </c>
      <c r="AI46">
        <v>864.48407005429851</v>
      </c>
      <c r="AJ46">
        <v>877.53592758931893</v>
      </c>
      <c r="AK46">
        <v>889.45809554648963</v>
      </c>
      <c r="AL46">
        <v>900.6597047897659</v>
      </c>
      <c r="AM46">
        <v>911.39851159410046</v>
      </c>
      <c r="AN46">
        <v>921.80173748721484</v>
      </c>
      <c r="AO46">
        <v>932.18790390114862</v>
      </c>
      <c r="AP46">
        <v>942.47806808870951</v>
      </c>
      <c r="AQ46">
        <v>952.72905029135825</v>
      </c>
      <c r="AR46">
        <v>962.79016915032821</v>
      </c>
      <c r="AS46">
        <v>972.52913499116016</v>
      </c>
      <c r="AT46">
        <v>981.85818006176373</v>
      </c>
      <c r="AU46">
        <v>990.67693647674207</v>
      </c>
      <c r="AV46">
        <v>999.01168316994153</v>
      </c>
      <c r="AW46">
        <v>1006.8864757299178</v>
      </c>
      <c r="AX46">
        <v>1014.3876262078288</v>
      </c>
      <c r="AY46">
        <v>1021.5990060535019</v>
      </c>
      <c r="BA46" s="1">
        <v>-1</v>
      </c>
      <c r="BB46" t="str">
        <f t="shared" si="0"/>
        <v>Ma - Norte Maranhense</v>
      </c>
      <c r="BC46" s="3" t="s">
        <v>144</v>
      </c>
      <c r="BD46" s="3" t="s">
        <v>144</v>
      </c>
      <c r="BE46" s="3" t="s">
        <v>144</v>
      </c>
      <c r="BF46" s="3" t="s">
        <v>144</v>
      </c>
      <c r="BG46" s="3" t="s">
        <v>144</v>
      </c>
      <c r="BH46" s="3" t="s">
        <v>144</v>
      </c>
      <c r="BI46" s="3" t="s">
        <v>144</v>
      </c>
      <c r="BJ46" s="3" t="s">
        <v>144</v>
      </c>
      <c r="BK46" s="3" t="s">
        <v>144</v>
      </c>
      <c r="BL46" s="3" t="s">
        <v>144</v>
      </c>
      <c r="BM46" s="3" t="s">
        <v>144</v>
      </c>
      <c r="BN46" s="3" t="s">
        <v>144</v>
      </c>
      <c r="BO46" s="3" t="s">
        <v>144</v>
      </c>
      <c r="BP46" s="3" t="s">
        <v>144</v>
      </c>
      <c r="BQ46" s="3" t="s">
        <v>144</v>
      </c>
      <c r="BR46" s="3" t="s">
        <v>144</v>
      </c>
      <c r="BS46" s="3" t="s">
        <v>144</v>
      </c>
      <c r="BT46" s="3" t="s">
        <v>144</v>
      </c>
      <c r="BU46" s="3" t="s">
        <v>144</v>
      </c>
      <c r="BV46" s="3" t="s">
        <v>144</v>
      </c>
      <c r="BW46" s="3" t="s">
        <v>144</v>
      </c>
      <c r="BX46" s="3" t="s">
        <v>144</v>
      </c>
      <c r="BY46" s="3" t="s">
        <v>144</v>
      </c>
      <c r="BZ46" s="3" t="s">
        <v>144</v>
      </c>
      <c r="CA46" s="3" t="s">
        <v>144</v>
      </c>
      <c r="CB46" s="3" t="s">
        <v>144</v>
      </c>
      <c r="CC46" s="3" t="s">
        <v>144</v>
      </c>
      <c r="CD46" s="3" t="s">
        <v>144</v>
      </c>
      <c r="CE46" s="3" t="s">
        <v>144</v>
      </c>
      <c r="CF46" s="3" t="s">
        <v>144</v>
      </c>
      <c r="CG46" s="3" t="s">
        <v>144</v>
      </c>
      <c r="CH46" s="3" t="s">
        <v>144</v>
      </c>
      <c r="CI46" s="3" t="s">
        <v>144</v>
      </c>
      <c r="CJ46" s="3" t="s">
        <v>144</v>
      </c>
      <c r="CK46" s="3" t="s">
        <v>144</v>
      </c>
      <c r="CL46" s="3" t="s">
        <v>144</v>
      </c>
      <c r="CM46" s="3" t="s">
        <v>144</v>
      </c>
      <c r="CN46" s="3" t="s">
        <v>144</v>
      </c>
      <c r="CO46" s="3" t="s">
        <v>144</v>
      </c>
      <c r="CP46" s="3" t="s">
        <v>144</v>
      </c>
      <c r="CQ46" s="3" t="s">
        <v>144</v>
      </c>
      <c r="CR46" s="3" t="s">
        <v>144</v>
      </c>
      <c r="CS46" s="3" t="s">
        <v>144</v>
      </c>
      <c r="CT46" s="3" t="s">
        <v>144</v>
      </c>
      <c r="CU46" s="3" t="s">
        <v>144</v>
      </c>
      <c r="CV46" s="3" t="s">
        <v>144</v>
      </c>
      <c r="CW46" s="3" t="s">
        <v>144</v>
      </c>
      <c r="CX46" s="3" t="s">
        <v>144</v>
      </c>
      <c r="CY46" s="3" t="s">
        <v>144</v>
      </c>
    </row>
    <row r="47" spans="1:103" x14ac:dyDescent="0.25">
      <c r="A47" t="s">
        <v>26</v>
      </c>
      <c r="B47" t="s">
        <v>4</v>
      </c>
      <c r="C47">
        <v>253.62988539601173</v>
      </c>
      <c r="D47">
        <v>154.23936160784314</v>
      </c>
      <c r="E47">
        <v>162.64380947522253</v>
      </c>
      <c r="F47">
        <v>152.86693550008283</v>
      </c>
      <c r="G47">
        <v>120.05833889624149</v>
      </c>
      <c r="H47">
        <v>190.72033456211227</v>
      </c>
      <c r="I47">
        <v>158.90723490970117</v>
      </c>
      <c r="J47">
        <v>185.96280364973219</v>
      </c>
      <c r="K47">
        <v>181.07540394143621</v>
      </c>
      <c r="L47">
        <v>183.27828493856583</v>
      </c>
      <c r="M47">
        <v>194.14998969837347</v>
      </c>
      <c r="N47">
        <v>179.19333747585651</v>
      </c>
      <c r="O47">
        <v>184.64441587019454</v>
      </c>
      <c r="P47">
        <v>177.46748380173585</v>
      </c>
      <c r="Q47">
        <v>180.60312002550629</v>
      </c>
      <c r="R47">
        <v>184.2324349918012</v>
      </c>
      <c r="S47">
        <v>185.98045755007516</v>
      </c>
      <c r="T47">
        <v>193.28125988352551</v>
      </c>
      <c r="U47">
        <v>195.81884349604357</v>
      </c>
      <c r="V47">
        <v>201.05871120646478</v>
      </c>
      <c r="W47">
        <v>203.46963388068789</v>
      </c>
      <c r="X47">
        <v>205.12727515256211</v>
      </c>
      <c r="Y47">
        <v>206.78629954098983</v>
      </c>
      <c r="Z47">
        <v>206.95786207769703</v>
      </c>
      <c r="AA47">
        <v>208.14692210246912</v>
      </c>
      <c r="AB47">
        <v>208.7475354027161</v>
      </c>
      <c r="AC47">
        <v>210.10290703914848</v>
      </c>
      <c r="AD47">
        <v>211.81517119674001</v>
      </c>
      <c r="AE47">
        <v>213.69735528890195</v>
      </c>
      <c r="AF47">
        <v>216.01122259069703</v>
      </c>
      <c r="AG47">
        <v>218.06596507173504</v>
      </c>
      <c r="AH47">
        <v>220.12123029308847</v>
      </c>
      <c r="AI47">
        <v>221.80610585425762</v>
      </c>
      <c r="AJ47">
        <v>223.19048265324042</v>
      </c>
      <c r="AK47">
        <v>224.34536659589992</v>
      </c>
      <c r="AL47">
        <v>225.26776409571571</v>
      </c>
      <c r="AM47">
        <v>226.18319940750311</v>
      </c>
      <c r="AN47">
        <v>227.08841898633037</v>
      </c>
      <c r="AO47">
        <v>228.09850389700691</v>
      </c>
      <c r="AP47">
        <v>229.20247030186732</v>
      </c>
      <c r="AQ47">
        <v>230.36800111036479</v>
      </c>
      <c r="AR47">
        <v>231.5698721500338</v>
      </c>
      <c r="AS47">
        <v>232.7292316553287</v>
      </c>
      <c r="AT47">
        <v>233.82530012421327</v>
      </c>
      <c r="AU47">
        <v>234.82021014233203</v>
      </c>
      <c r="AV47">
        <v>235.71510737993532</v>
      </c>
      <c r="AW47">
        <v>236.52499659301424</v>
      </c>
      <c r="AX47">
        <v>237.26872735025825</v>
      </c>
      <c r="AY47">
        <v>237.97942585481672</v>
      </c>
      <c r="BA47" s="1">
        <v>1</v>
      </c>
      <c r="BB47" t="str">
        <f t="shared" si="0"/>
        <v>Ma - Oeste Maranhense</v>
      </c>
      <c r="BC47" s="3">
        <v>271.82557110197729</v>
      </c>
      <c r="BD47" s="3">
        <v>209.58053880039739</v>
      </c>
      <c r="BE47" s="3">
        <v>116.74601212789901</v>
      </c>
      <c r="BF47" s="3">
        <v>138.95001004391909</v>
      </c>
      <c r="BG47" s="3">
        <v>75.564096590412362</v>
      </c>
      <c r="BH47" s="3">
        <v>129.69350369493958</v>
      </c>
      <c r="BI47" s="3">
        <v>106.23488639001206</v>
      </c>
      <c r="BJ47" s="3">
        <v>94.205575093549882</v>
      </c>
      <c r="BK47" s="3">
        <v>103.10874099426157</v>
      </c>
      <c r="BL47" s="3">
        <v>85.698762606614196</v>
      </c>
      <c r="BM47" s="3">
        <v>98.562651327495601</v>
      </c>
      <c r="BN47" s="3">
        <v>80.731400244557989</v>
      </c>
      <c r="BO47" s="3">
        <v>77.911293103629049</v>
      </c>
      <c r="BP47" s="3">
        <v>72.932797811777178</v>
      </c>
      <c r="BQ47" s="3">
        <v>66.189486806847299</v>
      </c>
      <c r="BR47" s="3">
        <v>66.53544265904759</v>
      </c>
      <c r="BS47" s="3">
        <v>59.067878061401316</v>
      </c>
      <c r="BT47" s="3">
        <v>57.646186249626908</v>
      </c>
      <c r="BU47" s="3">
        <v>53.017159341946694</v>
      </c>
      <c r="BV47" s="3">
        <v>49.454655036700785</v>
      </c>
      <c r="BW47" s="3">
        <v>46.679177276030401</v>
      </c>
      <c r="BX47" s="3">
        <v>42.382598697420832</v>
      </c>
      <c r="BY47" s="3">
        <v>39.973583384820159</v>
      </c>
      <c r="BZ47" s="3">
        <v>36.296117416313393</v>
      </c>
      <c r="CA47" s="3">
        <v>33.381956333284194</v>
      </c>
      <c r="CB47" s="3">
        <v>30.236099743903083</v>
      </c>
      <c r="CC47" s="3">
        <v>26.973454043766395</v>
      </c>
      <c r="CD47" s="3">
        <v>24.238146045294087</v>
      </c>
      <c r="CE47" s="3">
        <v>21.308253705693943</v>
      </c>
      <c r="CF47" s="3">
        <v>18.884656735840991</v>
      </c>
      <c r="CG47" s="3">
        <v>16.446824691989718</v>
      </c>
      <c r="CH47" s="3">
        <v>14.161787029983429</v>
      </c>
      <c r="CI47" s="3">
        <v>11.973460480543707</v>
      </c>
      <c r="CJ47" s="3">
        <v>9.7235467438153194</v>
      </c>
      <c r="CK47" s="3">
        <v>7.5862559631387114</v>
      </c>
      <c r="CL47" s="3">
        <v>5.4194944260914042</v>
      </c>
      <c r="CM47" s="3">
        <v>3.3569639319473481</v>
      </c>
      <c r="CN47" s="3">
        <v>1.3670148909608315</v>
      </c>
      <c r="CO47" s="3">
        <v>-0.54300134607515815</v>
      </c>
      <c r="CP47" s="3">
        <v>-2.3458693022552097</v>
      </c>
      <c r="CQ47" s="3">
        <v>-4.0894789225884836</v>
      </c>
      <c r="CR47" s="3">
        <v>-5.7456417562189586</v>
      </c>
      <c r="CS47" s="3">
        <v>-7.3463776171284394</v>
      </c>
      <c r="CT47" s="3">
        <v>-8.8862841701095476</v>
      </c>
      <c r="CU47" s="3">
        <v>-10.37012285956331</v>
      </c>
      <c r="CV47" s="3">
        <v>-11.809173253098237</v>
      </c>
      <c r="CW47" s="3">
        <v>-13.197954267796518</v>
      </c>
      <c r="CX47" s="3">
        <v>-14.547275414074477</v>
      </c>
      <c r="CY47" s="3">
        <v>-15.852080593600334</v>
      </c>
    </row>
    <row r="48" spans="1:103" x14ac:dyDescent="0.25">
      <c r="A48" t="s">
        <v>26</v>
      </c>
      <c r="B48" t="s">
        <v>5</v>
      </c>
      <c r="C48">
        <v>-18.195685705965531</v>
      </c>
      <c r="D48">
        <v>-55.341177192554248</v>
      </c>
      <c r="E48">
        <v>45.897797347323511</v>
      </c>
      <c r="F48">
        <v>13.916925456163739</v>
      </c>
      <c r="G48">
        <v>44.494242305829133</v>
      </c>
      <c r="H48">
        <v>61.026830867172706</v>
      </c>
      <c r="I48">
        <v>52.672348519689102</v>
      </c>
      <c r="J48">
        <v>91.757228556182312</v>
      </c>
      <c r="K48">
        <v>77.96666294717464</v>
      </c>
      <c r="L48">
        <v>97.579522331951637</v>
      </c>
      <c r="M48">
        <v>95.587338370877873</v>
      </c>
      <c r="N48">
        <v>98.461937231298521</v>
      </c>
      <c r="O48">
        <v>106.73312276656549</v>
      </c>
      <c r="P48">
        <v>104.53468598995867</v>
      </c>
      <c r="Q48">
        <v>114.41363321865899</v>
      </c>
      <c r="R48">
        <v>117.69699233275361</v>
      </c>
      <c r="S48">
        <v>126.91257948867384</v>
      </c>
      <c r="T48">
        <v>135.6350736338986</v>
      </c>
      <c r="U48">
        <v>142.80168415409688</v>
      </c>
      <c r="V48">
        <v>151.60405616976399</v>
      </c>
      <c r="W48">
        <v>156.79045660465749</v>
      </c>
      <c r="X48">
        <v>162.74467645514127</v>
      </c>
      <c r="Y48">
        <v>166.81271615616967</v>
      </c>
      <c r="Z48">
        <v>170.66174466138364</v>
      </c>
      <c r="AA48">
        <v>174.76496576918493</v>
      </c>
      <c r="AB48">
        <v>178.51143565881301</v>
      </c>
      <c r="AC48">
        <v>183.12945299538208</v>
      </c>
      <c r="AD48">
        <v>187.57702515144592</v>
      </c>
      <c r="AE48">
        <v>192.389101583208</v>
      </c>
      <c r="AF48">
        <v>197.12656585485604</v>
      </c>
      <c r="AG48">
        <v>201.61914037974532</v>
      </c>
      <c r="AH48">
        <v>205.95944326310504</v>
      </c>
      <c r="AI48">
        <v>209.83264537371392</v>
      </c>
      <c r="AJ48">
        <v>213.4669359094251</v>
      </c>
      <c r="AK48">
        <v>216.75911063276121</v>
      </c>
      <c r="AL48">
        <v>219.8482696696243</v>
      </c>
      <c r="AM48">
        <v>222.82623547555576</v>
      </c>
      <c r="AN48">
        <v>225.72140409536954</v>
      </c>
      <c r="AO48">
        <v>228.64150524308207</v>
      </c>
      <c r="AP48">
        <v>231.54833960412253</v>
      </c>
      <c r="AQ48">
        <v>234.45748003295327</v>
      </c>
      <c r="AR48">
        <v>237.31551390625276</v>
      </c>
      <c r="AS48">
        <v>240.07560927245714</v>
      </c>
      <c r="AT48">
        <v>242.71158429432282</v>
      </c>
      <c r="AU48">
        <v>245.19033300189534</v>
      </c>
      <c r="AV48">
        <v>247.52428063303356</v>
      </c>
      <c r="AW48">
        <v>249.72295086081076</v>
      </c>
      <c r="AX48">
        <v>251.81600276433272</v>
      </c>
      <c r="AY48">
        <v>253.83150644841706</v>
      </c>
      <c r="BA48" s="1">
        <v>-1</v>
      </c>
      <c r="BB48" t="str">
        <f t="shared" si="0"/>
        <v>Ma - Oeste Maranhense</v>
      </c>
      <c r="BC48" s="3" t="s">
        <v>144</v>
      </c>
      <c r="BD48" s="3" t="s">
        <v>144</v>
      </c>
      <c r="BE48" s="3" t="s">
        <v>144</v>
      </c>
      <c r="BF48" s="3" t="s">
        <v>144</v>
      </c>
      <c r="BG48" s="3" t="s">
        <v>144</v>
      </c>
      <c r="BH48" s="3" t="s">
        <v>144</v>
      </c>
      <c r="BI48" s="3" t="s">
        <v>144</v>
      </c>
      <c r="BJ48" s="3" t="s">
        <v>144</v>
      </c>
      <c r="BK48" s="3" t="s">
        <v>144</v>
      </c>
      <c r="BL48" s="3" t="s">
        <v>144</v>
      </c>
      <c r="BM48" s="3" t="s">
        <v>144</v>
      </c>
      <c r="BN48" s="3" t="s">
        <v>144</v>
      </c>
      <c r="BO48" s="3" t="s">
        <v>144</v>
      </c>
      <c r="BP48" s="3" t="s">
        <v>144</v>
      </c>
      <c r="BQ48" s="3" t="s">
        <v>144</v>
      </c>
      <c r="BR48" s="3" t="s">
        <v>144</v>
      </c>
      <c r="BS48" s="3" t="s">
        <v>144</v>
      </c>
      <c r="BT48" s="3" t="s">
        <v>144</v>
      </c>
      <c r="BU48" s="3" t="s">
        <v>144</v>
      </c>
      <c r="BV48" s="3" t="s">
        <v>144</v>
      </c>
      <c r="BW48" s="3" t="s">
        <v>144</v>
      </c>
      <c r="BX48" s="3" t="s">
        <v>144</v>
      </c>
      <c r="BY48" s="3" t="s">
        <v>144</v>
      </c>
      <c r="BZ48" s="3" t="s">
        <v>144</v>
      </c>
      <c r="CA48" s="3" t="s">
        <v>144</v>
      </c>
      <c r="CB48" s="3" t="s">
        <v>144</v>
      </c>
      <c r="CC48" s="3" t="s">
        <v>144</v>
      </c>
      <c r="CD48" s="3" t="s">
        <v>144</v>
      </c>
      <c r="CE48" s="3" t="s">
        <v>144</v>
      </c>
      <c r="CF48" s="3" t="s">
        <v>144</v>
      </c>
      <c r="CG48" s="3" t="s">
        <v>144</v>
      </c>
      <c r="CH48" s="3" t="s">
        <v>144</v>
      </c>
      <c r="CI48" s="3" t="s">
        <v>144</v>
      </c>
      <c r="CJ48" s="3" t="s">
        <v>144</v>
      </c>
      <c r="CK48" s="3" t="s">
        <v>144</v>
      </c>
      <c r="CL48" s="3" t="s">
        <v>144</v>
      </c>
      <c r="CM48" s="3" t="s">
        <v>144</v>
      </c>
      <c r="CN48" s="3" t="s">
        <v>144</v>
      </c>
      <c r="CO48" s="3" t="s">
        <v>144</v>
      </c>
      <c r="CP48" s="3" t="s">
        <v>144</v>
      </c>
      <c r="CQ48" s="3" t="s">
        <v>144</v>
      </c>
      <c r="CR48" s="3" t="s">
        <v>144</v>
      </c>
      <c r="CS48" s="3" t="s">
        <v>144</v>
      </c>
      <c r="CT48" s="3" t="s">
        <v>144</v>
      </c>
      <c r="CU48" s="3" t="s">
        <v>144</v>
      </c>
      <c r="CV48" s="3" t="s">
        <v>144</v>
      </c>
      <c r="CW48" s="3" t="s">
        <v>144</v>
      </c>
      <c r="CX48" s="3" t="s">
        <v>144</v>
      </c>
      <c r="CY48" s="3" t="s">
        <v>144</v>
      </c>
    </row>
    <row r="49" spans="1:103" x14ac:dyDescent="0.25">
      <c r="A49" t="s">
        <v>27</v>
      </c>
      <c r="B49" t="s">
        <v>4</v>
      </c>
      <c r="C49">
        <v>67.065047815472269</v>
      </c>
      <c r="D49">
        <v>48.878182293617456</v>
      </c>
      <c r="E49">
        <v>58.204695767353805</v>
      </c>
      <c r="F49">
        <v>50.679439797939963</v>
      </c>
      <c r="G49">
        <v>42.442791168836727</v>
      </c>
      <c r="H49">
        <v>62.42311360655895</v>
      </c>
      <c r="I49">
        <v>54.689235830329515</v>
      </c>
      <c r="J49">
        <v>62.756550752419471</v>
      </c>
      <c r="K49">
        <v>59.68544279794186</v>
      </c>
      <c r="L49">
        <v>61.229938213466511</v>
      </c>
      <c r="M49">
        <v>63.840543188268697</v>
      </c>
      <c r="N49">
        <v>60.09518169357667</v>
      </c>
      <c r="O49">
        <v>61.572240212024312</v>
      </c>
      <c r="P49">
        <v>59.426274496667851</v>
      </c>
      <c r="Q49">
        <v>60.734576172617821</v>
      </c>
      <c r="R49">
        <v>61.833890459452228</v>
      </c>
      <c r="S49">
        <v>62.786150357997109</v>
      </c>
      <c r="T49">
        <v>65.010420422623042</v>
      </c>
      <c r="U49">
        <v>65.891852300779604</v>
      </c>
      <c r="V49">
        <v>67.47355890262142</v>
      </c>
      <c r="W49">
        <v>68.08769967614046</v>
      </c>
      <c r="X49">
        <v>68.549424514171037</v>
      </c>
      <c r="Y49">
        <v>68.930403825496185</v>
      </c>
      <c r="Z49">
        <v>68.988318840994154</v>
      </c>
      <c r="AA49">
        <v>69.368784971449841</v>
      </c>
      <c r="AB49">
        <v>69.618304508280431</v>
      </c>
      <c r="AC49">
        <v>70.121174565277968</v>
      </c>
      <c r="AD49">
        <v>70.699985380627226</v>
      </c>
      <c r="AE49">
        <v>71.331310688505027</v>
      </c>
      <c r="AF49">
        <v>72.050681686999823</v>
      </c>
      <c r="AG49">
        <v>72.679537091889046</v>
      </c>
      <c r="AH49">
        <v>73.293182516773072</v>
      </c>
      <c r="AI49">
        <v>73.786868961038053</v>
      </c>
      <c r="AJ49">
        <v>74.196505483319342</v>
      </c>
      <c r="AK49">
        <v>74.537108188739509</v>
      </c>
      <c r="AL49">
        <v>74.818839239713412</v>
      </c>
      <c r="AM49">
        <v>75.104189640497069</v>
      </c>
      <c r="AN49">
        <v>75.39352659198336</v>
      </c>
      <c r="AO49">
        <v>75.719511753910766</v>
      </c>
      <c r="AP49">
        <v>76.073683577142518</v>
      </c>
      <c r="AQ49">
        <v>76.445370914910598</v>
      </c>
      <c r="AR49">
        <v>76.822365600584121</v>
      </c>
      <c r="AS49">
        <v>77.181134559239709</v>
      </c>
      <c r="AT49">
        <v>77.515424484701882</v>
      </c>
      <c r="AU49">
        <v>77.815595061433385</v>
      </c>
      <c r="AV49">
        <v>78.084888365105158</v>
      </c>
      <c r="AW49">
        <v>78.329507230918338</v>
      </c>
      <c r="AX49">
        <v>78.556988853843464</v>
      </c>
      <c r="AY49">
        <v>78.777321392068927</v>
      </c>
      <c r="BA49" s="1">
        <v>1</v>
      </c>
      <c r="BB49" t="str">
        <f t="shared" si="0"/>
        <v>Ma - Centro Maranhense</v>
      </c>
      <c r="BC49" s="3">
        <v>43.279799013114406</v>
      </c>
      <c r="BD49" s="3">
        <v>48.989993948324454</v>
      </c>
      <c r="BE49" s="3">
        <v>43.987898901054479</v>
      </c>
      <c r="BF49" s="3">
        <v>42.157822360752078</v>
      </c>
      <c r="BG49" s="3">
        <v>29.733959117277774</v>
      </c>
      <c r="BH49" s="3">
        <v>38.153171469570097</v>
      </c>
      <c r="BI49" s="3">
        <v>33.057945877718787</v>
      </c>
      <c r="BJ49" s="3">
        <v>33.586683062427184</v>
      </c>
      <c r="BK49" s="3">
        <v>32.23840142537567</v>
      </c>
      <c r="BL49" s="3">
        <v>30.673686289771059</v>
      </c>
      <c r="BM49" s="3">
        <v>31.755287557118464</v>
      </c>
      <c r="BN49" s="3">
        <v>28.338704799977876</v>
      </c>
      <c r="BO49" s="3">
        <v>27.175009192578813</v>
      </c>
      <c r="BP49" s="3">
        <v>24.641403754287872</v>
      </c>
      <c r="BQ49" s="3">
        <v>23.068083770469158</v>
      </c>
      <c r="BR49" s="3">
        <v>22.096161757483152</v>
      </c>
      <c r="BS49" s="3">
        <v>20.585194132859755</v>
      </c>
      <c r="BT49" s="3">
        <v>19.98019320717453</v>
      </c>
      <c r="BU49" s="3">
        <v>18.826712301532815</v>
      </c>
      <c r="BV49" s="3">
        <v>18.051127376368598</v>
      </c>
      <c r="BW49" s="3">
        <v>17.127909206619151</v>
      </c>
      <c r="BX49" s="3">
        <v>16.100696412487231</v>
      </c>
      <c r="BY49" s="3">
        <v>15.223475337112575</v>
      </c>
      <c r="BZ49" s="3">
        <v>14.162698817775464</v>
      </c>
      <c r="CA49" s="3">
        <v>13.23816128206515</v>
      </c>
      <c r="CB49" s="3">
        <v>12.231104057882391</v>
      </c>
      <c r="CC49" s="3">
        <v>11.271879106174239</v>
      </c>
      <c r="CD49" s="3">
        <v>10.380933174206582</v>
      </c>
      <c r="CE49" s="3">
        <v>9.5248708859203433</v>
      </c>
      <c r="CF49" s="3">
        <v>8.7870831766413531</v>
      </c>
      <c r="CG49" s="3">
        <v>8.0829957173458808</v>
      </c>
      <c r="CH49" s="3">
        <v>7.441732971556533</v>
      </c>
      <c r="CI49" s="3">
        <v>6.8144997486139687</v>
      </c>
      <c r="CJ49" s="3">
        <v>6.1839388024490631</v>
      </c>
      <c r="CK49" s="3">
        <v>5.5546040791548705</v>
      </c>
      <c r="CL49" s="3">
        <v>4.9117481444408781</v>
      </c>
      <c r="CM49" s="3">
        <v>4.2827577014707998</v>
      </c>
      <c r="CN49" s="3">
        <v>3.6684590133622521</v>
      </c>
      <c r="CO49" s="3">
        <v>3.0838474989451186</v>
      </c>
      <c r="CP49" s="3">
        <v>2.5331670572310259</v>
      </c>
      <c r="CQ49" s="3">
        <v>2.013145952252188</v>
      </c>
      <c r="CR49" s="3">
        <v>1.5241884113369224</v>
      </c>
      <c r="CS49" s="3">
        <v>1.0572488396833535</v>
      </c>
      <c r="CT49" s="3">
        <v>0.60977391268343695</v>
      </c>
      <c r="CU49" s="3">
        <v>0.17635237213028176</v>
      </c>
      <c r="CV49" s="3">
        <v>-0.24579836917986597</v>
      </c>
      <c r="CW49" s="3">
        <v>-0.65745059912117654</v>
      </c>
      <c r="CX49" s="3">
        <v>-1.0597480128646737</v>
      </c>
      <c r="CY49" s="3">
        <v>-1.4509901971013619</v>
      </c>
    </row>
    <row r="50" spans="1:103" x14ac:dyDescent="0.25">
      <c r="A50" t="s">
        <v>27</v>
      </c>
      <c r="B50" t="s">
        <v>5</v>
      </c>
      <c r="C50">
        <v>23.785248802357863</v>
      </c>
      <c r="D50">
        <v>-0.11181165470699851</v>
      </c>
      <c r="E50">
        <v>14.216796866299324</v>
      </c>
      <c r="F50">
        <v>8.5216174371878868</v>
      </c>
      <c r="G50">
        <v>12.708832051558954</v>
      </c>
      <c r="H50">
        <v>24.269942136988856</v>
      </c>
      <c r="I50">
        <v>21.631289952610729</v>
      </c>
      <c r="J50">
        <v>29.169867689992287</v>
      </c>
      <c r="K50">
        <v>27.447041372566186</v>
      </c>
      <c r="L50">
        <v>30.556251923695452</v>
      </c>
      <c r="M50">
        <v>32.085255631150233</v>
      </c>
      <c r="N50">
        <v>31.756476893598794</v>
      </c>
      <c r="O50">
        <v>34.397231019445499</v>
      </c>
      <c r="P50">
        <v>34.784870742379979</v>
      </c>
      <c r="Q50">
        <v>37.666492402148663</v>
      </c>
      <c r="R50">
        <v>39.737728701969075</v>
      </c>
      <c r="S50">
        <v>42.200956225137354</v>
      </c>
      <c r="T50">
        <v>45.030227215448512</v>
      </c>
      <c r="U50">
        <v>47.065139999246789</v>
      </c>
      <c r="V50">
        <v>49.422431526252822</v>
      </c>
      <c r="W50">
        <v>50.959790469521309</v>
      </c>
      <c r="X50">
        <v>52.448728101683805</v>
      </c>
      <c r="Y50">
        <v>53.70692848838361</v>
      </c>
      <c r="Z50">
        <v>54.82562002321869</v>
      </c>
      <c r="AA50">
        <v>56.130623689384691</v>
      </c>
      <c r="AB50">
        <v>57.387200450398041</v>
      </c>
      <c r="AC50">
        <v>58.849295459103729</v>
      </c>
      <c r="AD50">
        <v>60.319052206420643</v>
      </c>
      <c r="AE50">
        <v>61.806439802584684</v>
      </c>
      <c r="AF50">
        <v>63.26359851035847</v>
      </c>
      <c r="AG50">
        <v>64.596541374543165</v>
      </c>
      <c r="AH50">
        <v>65.851449545216539</v>
      </c>
      <c r="AI50">
        <v>66.972369212424084</v>
      </c>
      <c r="AJ50">
        <v>68.012566680870279</v>
      </c>
      <c r="AK50">
        <v>68.982504109584639</v>
      </c>
      <c r="AL50">
        <v>69.907091095272534</v>
      </c>
      <c r="AM50">
        <v>70.821431939026269</v>
      </c>
      <c r="AN50">
        <v>71.725067578621108</v>
      </c>
      <c r="AO50">
        <v>72.635664254965647</v>
      </c>
      <c r="AP50">
        <v>73.540516519911492</v>
      </c>
      <c r="AQ50">
        <v>74.43222496265841</v>
      </c>
      <c r="AR50">
        <v>75.298177189247198</v>
      </c>
      <c r="AS50">
        <v>76.123885719556355</v>
      </c>
      <c r="AT50">
        <v>76.905650572018445</v>
      </c>
      <c r="AU50">
        <v>77.639242689303103</v>
      </c>
      <c r="AV50">
        <v>78.330686734285024</v>
      </c>
      <c r="AW50">
        <v>78.986957830039515</v>
      </c>
      <c r="AX50">
        <v>79.616736866708138</v>
      </c>
      <c r="AY50">
        <v>80.228311589170289</v>
      </c>
      <c r="BA50" s="1">
        <v>-1</v>
      </c>
      <c r="BB50" t="str">
        <f t="shared" si="0"/>
        <v>Ma - Centro Maranhense</v>
      </c>
      <c r="BC50" s="3" t="s">
        <v>144</v>
      </c>
      <c r="BD50" s="3" t="s">
        <v>144</v>
      </c>
      <c r="BE50" s="3" t="s">
        <v>144</v>
      </c>
      <c r="BF50" s="3" t="s">
        <v>144</v>
      </c>
      <c r="BG50" s="3" t="s">
        <v>144</v>
      </c>
      <c r="BH50" s="3" t="s">
        <v>144</v>
      </c>
      <c r="BI50" s="3" t="s">
        <v>144</v>
      </c>
      <c r="BJ50" s="3" t="s">
        <v>144</v>
      </c>
      <c r="BK50" s="3" t="s">
        <v>144</v>
      </c>
      <c r="BL50" s="3" t="s">
        <v>144</v>
      </c>
      <c r="BM50" s="3" t="s">
        <v>144</v>
      </c>
      <c r="BN50" s="3" t="s">
        <v>144</v>
      </c>
      <c r="BO50" s="3" t="s">
        <v>144</v>
      </c>
      <c r="BP50" s="3" t="s">
        <v>144</v>
      </c>
      <c r="BQ50" s="3" t="s">
        <v>144</v>
      </c>
      <c r="BR50" s="3" t="s">
        <v>144</v>
      </c>
      <c r="BS50" s="3" t="s">
        <v>144</v>
      </c>
      <c r="BT50" s="3" t="s">
        <v>144</v>
      </c>
      <c r="BU50" s="3" t="s">
        <v>144</v>
      </c>
      <c r="BV50" s="3" t="s">
        <v>144</v>
      </c>
      <c r="BW50" s="3" t="s">
        <v>144</v>
      </c>
      <c r="BX50" s="3" t="s">
        <v>144</v>
      </c>
      <c r="BY50" s="3" t="s">
        <v>144</v>
      </c>
      <c r="BZ50" s="3" t="s">
        <v>144</v>
      </c>
      <c r="CA50" s="3" t="s">
        <v>144</v>
      </c>
      <c r="CB50" s="3" t="s">
        <v>144</v>
      </c>
      <c r="CC50" s="3" t="s">
        <v>144</v>
      </c>
      <c r="CD50" s="3" t="s">
        <v>144</v>
      </c>
      <c r="CE50" s="3" t="s">
        <v>144</v>
      </c>
      <c r="CF50" s="3" t="s">
        <v>144</v>
      </c>
      <c r="CG50" s="3" t="s">
        <v>144</v>
      </c>
      <c r="CH50" s="3" t="s">
        <v>144</v>
      </c>
      <c r="CI50" s="3" t="s">
        <v>144</v>
      </c>
      <c r="CJ50" s="3" t="s">
        <v>144</v>
      </c>
      <c r="CK50" s="3" t="s">
        <v>144</v>
      </c>
      <c r="CL50" s="3" t="s">
        <v>144</v>
      </c>
      <c r="CM50" s="3" t="s">
        <v>144</v>
      </c>
      <c r="CN50" s="3" t="s">
        <v>144</v>
      </c>
      <c r="CO50" s="3" t="s">
        <v>144</v>
      </c>
      <c r="CP50" s="3" t="s">
        <v>144</v>
      </c>
      <c r="CQ50" s="3" t="s">
        <v>144</v>
      </c>
      <c r="CR50" s="3" t="s">
        <v>144</v>
      </c>
      <c r="CS50" s="3" t="s">
        <v>144</v>
      </c>
      <c r="CT50" s="3" t="s">
        <v>144</v>
      </c>
      <c r="CU50" s="3" t="s">
        <v>144</v>
      </c>
      <c r="CV50" s="3" t="s">
        <v>144</v>
      </c>
      <c r="CW50" s="3" t="s">
        <v>144</v>
      </c>
      <c r="CX50" s="3" t="s">
        <v>144</v>
      </c>
      <c r="CY50" s="3" t="s">
        <v>144</v>
      </c>
    </row>
    <row r="51" spans="1:103" x14ac:dyDescent="0.25">
      <c r="A51" t="s">
        <v>28</v>
      </c>
      <c r="B51" t="s">
        <v>4</v>
      </c>
      <c r="C51">
        <v>162.4224362467325</v>
      </c>
      <c r="D51">
        <v>100.20649687430634</v>
      </c>
      <c r="E51">
        <v>105.12867452856892</v>
      </c>
      <c r="F51">
        <v>54.019966245081825</v>
      </c>
      <c r="G51">
        <v>44.644409717231504</v>
      </c>
      <c r="H51">
        <v>73.257541961256564</v>
      </c>
      <c r="I51">
        <v>70.106576862761287</v>
      </c>
      <c r="J51">
        <v>77.529991963858336</v>
      </c>
      <c r="K51">
        <v>73.260841627571509</v>
      </c>
      <c r="L51">
        <v>76.244409378323581</v>
      </c>
      <c r="M51">
        <v>79.525954201540458</v>
      </c>
      <c r="N51">
        <v>72.690521495829486</v>
      </c>
      <c r="O51">
        <v>71.13039142110452</v>
      </c>
      <c r="P51">
        <v>66.244413355759193</v>
      </c>
      <c r="Q51">
        <v>66.700705105740155</v>
      </c>
      <c r="R51">
        <v>67.580893425245904</v>
      </c>
      <c r="S51">
        <v>68.64653614904114</v>
      </c>
      <c r="T51">
        <v>71.376809859924293</v>
      </c>
      <c r="U51">
        <v>72.578027097447318</v>
      </c>
      <c r="V51">
        <v>74.415429948836774</v>
      </c>
      <c r="W51">
        <v>74.781564671695932</v>
      </c>
      <c r="X51">
        <v>74.668566825093592</v>
      </c>
      <c r="Y51">
        <v>74.265984049411657</v>
      </c>
      <c r="Z51">
        <v>73.413008279222893</v>
      </c>
      <c r="AA51">
        <v>72.939873296126279</v>
      </c>
      <c r="AB51">
        <v>72.379748081797104</v>
      </c>
      <c r="AC51">
        <v>72.243310935751623</v>
      </c>
      <c r="AD51">
        <v>72.3530685099945</v>
      </c>
      <c r="AE51">
        <v>72.678174236086818</v>
      </c>
      <c r="AF51">
        <v>73.215788374042262</v>
      </c>
      <c r="AG51">
        <v>73.697630547707874</v>
      </c>
      <c r="AH51">
        <v>74.152341214429043</v>
      </c>
      <c r="AI51">
        <v>74.411993735329446</v>
      </c>
      <c r="AJ51">
        <v>74.499441744256814</v>
      </c>
      <c r="AK51">
        <v>74.439111056029205</v>
      </c>
      <c r="AL51">
        <v>74.272475563564143</v>
      </c>
      <c r="AM51">
        <v>74.110555814192253</v>
      </c>
      <c r="AN51">
        <v>73.98751710730815</v>
      </c>
      <c r="AO51">
        <v>73.962280119057041</v>
      </c>
      <c r="AP51">
        <v>74.02940179440877</v>
      </c>
      <c r="AQ51">
        <v>74.167824439849952</v>
      </c>
      <c r="AR51">
        <v>74.346506900758456</v>
      </c>
      <c r="AS51">
        <v>74.519510468032067</v>
      </c>
      <c r="AT51">
        <v>74.664261419021472</v>
      </c>
      <c r="AU51">
        <v>74.760189783764076</v>
      </c>
      <c r="AV51">
        <v>74.808485041379527</v>
      </c>
      <c r="AW51">
        <v>74.819247405952183</v>
      </c>
      <c r="AX51">
        <v>74.807745780281323</v>
      </c>
      <c r="AY51">
        <v>74.793401080243754</v>
      </c>
      <c r="BA51" s="1">
        <v>1</v>
      </c>
      <c r="BB51" t="str">
        <f t="shared" si="0"/>
        <v>Ma - Leste Maranhense</v>
      </c>
      <c r="BC51" s="3">
        <v>207.42334873335176</v>
      </c>
      <c r="BD51" s="3">
        <v>157.47768028196253</v>
      </c>
      <c r="BE51" s="3">
        <v>46.652382839668888</v>
      </c>
      <c r="BF51" s="3">
        <v>2.5089088648838143</v>
      </c>
      <c r="BG51" s="3">
        <v>-45.290148969948454</v>
      </c>
      <c r="BH51" s="3">
        <v>24.039408622205201</v>
      </c>
      <c r="BI51" s="3">
        <v>32.772704405949312</v>
      </c>
      <c r="BJ51" s="3">
        <v>14.865661700983793</v>
      </c>
      <c r="BK51" s="3">
        <v>29.343577362775854</v>
      </c>
      <c r="BL51" s="3">
        <v>15.271649339857476</v>
      </c>
      <c r="BM51" s="3">
        <v>29.966278737726128</v>
      </c>
      <c r="BN51" s="3">
        <v>13.392616933938847</v>
      </c>
      <c r="BO51" s="3">
        <v>6.9006731767628366</v>
      </c>
      <c r="BP51" s="3">
        <v>4.6278684740601506</v>
      </c>
      <c r="BQ51" s="3">
        <v>0.95002769054913472</v>
      </c>
      <c r="BR51" s="3">
        <v>7.1896376926116972</v>
      </c>
      <c r="BS51" s="3">
        <v>6.435267365994612</v>
      </c>
      <c r="BT51" s="3">
        <v>10.897552790683484</v>
      </c>
      <c r="BU51" s="3">
        <v>12.538598233080762</v>
      </c>
      <c r="BV51" s="3">
        <v>13.144662385712031</v>
      </c>
      <c r="BW51" s="3">
        <v>13.688786659226515</v>
      </c>
      <c r="BX51" s="3">
        <v>11.28954813849068</v>
      </c>
      <c r="BY51" s="3">
        <v>10.111490801791533</v>
      </c>
      <c r="BZ51" s="3">
        <v>7.7596506659906339</v>
      </c>
      <c r="CA51" s="3">
        <v>6.2156127081333636</v>
      </c>
      <c r="CB51" s="3">
        <v>5.1016485799164855</v>
      </c>
      <c r="CC51" s="3">
        <v>4.216118069251948</v>
      </c>
      <c r="CD51" s="3">
        <v>4.2791370882817006</v>
      </c>
      <c r="CE51" s="3">
        <v>4.3272701054983145</v>
      </c>
      <c r="CF51" s="3">
        <v>4.793115232277529</v>
      </c>
      <c r="CG51" s="3">
        <v>5.0747707947232783</v>
      </c>
      <c r="CH51" s="3">
        <v>5.1331699685683105</v>
      </c>
      <c r="CI51" s="3">
        <v>4.961317962808522</v>
      </c>
      <c r="CJ51" s="3">
        <v>4.400914286241445</v>
      </c>
      <c r="CK51" s="3">
        <v>3.7277968816638207</v>
      </c>
      <c r="CL51" s="3">
        <v>2.9260556875155004</v>
      </c>
      <c r="CM51" s="3">
        <v>2.2136409090285412</v>
      </c>
      <c r="CN51" s="3">
        <v>1.6553343374477407</v>
      </c>
      <c r="CO51" s="3">
        <v>1.2686151468563764</v>
      </c>
      <c r="CP51" s="3">
        <v>1.0728415690093556</v>
      </c>
      <c r="CQ51" s="3">
        <v>0.96885221374236608</v>
      </c>
      <c r="CR51" s="3">
        <v>0.92021647342698998</v>
      </c>
      <c r="CS51" s="3">
        <v>0.84450439555938317</v>
      </c>
      <c r="CT51" s="3">
        <v>0.70648281518678857</v>
      </c>
      <c r="CU51" s="3">
        <v>0.49580499763411012</v>
      </c>
      <c r="CV51" s="3">
        <v>0.21303874457801442</v>
      </c>
      <c r="CW51" s="3">
        <v>-0.1065455870019747</v>
      </c>
      <c r="CX51" s="3">
        <v>-0.43883217422092002</v>
      </c>
      <c r="CY51" s="3">
        <v>-0.75003017223956192</v>
      </c>
    </row>
    <row r="52" spans="1:103" x14ac:dyDescent="0.25">
      <c r="A52" t="s">
        <v>28</v>
      </c>
      <c r="B52" t="s">
        <v>5</v>
      </c>
      <c r="C52">
        <v>-45.000912486619242</v>
      </c>
      <c r="D52">
        <v>-57.271183407656203</v>
      </c>
      <c r="E52">
        <v>58.476291688900034</v>
      </c>
      <c r="F52">
        <v>51.511057380198011</v>
      </c>
      <c r="G52">
        <v>89.934558687179958</v>
      </c>
      <c r="H52">
        <v>49.218133339051363</v>
      </c>
      <c r="I52">
        <v>37.333872456811974</v>
      </c>
      <c r="J52">
        <v>62.664330262874543</v>
      </c>
      <c r="K52">
        <v>43.917264264795655</v>
      </c>
      <c r="L52">
        <v>60.972760038466106</v>
      </c>
      <c r="M52">
        <v>49.55967546381433</v>
      </c>
      <c r="N52">
        <v>59.29790456189064</v>
      </c>
      <c r="O52">
        <v>64.229718244341683</v>
      </c>
      <c r="P52">
        <v>61.616544881699042</v>
      </c>
      <c r="Q52">
        <v>65.750677415191021</v>
      </c>
      <c r="R52">
        <v>60.391255732634207</v>
      </c>
      <c r="S52">
        <v>62.211268783046528</v>
      </c>
      <c r="T52">
        <v>60.479257069240809</v>
      </c>
      <c r="U52">
        <v>60.039428864366556</v>
      </c>
      <c r="V52">
        <v>61.270767563124743</v>
      </c>
      <c r="W52">
        <v>61.092778012469417</v>
      </c>
      <c r="X52">
        <v>63.379018686602912</v>
      </c>
      <c r="Y52">
        <v>64.154493247620124</v>
      </c>
      <c r="Z52">
        <v>65.653357613232259</v>
      </c>
      <c r="AA52">
        <v>66.724260587992916</v>
      </c>
      <c r="AB52">
        <v>67.278099501880618</v>
      </c>
      <c r="AC52">
        <v>68.027192866499675</v>
      </c>
      <c r="AD52">
        <v>68.0739314217128</v>
      </c>
      <c r="AE52">
        <v>68.350904130588503</v>
      </c>
      <c r="AF52">
        <v>68.422673141764733</v>
      </c>
      <c r="AG52">
        <v>68.622859752984596</v>
      </c>
      <c r="AH52">
        <v>69.019171245860733</v>
      </c>
      <c r="AI52">
        <v>69.450675772520924</v>
      </c>
      <c r="AJ52">
        <v>70.098527458015369</v>
      </c>
      <c r="AK52">
        <v>70.711314174365384</v>
      </c>
      <c r="AL52">
        <v>71.346419876048643</v>
      </c>
      <c r="AM52">
        <v>71.896914905163712</v>
      </c>
      <c r="AN52">
        <v>72.33218276986041</v>
      </c>
      <c r="AO52">
        <v>72.693664972200665</v>
      </c>
      <c r="AP52">
        <v>72.956560225399414</v>
      </c>
      <c r="AQ52">
        <v>73.198972226107585</v>
      </c>
      <c r="AR52">
        <v>73.426290427331466</v>
      </c>
      <c r="AS52">
        <v>73.675006072472684</v>
      </c>
      <c r="AT52">
        <v>73.957778603834683</v>
      </c>
      <c r="AU52">
        <v>74.264384786129966</v>
      </c>
      <c r="AV52">
        <v>74.595446296801512</v>
      </c>
      <c r="AW52">
        <v>74.925792992954158</v>
      </c>
      <c r="AX52">
        <v>75.246577954502243</v>
      </c>
      <c r="AY52">
        <v>75.543431252483316</v>
      </c>
      <c r="BA52" s="1">
        <v>-1</v>
      </c>
      <c r="BB52" t="str">
        <f t="shared" si="0"/>
        <v>Ma - Leste Maranhense</v>
      </c>
      <c r="BC52" s="3" t="s">
        <v>144</v>
      </c>
      <c r="BD52" s="3" t="s">
        <v>144</v>
      </c>
      <c r="BE52" s="3" t="s">
        <v>144</v>
      </c>
      <c r="BF52" s="3" t="s">
        <v>144</v>
      </c>
      <c r="BG52" s="3" t="s">
        <v>144</v>
      </c>
      <c r="BH52" s="3" t="s">
        <v>144</v>
      </c>
      <c r="BI52" s="3" t="s">
        <v>144</v>
      </c>
      <c r="BJ52" s="3" t="s">
        <v>144</v>
      </c>
      <c r="BK52" s="3" t="s">
        <v>144</v>
      </c>
      <c r="BL52" s="3" t="s">
        <v>144</v>
      </c>
      <c r="BM52" s="3" t="s">
        <v>144</v>
      </c>
      <c r="BN52" s="3" t="s">
        <v>144</v>
      </c>
      <c r="BO52" s="3" t="s">
        <v>144</v>
      </c>
      <c r="BP52" s="3" t="s">
        <v>144</v>
      </c>
      <c r="BQ52" s="3" t="s">
        <v>144</v>
      </c>
      <c r="BR52" s="3" t="s">
        <v>144</v>
      </c>
      <c r="BS52" s="3" t="s">
        <v>144</v>
      </c>
      <c r="BT52" s="3" t="s">
        <v>144</v>
      </c>
      <c r="BU52" s="3" t="s">
        <v>144</v>
      </c>
      <c r="BV52" s="3" t="s">
        <v>144</v>
      </c>
      <c r="BW52" s="3" t="s">
        <v>144</v>
      </c>
      <c r="BX52" s="3" t="s">
        <v>144</v>
      </c>
      <c r="BY52" s="3" t="s">
        <v>144</v>
      </c>
      <c r="BZ52" s="3" t="s">
        <v>144</v>
      </c>
      <c r="CA52" s="3" t="s">
        <v>144</v>
      </c>
      <c r="CB52" s="3" t="s">
        <v>144</v>
      </c>
      <c r="CC52" s="3" t="s">
        <v>144</v>
      </c>
      <c r="CD52" s="3" t="s">
        <v>144</v>
      </c>
      <c r="CE52" s="3" t="s">
        <v>144</v>
      </c>
      <c r="CF52" s="3" t="s">
        <v>144</v>
      </c>
      <c r="CG52" s="3" t="s">
        <v>144</v>
      </c>
      <c r="CH52" s="3" t="s">
        <v>144</v>
      </c>
      <c r="CI52" s="3" t="s">
        <v>144</v>
      </c>
      <c r="CJ52" s="3" t="s">
        <v>144</v>
      </c>
      <c r="CK52" s="3" t="s">
        <v>144</v>
      </c>
      <c r="CL52" s="3" t="s">
        <v>144</v>
      </c>
      <c r="CM52" s="3" t="s">
        <v>144</v>
      </c>
      <c r="CN52" s="3" t="s">
        <v>144</v>
      </c>
      <c r="CO52" s="3" t="s">
        <v>144</v>
      </c>
      <c r="CP52" s="3" t="s">
        <v>144</v>
      </c>
      <c r="CQ52" s="3" t="s">
        <v>144</v>
      </c>
      <c r="CR52" s="3" t="s">
        <v>144</v>
      </c>
      <c r="CS52" s="3" t="s">
        <v>144</v>
      </c>
      <c r="CT52" s="3" t="s">
        <v>144</v>
      </c>
      <c r="CU52" s="3" t="s">
        <v>144</v>
      </c>
      <c r="CV52" s="3" t="s">
        <v>144</v>
      </c>
      <c r="CW52" s="3" t="s">
        <v>144</v>
      </c>
      <c r="CX52" s="3" t="s">
        <v>144</v>
      </c>
      <c r="CY52" s="3" t="s">
        <v>144</v>
      </c>
    </row>
    <row r="53" spans="1:103" x14ac:dyDescent="0.25">
      <c r="A53" t="s">
        <v>29</v>
      </c>
      <c r="B53" t="s">
        <v>4</v>
      </c>
      <c r="C53">
        <v>141.1660297000177</v>
      </c>
      <c r="D53">
        <v>175.02359907387338</v>
      </c>
      <c r="E53">
        <v>87.605205444031014</v>
      </c>
      <c r="F53">
        <v>32.320964514274493</v>
      </c>
      <c r="G53">
        <v>51.750982355473823</v>
      </c>
      <c r="H53">
        <v>103.27212225800366</v>
      </c>
      <c r="I53">
        <v>110.29889870449411</v>
      </c>
      <c r="J53">
        <v>111.22939876852742</v>
      </c>
      <c r="K53">
        <v>115.35241570249464</v>
      </c>
      <c r="L53">
        <v>124.10955088587751</v>
      </c>
      <c r="M53">
        <v>126.16756808608805</v>
      </c>
      <c r="N53">
        <v>116.56374565396986</v>
      </c>
      <c r="O53">
        <v>108.6562842425744</v>
      </c>
      <c r="P53">
        <v>102.20300469639477</v>
      </c>
      <c r="Q53">
        <v>100.1239598242</v>
      </c>
      <c r="R53">
        <v>99.963086688412787</v>
      </c>
      <c r="S53">
        <v>101.06010957848046</v>
      </c>
      <c r="T53">
        <v>104.32001612116754</v>
      </c>
      <c r="U53">
        <v>107.54148913360122</v>
      </c>
      <c r="V53">
        <v>110.63078747546629</v>
      </c>
      <c r="W53">
        <v>112.11678304910639</v>
      </c>
      <c r="X53">
        <v>112.19566862823545</v>
      </c>
      <c r="Y53">
        <v>111.28474902601681</v>
      </c>
      <c r="Z53">
        <v>109.57180894058013</v>
      </c>
      <c r="AA53">
        <v>107.79863360260252</v>
      </c>
      <c r="AB53">
        <v>106.13335359102058</v>
      </c>
      <c r="AC53">
        <v>105.06591113785932</v>
      </c>
      <c r="AD53">
        <v>104.67892084476181</v>
      </c>
      <c r="AE53">
        <v>104.88692668480176</v>
      </c>
      <c r="AF53">
        <v>105.53662252939441</v>
      </c>
      <c r="AG53">
        <v>106.29350054659582</v>
      </c>
      <c r="AH53">
        <v>106.96962193689714</v>
      </c>
      <c r="AI53">
        <v>107.35257315898369</v>
      </c>
      <c r="AJ53">
        <v>107.37928936052504</v>
      </c>
      <c r="AK53">
        <v>107.08309481846766</v>
      </c>
      <c r="AL53">
        <v>106.56008149010466</v>
      </c>
      <c r="AM53">
        <v>105.97170895898185</v>
      </c>
      <c r="AN53">
        <v>105.44045707072425</v>
      </c>
      <c r="AO53">
        <v>105.06741024212506</v>
      </c>
      <c r="AP53">
        <v>104.88553445567851</v>
      </c>
      <c r="AQ53">
        <v>104.87546920852893</v>
      </c>
      <c r="AR53">
        <v>104.98336412575628</v>
      </c>
      <c r="AS53">
        <v>105.13213953638159</v>
      </c>
      <c r="AT53">
        <v>105.25666448545749</v>
      </c>
      <c r="AU53">
        <v>105.30807437792625</v>
      </c>
      <c r="AV53">
        <v>105.2681649454333</v>
      </c>
      <c r="AW53">
        <v>105.14516057187672</v>
      </c>
      <c r="AX53">
        <v>104.96569637382409</v>
      </c>
      <c r="AY53">
        <v>104.76682656644381</v>
      </c>
      <c r="BA53" s="1">
        <v>1</v>
      </c>
      <c r="BB53" t="str">
        <f t="shared" si="0"/>
        <v>Ma - Sul Maranhense</v>
      </c>
      <c r="BC53" s="3">
        <v>262.33451489701469</v>
      </c>
      <c r="BD53" s="3">
        <v>161.90880120118368</v>
      </c>
      <c r="BE53" s="3">
        <v>-72.725480804808967</v>
      </c>
      <c r="BF53" s="3">
        <v>-93.5331061105461</v>
      </c>
      <c r="BG53" s="3">
        <v>-81.314740139421602</v>
      </c>
      <c r="BH53" s="3">
        <v>10.554038847893253</v>
      </c>
      <c r="BI53" s="3">
        <v>-4.0537882914878054</v>
      </c>
      <c r="BJ53" s="3">
        <v>-17.489237770278393</v>
      </c>
      <c r="BK53" s="3">
        <v>-7.8638951120202165</v>
      </c>
      <c r="BL53" s="3">
        <v>-12.547245132883162</v>
      </c>
      <c r="BM53" s="3">
        <v>-7.6376846351682133</v>
      </c>
      <c r="BN53" s="3">
        <v>-28.142818714942351</v>
      </c>
      <c r="BO53" s="3">
        <v>-33.642646667751052</v>
      </c>
      <c r="BP53" s="3">
        <v>-34.316697643141509</v>
      </c>
      <c r="BQ53" s="3">
        <v>-32.20540626377263</v>
      </c>
      <c r="BR53" s="3">
        <v>-25.10700113559335</v>
      </c>
      <c r="BS53" s="3">
        <v>-23.281300821723207</v>
      </c>
      <c r="BT53" s="3">
        <v>-17.683313266016114</v>
      </c>
      <c r="BU53" s="3">
        <v>-15.306652901755115</v>
      </c>
      <c r="BV53" s="3">
        <v>-13.72893258609065</v>
      </c>
      <c r="BW53" s="3">
        <v>-13.393385392088419</v>
      </c>
      <c r="BX53" s="3">
        <v>-15.083702426468108</v>
      </c>
      <c r="BY53" s="3">
        <v>-15.959485570637881</v>
      </c>
      <c r="BZ53" s="3">
        <v>-17.64438224103796</v>
      </c>
      <c r="CA53" s="3">
        <v>-18.42911232330421</v>
      </c>
      <c r="CB53" s="3">
        <v>-18.805295718193776</v>
      </c>
      <c r="CC53" s="3">
        <v>-18.558844810881439</v>
      </c>
      <c r="CD53" s="3">
        <v>-17.432153573381058</v>
      </c>
      <c r="CE53" s="3">
        <v>-16.181609993978597</v>
      </c>
      <c r="CF53" s="3">
        <v>-14.67682820530888</v>
      </c>
      <c r="CG53" s="3">
        <v>-13.537296869772334</v>
      </c>
      <c r="CH53" s="3">
        <v>-12.778836957456207</v>
      </c>
      <c r="CI53" s="3">
        <v>-12.45964068586558</v>
      </c>
      <c r="CJ53" s="3">
        <v>-12.571440137515154</v>
      </c>
      <c r="CK53" s="3">
        <v>-12.830279719563549</v>
      </c>
      <c r="CL53" s="3">
        <v>-13.149235092377666</v>
      </c>
      <c r="CM53" s="3">
        <v>-13.299601472371918</v>
      </c>
      <c r="CN53" s="3">
        <v>-13.239124888706527</v>
      </c>
      <c r="CO53" s="3">
        <v>-12.96466458825887</v>
      </c>
      <c r="CP53" s="3">
        <v>-12.516899390583262</v>
      </c>
      <c r="CQ53" s="3">
        <v>-12.008706332021916</v>
      </c>
      <c r="CR53" s="3">
        <v>-11.502685702684076</v>
      </c>
      <c r="CS53" s="3">
        <v>-11.081614424941407</v>
      </c>
      <c r="CT53" s="3">
        <v>-10.771457207572482</v>
      </c>
      <c r="CU53" s="3">
        <v>-10.574755187444595</v>
      </c>
      <c r="CV53" s="3">
        <v>-10.472266985670842</v>
      </c>
      <c r="CW53" s="3">
        <v>-10.42008349971934</v>
      </c>
      <c r="CX53" s="3">
        <v>-10.382457276906479</v>
      </c>
      <c r="CY53" s="3">
        <v>-10.320651558465784</v>
      </c>
    </row>
    <row r="54" spans="1:103" x14ac:dyDescent="0.25">
      <c r="A54" t="s">
        <v>29</v>
      </c>
      <c r="B54" t="s">
        <v>5</v>
      </c>
      <c r="C54">
        <v>-121.16848519699698</v>
      </c>
      <c r="D54">
        <v>13.114797872689714</v>
      </c>
      <c r="E54">
        <v>160.33068624883998</v>
      </c>
      <c r="F54">
        <v>125.85407062482059</v>
      </c>
      <c r="G54">
        <v>133.06572249489543</v>
      </c>
      <c r="H54">
        <v>92.71808341011041</v>
      </c>
      <c r="I54">
        <v>114.35268699598191</v>
      </c>
      <c r="J54">
        <v>128.71863653880581</v>
      </c>
      <c r="K54">
        <v>123.21631081451486</v>
      </c>
      <c r="L54">
        <v>136.65679601876067</v>
      </c>
      <c r="M54">
        <v>133.80525272125627</v>
      </c>
      <c r="N54">
        <v>144.70656436891221</v>
      </c>
      <c r="O54">
        <v>142.29893091032545</v>
      </c>
      <c r="P54">
        <v>136.51970233953628</v>
      </c>
      <c r="Q54">
        <v>132.32936608797263</v>
      </c>
      <c r="R54">
        <v>125.07008782400614</v>
      </c>
      <c r="S54">
        <v>124.34141040020367</v>
      </c>
      <c r="T54">
        <v>122.00332938718365</v>
      </c>
      <c r="U54">
        <v>122.84814203535633</v>
      </c>
      <c r="V54">
        <v>124.35972006155694</v>
      </c>
      <c r="W54">
        <v>125.51016844119481</v>
      </c>
      <c r="X54">
        <v>127.27937105470356</v>
      </c>
      <c r="Y54">
        <v>127.24423459665469</v>
      </c>
      <c r="Z54">
        <v>127.21619118161809</v>
      </c>
      <c r="AA54">
        <v>126.22774592590673</v>
      </c>
      <c r="AB54">
        <v>124.93864930921436</v>
      </c>
      <c r="AC54">
        <v>123.62475594874076</v>
      </c>
      <c r="AD54">
        <v>122.11107441814286</v>
      </c>
      <c r="AE54">
        <v>121.06853667878036</v>
      </c>
      <c r="AF54">
        <v>120.21345073470329</v>
      </c>
      <c r="AG54">
        <v>119.83079741636816</v>
      </c>
      <c r="AH54">
        <v>119.74845889435335</v>
      </c>
      <c r="AI54">
        <v>119.81221384484927</v>
      </c>
      <c r="AJ54">
        <v>119.95072949804019</v>
      </c>
      <c r="AK54">
        <v>119.91337453803121</v>
      </c>
      <c r="AL54">
        <v>119.70931658248233</v>
      </c>
      <c r="AM54">
        <v>119.27131043135377</v>
      </c>
      <c r="AN54">
        <v>118.67958195943078</v>
      </c>
      <c r="AO54">
        <v>118.03207483038393</v>
      </c>
      <c r="AP54">
        <v>117.40243384626177</v>
      </c>
      <c r="AQ54">
        <v>116.88417554055084</v>
      </c>
      <c r="AR54">
        <v>116.48604982844036</v>
      </c>
      <c r="AS54">
        <v>116.21375396132299</v>
      </c>
      <c r="AT54">
        <v>116.02812169302997</v>
      </c>
      <c r="AU54">
        <v>115.88282956537084</v>
      </c>
      <c r="AV54">
        <v>115.74043193110414</v>
      </c>
      <c r="AW54">
        <v>115.56524407159606</v>
      </c>
      <c r="AX54">
        <v>115.34815365073057</v>
      </c>
      <c r="AY54">
        <v>115.08747812490959</v>
      </c>
      <c r="BA54" s="1">
        <v>-1</v>
      </c>
      <c r="BB54" t="str">
        <f t="shared" si="0"/>
        <v>Ma - Sul Maranhense</v>
      </c>
      <c r="BC54" s="3" t="s">
        <v>144</v>
      </c>
      <c r="BD54" s="3" t="s">
        <v>144</v>
      </c>
      <c r="BE54" s="3" t="s">
        <v>144</v>
      </c>
      <c r="BF54" s="3" t="s">
        <v>144</v>
      </c>
      <c r="BG54" s="3" t="s">
        <v>144</v>
      </c>
      <c r="BH54" s="3" t="s">
        <v>144</v>
      </c>
      <c r="BI54" s="3" t="s">
        <v>144</v>
      </c>
      <c r="BJ54" s="3" t="s">
        <v>144</v>
      </c>
      <c r="BK54" s="3" t="s">
        <v>144</v>
      </c>
      <c r="BL54" s="3" t="s">
        <v>144</v>
      </c>
      <c r="BM54" s="3" t="s">
        <v>144</v>
      </c>
      <c r="BN54" s="3" t="s">
        <v>144</v>
      </c>
      <c r="BO54" s="3" t="s">
        <v>144</v>
      </c>
      <c r="BP54" s="3" t="s">
        <v>144</v>
      </c>
      <c r="BQ54" s="3" t="s">
        <v>144</v>
      </c>
      <c r="BR54" s="3" t="s">
        <v>144</v>
      </c>
      <c r="BS54" s="3" t="s">
        <v>144</v>
      </c>
      <c r="BT54" s="3" t="s">
        <v>144</v>
      </c>
      <c r="BU54" s="3" t="s">
        <v>144</v>
      </c>
      <c r="BV54" s="3" t="s">
        <v>144</v>
      </c>
      <c r="BW54" s="3" t="s">
        <v>144</v>
      </c>
      <c r="BX54" s="3" t="s">
        <v>144</v>
      </c>
      <c r="BY54" s="3" t="s">
        <v>144</v>
      </c>
      <c r="BZ54" s="3" t="s">
        <v>144</v>
      </c>
      <c r="CA54" s="3" t="s">
        <v>144</v>
      </c>
      <c r="CB54" s="3" t="s">
        <v>144</v>
      </c>
      <c r="CC54" s="3" t="s">
        <v>144</v>
      </c>
      <c r="CD54" s="3" t="s">
        <v>144</v>
      </c>
      <c r="CE54" s="3" t="s">
        <v>144</v>
      </c>
      <c r="CF54" s="3" t="s">
        <v>144</v>
      </c>
      <c r="CG54" s="3" t="s">
        <v>144</v>
      </c>
      <c r="CH54" s="3" t="s">
        <v>144</v>
      </c>
      <c r="CI54" s="3" t="s">
        <v>144</v>
      </c>
      <c r="CJ54" s="3" t="s">
        <v>144</v>
      </c>
      <c r="CK54" s="3" t="s">
        <v>144</v>
      </c>
      <c r="CL54" s="3" t="s">
        <v>144</v>
      </c>
      <c r="CM54" s="3" t="s">
        <v>144</v>
      </c>
      <c r="CN54" s="3" t="s">
        <v>144</v>
      </c>
      <c r="CO54" s="3" t="s">
        <v>144</v>
      </c>
      <c r="CP54" s="3" t="s">
        <v>144</v>
      </c>
      <c r="CQ54" s="3" t="s">
        <v>144</v>
      </c>
      <c r="CR54" s="3" t="s">
        <v>144</v>
      </c>
      <c r="CS54" s="3" t="s">
        <v>144</v>
      </c>
      <c r="CT54" s="3" t="s">
        <v>144</v>
      </c>
      <c r="CU54" s="3" t="s">
        <v>144</v>
      </c>
      <c r="CV54" s="3" t="s">
        <v>144</v>
      </c>
      <c r="CW54" s="3" t="s">
        <v>144</v>
      </c>
      <c r="CX54" s="3" t="s">
        <v>144</v>
      </c>
      <c r="CY54" s="3" t="s">
        <v>144</v>
      </c>
    </row>
    <row r="55" spans="1:103" x14ac:dyDescent="0.25">
      <c r="A55" t="s">
        <v>30</v>
      </c>
      <c r="B55" t="s">
        <v>4</v>
      </c>
      <c r="C55">
        <v>41.905877542826445</v>
      </c>
      <c r="D55">
        <v>26.275041539319336</v>
      </c>
      <c r="E55">
        <v>32.251826515097008</v>
      </c>
      <c r="F55">
        <v>31.584411392425935</v>
      </c>
      <c r="G55">
        <v>29.823638864168558</v>
      </c>
      <c r="H55">
        <v>38.896535278600261</v>
      </c>
      <c r="I55">
        <v>37.212556517835381</v>
      </c>
      <c r="J55">
        <v>41.99714719384103</v>
      </c>
      <c r="K55">
        <v>43.253953507659588</v>
      </c>
      <c r="L55">
        <v>44.307082518711425</v>
      </c>
      <c r="M55">
        <v>46.158021080828462</v>
      </c>
      <c r="N55">
        <v>44.484923923951868</v>
      </c>
      <c r="O55">
        <v>44.742006416838173</v>
      </c>
      <c r="P55">
        <v>43.517999891717075</v>
      </c>
      <c r="Q55">
        <v>43.553280470038409</v>
      </c>
      <c r="R55">
        <v>44.090485059953394</v>
      </c>
      <c r="S55">
        <v>44.72210102501645</v>
      </c>
      <c r="T55">
        <v>46.256354059006263</v>
      </c>
      <c r="U55">
        <v>47.339827827714771</v>
      </c>
      <c r="V55">
        <v>48.652764129372208</v>
      </c>
      <c r="W55">
        <v>49.511857835370037</v>
      </c>
      <c r="X55">
        <v>50.079623430040371</v>
      </c>
      <c r="Y55">
        <v>50.499232616601354</v>
      </c>
      <c r="Z55">
        <v>50.640380879017457</v>
      </c>
      <c r="AA55">
        <v>50.855391861793642</v>
      </c>
      <c r="AB55">
        <v>51.018129594538742</v>
      </c>
      <c r="AC55">
        <v>51.304484356811379</v>
      </c>
      <c r="AD55">
        <v>51.693229142903611</v>
      </c>
      <c r="AE55">
        <v>52.154568753229107</v>
      </c>
      <c r="AF55">
        <v>52.708951377674431</v>
      </c>
      <c r="AG55">
        <v>53.255159589067446</v>
      </c>
      <c r="AH55">
        <v>53.796424582548489</v>
      </c>
      <c r="AI55">
        <v>54.269961607855819</v>
      </c>
      <c r="AJ55">
        <v>54.666228230544284</v>
      </c>
      <c r="AK55">
        <v>54.990453640097016</v>
      </c>
      <c r="AL55">
        <v>55.247786601012756</v>
      </c>
      <c r="AM55">
        <v>55.478440996496239</v>
      </c>
      <c r="AN55">
        <v>55.699625160922338</v>
      </c>
      <c r="AO55">
        <v>55.93887174972113</v>
      </c>
      <c r="AP55">
        <v>56.204248305294186</v>
      </c>
      <c r="AQ55">
        <v>56.493081076120141</v>
      </c>
      <c r="AR55">
        <v>56.797825829384308</v>
      </c>
      <c r="AS55">
        <v>57.101071409089492</v>
      </c>
      <c r="AT55">
        <v>57.391599564298943</v>
      </c>
      <c r="AU55">
        <v>57.658527678058789</v>
      </c>
      <c r="AV55">
        <v>57.898569379705272</v>
      </c>
      <c r="AW55">
        <v>58.113666767615108</v>
      </c>
      <c r="AX55">
        <v>58.308675716146723</v>
      </c>
      <c r="AY55">
        <v>58.491480268348774</v>
      </c>
      <c r="BA55" s="1">
        <v>1</v>
      </c>
      <c r="BB55" t="str">
        <f t="shared" si="0"/>
        <v>Pi - Norte Piauiense</v>
      </c>
      <c r="BC55" s="3">
        <v>22.825898384859808</v>
      </c>
      <c r="BD55" s="3">
        <v>31.446569200544182</v>
      </c>
      <c r="BE55" s="3">
        <v>21.701292421825151</v>
      </c>
      <c r="BF55" s="3">
        <v>15.206894794771053</v>
      </c>
      <c r="BG55" s="3">
        <v>13.163803353318592</v>
      </c>
      <c r="BH55" s="3">
        <v>10.309960511837339</v>
      </c>
      <c r="BI55" s="3">
        <v>16.649402833957438</v>
      </c>
      <c r="BJ55" s="3">
        <v>12.122442501484709</v>
      </c>
      <c r="BK55" s="3">
        <v>15.891023935881339</v>
      </c>
      <c r="BL55" s="3">
        <v>14.982830213527507</v>
      </c>
      <c r="BM55" s="3">
        <v>15.424458468712039</v>
      </c>
      <c r="BN55" s="3">
        <v>15.287912818506523</v>
      </c>
      <c r="BO55" s="3">
        <v>12.674616618543844</v>
      </c>
      <c r="BP55" s="3">
        <v>12.122270070602521</v>
      </c>
      <c r="BQ55" s="3">
        <v>10.047080153640984</v>
      </c>
      <c r="BR55" s="3">
        <v>9.3161184429482589</v>
      </c>
      <c r="BS55" s="3">
        <v>8.4377557313111922</v>
      </c>
      <c r="BT55" s="3">
        <v>7.6832576295243271</v>
      </c>
      <c r="BU55" s="3">
        <v>7.5685228587348092</v>
      </c>
      <c r="BV55" s="3">
        <v>7.0864343072494194</v>
      </c>
      <c r="BW55" s="3">
        <v>7.0155397788813332</v>
      </c>
      <c r="BX55" s="3">
        <v>6.6308742979820323</v>
      </c>
      <c r="BY55" s="3">
        <v>6.2323101542916532</v>
      </c>
      <c r="BZ55" s="3">
        <v>5.7557788448107203</v>
      </c>
      <c r="CA55" s="3">
        <v>5.0877792197813889</v>
      </c>
      <c r="CB55" s="3">
        <v>4.4758674057999457</v>
      </c>
      <c r="CC55" s="3">
        <v>3.7726925752277012</v>
      </c>
      <c r="CD55" s="3">
        <v>3.1792066977550917</v>
      </c>
      <c r="CE55" s="3">
        <v>2.6544823004191969</v>
      </c>
      <c r="CF55" s="3">
        <v>2.2186791866855344</v>
      </c>
      <c r="CG55" s="3">
        <v>1.886694490476728</v>
      </c>
      <c r="CH55" s="3">
        <v>1.5808667267217515</v>
      </c>
      <c r="CI55" s="3">
        <v>1.3134058874406946</v>
      </c>
      <c r="CJ55" s="3">
        <v>1.0224149843799353</v>
      </c>
      <c r="CK55" s="3">
        <v>0.70876227315536511</v>
      </c>
      <c r="CL55" s="3">
        <v>0.36791274995583478</v>
      </c>
      <c r="CM55" s="3">
        <v>2.0871783074625228E-3</v>
      </c>
      <c r="CN55" s="3">
        <v>-0.36261291437267573</v>
      </c>
      <c r="CO55" s="3">
        <v>-0.72112567024205987</v>
      </c>
      <c r="CP55" s="3">
        <v>-1.0537724439422078</v>
      </c>
      <c r="CQ55" s="3">
        <v>-1.3579441180577305</v>
      </c>
      <c r="CR55" s="3">
        <v>-1.6326141918307968</v>
      </c>
      <c r="CS55" s="3">
        <v>-1.8804456494697916</v>
      </c>
      <c r="CT55" s="3">
        <v>-2.1111039462998562</v>
      </c>
      <c r="CU55" s="3">
        <v>-2.330054816126669</v>
      </c>
      <c r="CV55" s="3">
        <v>-2.5457771881435747</v>
      </c>
      <c r="CW55" s="3">
        <v>-2.761783784350591</v>
      </c>
      <c r="CX55" s="3">
        <v>-2.9796487850055868</v>
      </c>
      <c r="CY55" s="3">
        <v>-3.1985285720009671</v>
      </c>
    </row>
    <row r="56" spans="1:103" x14ac:dyDescent="0.25">
      <c r="A56" t="s">
        <v>30</v>
      </c>
      <c r="B56" t="s">
        <v>5</v>
      </c>
      <c r="C56">
        <v>19.079979157966637</v>
      </c>
      <c r="D56">
        <v>-5.1715276612248484</v>
      </c>
      <c r="E56">
        <v>10.550534093271857</v>
      </c>
      <c r="F56">
        <v>16.377516597654882</v>
      </c>
      <c r="G56">
        <v>16.659835510849966</v>
      </c>
      <c r="H56">
        <v>28.586574766762922</v>
      </c>
      <c r="I56">
        <v>20.563153683877943</v>
      </c>
      <c r="J56">
        <v>29.874704692356321</v>
      </c>
      <c r="K56">
        <v>27.362929571778249</v>
      </c>
      <c r="L56">
        <v>29.324252305183919</v>
      </c>
      <c r="M56">
        <v>30.733562612116422</v>
      </c>
      <c r="N56">
        <v>29.197011105445345</v>
      </c>
      <c r="O56">
        <v>32.067389798294329</v>
      </c>
      <c r="P56">
        <v>31.395729821114553</v>
      </c>
      <c r="Q56">
        <v>33.506200316397425</v>
      </c>
      <c r="R56">
        <v>34.774366617005136</v>
      </c>
      <c r="S56">
        <v>36.284345293705258</v>
      </c>
      <c r="T56">
        <v>38.573096429481936</v>
      </c>
      <c r="U56">
        <v>39.771304968979962</v>
      </c>
      <c r="V56">
        <v>41.566329822122789</v>
      </c>
      <c r="W56">
        <v>42.496318056488704</v>
      </c>
      <c r="X56">
        <v>43.448749132058339</v>
      </c>
      <c r="Y56">
        <v>44.266922462309701</v>
      </c>
      <c r="Z56">
        <v>44.884602034206736</v>
      </c>
      <c r="AA56">
        <v>45.767612642012253</v>
      </c>
      <c r="AB56">
        <v>46.542262188738796</v>
      </c>
      <c r="AC56">
        <v>47.531791781583678</v>
      </c>
      <c r="AD56">
        <v>48.51402244514852</v>
      </c>
      <c r="AE56">
        <v>49.50008645280991</v>
      </c>
      <c r="AF56">
        <v>50.490272190988897</v>
      </c>
      <c r="AG56">
        <v>51.368465098590718</v>
      </c>
      <c r="AH56">
        <v>52.215557855826738</v>
      </c>
      <c r="AI56">
        <v>52.956555720415125</v>
      </c>
      <c r="AJ56">
        <v>53.643813246164349</v>
      </c>
      <c r="AK56">
        <v>54.281691366941651</v>
      </c>
      <c r="AL56">
        <v>54.879873851056921</v>
      </c>
      <c r="AM56">
        <v>55.476353818188777</v>
      </c>
      <c r="AN56">
        <v>56.062238075295014</v>
      </c>
      <c r="AO56">
        <v>56.65999741996319</v>
      </c>
      <c r="AP56">
        <v>57.258020749236394</v>
      </c>
      <c r="AQ56">
        <v>57.851025194177872</v>
      </c>
      <c r="AR56">
        <v>58.430440021215105</v>
      </c>
      <c r="AS56">
        <v>58.981517058559284</v>
      </c>
      <c r="AT56">
        <v>59.502703510598799</v>
      </c>
      <c r="AU56">
        <v>59.988582494185458</v>
      </c>
      <c r="AV56">
        <v>60.444346567848847</v>
      </c>
      <c r="AW56">
        <v>60.875450551965699</v>
      </c>
      <c r="AX56">
        <v>61.28832450115231</v>
      </c>
      <c r="AY56">
        <v>61.690008840349741</v>
      </c>
      <c r="BA56" s="1">
        <v>-1</v>
      </c>
      <c r="BB56" t="str">
        <f t="shared" si="0"/>
        <v>Pi - Norte Piauiense</v>
      </c>
      <c r="BC56" s="3" t="s">
        <v>144</v>
      </c>
      <c r="BD56" s="3" t="s">
        <v>144</v>
      </c>
      <c r="BE56" s="3" t="s">
        <v>144</v>
      </c>
      <c r="BF56" s="3" t="s">
        <v>144</v>
      </c>
      <c r="BG56" s="3" t="s">
        <v>144</v>
      </c>
      <c r="BH56" s="3" t="s">
        <v>144</v>
      </c>
      <c r="BI56" s="3" t="s">
        <v>144</v>
      </c>
      <c r="BJ56" s="3" t="s">
        <v>144</v>
      </c>
      <c r="BK56" s="3" t="s">
        <v>144</v>
      </c>
      <c r="BL56" s="3" t="s">
        <v>144</v>
      </c>
      <c r="BM56" s="3" t="s">
        <v>144</v>
      </c>
      <c r="BN56" s="3" t="s">
        <v>144</v>
      </c>
      <c r="BO56" s="3" t="s">
        <v>144</v>
      </c>
      <c r="BP56" s="3" t="s">
        <v>144</v>
      </c>
      <c r="BQ56" s="3" t="s">
        <v>144</v>
      </c>
      <c r="BR56" s="3" t="s">
        <v>144</v>
      </c>
      <c r="BS56" s="3" t="s">
        <v>144</v>
      </c>
      <c r="BT56" s="3" t="s">
        <v>144</v>
      </c>
      <c r="BU56" s="3" t="s">
        <v>144</v>
      </c>
      <c r="BV56" s="3" t="s">
        <v>144</v>
      </c>
      <c r="BW56" s="3" t="s">
        <v>144</v>
      </c>
      <c r="BX56" s="3" t="s">
        <v>144</v>
      </c>
      <c r="BY56" s="3" t="s">
        <v>144</v>
      </c>
      <c r="BZ56" s="3" t="s">
        <v>144</v>
      </c>
      <c r="CA56" s="3" t="s">
        <v>144</v>
      </c>
      <c r="CB56" s="3" t="s">
        <v>144</v>
      </c>
      <c r="CC56" s="3" t="s">
        <v>144</v>
      </c>
      <c r="CD56" s="3" t="s">
        <v>144</v>
      </c>
      <c r="CE56" s="3" t="s">
        <v>144</v>
      </c>
      <c r="CF56" s="3" t="s">
        <v>144</v>
      </c>
      <c r="CG56" s="3" t="s">
        <v>144</v>
      </c>
      <c r="CH56" s="3" t="s">
        <v>144</v>
      </c>
      <c r="CI56" s="3" t="s">
        <v>144</v>
      </c>
      <c r="CJ56" s="3" t="s">
        <v>144</v>
      </c>
      <c r="CK56" s="3" t="s">
        <v>144</v>
      </c>
      <c r="CL56" s="3" t="s">
        <v>144</v>
      </c>
      <c r="CM56" s="3" t="s">
        <v>144</v>
      </c>
      <c r="CN56" s="3" t="s">
        <v>144</v>
      </c>
      <c r="CO56" s="3" t="s">
        <v>144</v>
      </c>
      <c r="CP56" s="3" t="s">
        <v>144</v>
      </c>
      <c r="CQ56" s="3" t="s">
        <v>144</v>
      </c>
      <c r="CR56" s="3" t="s">
        <v>144</v>
      </c>
      <c r="CS56" s="3" t="s">
        <v>144</v>
      </c>
      <c r="CT56" s="3" t="s">
        <v>144</v>
      </c>
      <c r="CU56" s="3" t="s">
        <v>144</v>
      </c>
      <c r="CV56" s="3" t="s">
        <v>144</v>
      </c>
      <c r="CW56" s="3" t="s">
        <v>144</v>
      </c>
      <c r="CX56" s="3" t="s">
        <v>144</v>
      </c>
      <c r="CY56" s="3" t="s">
        <v>144</v>
      </c>
    </row>
    <row r="57" spans="1:103" x14ac:dyDescent="0.25">
      <c r="A57" t="s">
        <v>31</v>
      </c>
      <c r="B57" t="s">
        <v>4</v>
      </c>
      <c r="C57">
        <v>307.4905645766471</v>
      </c>
      <c r="D57">
        <v>343.26745374999132</v>
      </c>
      <c r="E57">
        <v>228.69896696593653</v>
      </c>
      <c r="F57">
        <v>280.70485366673603</v>
      </c>
      <c r="G57">
        <v>106.94935053498571</v>
      </c>
      <c r="H57">
        <v>272.24233599809673</v>
      </c>
      <c r="I57">
        <v>234.13676405991831</v>
      </c>
      <c r="J57">
        <v>272.57017346215918</v>
      </c>
      <c r="K57">
        <v>295.56658665086121</v>
      </c>
      <c r="L57">
        <v>285.46264823658163</v>
      </c>
      <c r="M57">
        <v>329.25744909753342</v>
      </c>
      <c r="N57">
        <v>300.08727407553795</v>
      </c>
      <c r="O57">
        <v>309.14130878929308</v>
      </c>
      <c r="P57">
        <v>300.59045770826975</v>
      </c>
      <c r="Q57">
        <v>301.84325009814921</v>
      </c>
      <c r="R57">
        <v>317.97704234638718</v>
      </c>
      <c r="S57">
        <v>323.9318107639001</v>
      </c>
      <c r="T57">
        <v>346.24041001118911</v>
      </c>
      <c r="U57">
        <v>359.58792625274867</v>
      </c>
      <c r="V57">
        <v>376.65858111011948</v>
      </c>
      <c r="W57">
        <v>390.52340436273346</v>
      </c>
      <c r="X57">
        <v>399.33085883262783</v>
      </c>
      <c r="Y57">
        <v>408.97857573788582</v>
      </c>
      <c r="Z57">
        <v>413.87439857866195</v>
      </c>
      <c r="AA57">
        <v>420.20411409868723</v>
      </c>
      <c r="AB57">
        <v>425.42173071384281</v>
      </c>
      <c r="AC57">
        <v>431.38715104660707</v>
      </c>
      <c r="AD57">
        <v>438.81624425756269</v>
      </c>
      <c r="AE57">
        <v>446.4510005602981</v>
      </c>
      <c r="AF57">
        <v>455.44180197639059</v>
      </c>
      <c r="AG57">
        <v>464.08921593410525</v>
      </c>
      <c r="AH57">
        <v>472.64590310624993</v>
      </c>
      <c r="AI57">
        <v>480.44704986787139</v>
      </c>
      <c r="AJ57">
        <v>487.2042989728306</v>
      </c>
      <c r="AK57">
        <v>493.2248259167107</v>
      </c>
      <c r="AL57">
        <v>498.37221278511419</v>
      </c>
      <c r="AM57">
        <v>503.21598379348956</v>
      </c>
      <c r="AN57">
        <v>507.87524320015581</v>
      </c>
      <c r="AO57">
        <v>512.62155188835243</v>
      </c>
      <c r="AP57">
        <v>517.57209963195839</v>
      </c>
      <c r="AQ57">
        <v>522.6434074895119</v>
      </c>
      <c r="AR57">
        <v>527.81347139542322</v>
      </c>
      <c r="AS57">
        <v>532.88364898517284</v>
      </c>
      <c r="AT57">
        <v>537.7633390004371</v>
      </c>
      <c r="AU57">
        <v>542.34793538142912</v>
      </c>
      <c r="AV57">
        <v>546.59392343999889</v>
      </c>
      <c r="AW57">
        <v>550.52989846918581</v>
      </c>
      <c r="AX57">
        <v>554.19038512390716</v>
      </c>
      <c r="AY57">
        <v>557.66168348803728</v>
      </c>
      <c r="BA57" s="1">
        <v>1</v>
      </c>
      <c r="BB57" t="str">
        <f t="shared" si="0"/>
        <v>Pi - Centro-Norte Piaui</v>
      </c>
      <c r="BC57" s="3">
        <v>411.18971128350734</v>
      </c>
      <c r="BD57" s="3">
        <v>262.13771983703231</v>
      </c>
      <c r="BE57" s="3">
        <v>165.26349192502201</v>
      </c>
      <c r="BF57" s="3">
        <v>190.07996629172061</v>
      </c>
      <c r="BG57" s="3">
        <v>49.476809029452433</v>
      </c>
      <c r="BH57" s="3">
        <v>163.68786427908748</v>
      </c>
      <c r="BI57" s="3">
        <v>138.23079625404785</v>
      </c>
      <c r="BJ57" s="3">
        <v>153.09337295991151</v>
      </c>
      <c r="BK57" s="3">
        <v>188.87939392111775</v>
      </c>
      <c r="BL57" s="3">
        <v>171.19795629740941</v>
      </c>
      <c r="BM57" s="3">
        <v>202.43939620873311</v>
      </c>
      <c r="BN57" s="3">
        <v>166.28388920597848</v>
      </c>
      <c r="BO57" s="3">
        <v>157.51801250541047</v>
      </c>
      <c r="BP57" s="3">
        <v>137.56857432312216</v>
      </c>
      <c r="BQ57" s="3">
        <v>117.78451063583887</v>
      </c>
      <c r="BR57" s="3">
        <v>113.01704319228438</v>
      </c>
      <c r="BS57" s="3">
        <v>97.82331031954439</v>
      </c>
      <c r="BT57" s="3">
        <v>98.446633706240846</v>
      </c>
      <c r="BU57" s="3">
        <v>94.822286375076089</v>
      </c>
      <c r="BV57" s="3">
        <v>95.557677464827975</v>
      </c>
      <c r="BW57" s="3">
        <v>96.972038077634068</v>
      </c>
      <c r="BX57" s="3">
        <v>94.366386507247739</v>
      </c>
      <c r="BY57" s="3">
        <v>93.029747697048037</v>
      </c>
      <c r="BZ57" s="3">
        <v>86.864880610340435</v>
      </c>
      <c r="CA57" s="3">
        <v>80.644741212532608</v>
      </c>
      <c r="CB57" s="3">
        <v>72.936089045666165</v>
      </c>
      <c r="CC57" s="3">
        <v>65.230580035282685</v>
      </c>
      <c r="CD57" s="3">
        <v>59.216664803307651</v>
      </c>
      <c r="CE57" s="3">
        <v>53.969353934083813</v>
      </c>
      <c r="CF57" s="3">
        <v>50.818478705776101</v>
      </c>
      <c r="CG57" s="3">
        <v>48.386538543107747</v>
      </c>
      <c r="CH57" s="3">
        <v>46.634434021478285</v>
      </c>
      <c r="CI57" s="3">
        <v>44.92261572911957</v>
      </c>
      <c r="CJ57" s="3">
        <v>42.669400510532626</v>
      </c>
      <c r="CK57" s="3">
        <v>40.021271657309228</v>
      </c>
      <c r="CL57" s="3">
        <v>36.712527973058002</v>
      </c>
      <c r="CM57" s="3">
        <v>33.157734687052539</v>
      </c>
      <c r="CN57" s="3">
        <v>29.489176486348072</v>
      </c>
      <c r="CO57" s="3">
        <v>25.962018351791812</v>
      </c>
      <c r="CP57" s="3">
        <v>22.791830216446272</v>
      </c>
      <c r="CQ57" s="3">
        <v>19.989411574358655</v>
      </c>
      <c r="CR57" s="3">
        <v>17.619727364199434</v>
      </c>
      <c r="CS57" s="3">
        <v>15.555053682832181</v>
      </c>
      <c r="CT57" s="3">
        <v>13.703813245730089</v>
      </c>
      <c r="CU57" s="3">
        <v>11.935838757381021</v>
      </c>
      <c r="CV57" s="3">
        <v>10.136772195056324</v>
      </c>
      <c r="CW57" s="3">
        <v>8.2617733763620436</v>
      </c>
      <c r="CX57" s="3">
        <v>6.2834396743375009</v>
      </c>
      <c r="CY57" s="3">
        <v>4.2462533819781356</v>
      </c>
    </row>
    <row r="58" spans="1:103" x14ac:dyDescent="0.25">
      <c r="A58" t="s">
        <v>31</v>
      </c>
      <c r="B58" t="s">
        <v>5</v>
      </c>
      <c r="C58">
        <v>-103.69914670686022</v>
      </c>
      <c r="D58">
        <v>81.129733912958997</v>
      </c>
      <c r="E58">
        <v>63.435475040914532</v>
      </c>
      <c r="F58">
        <v>90.624887375015433</v>
      </c>
      <c r="G58">
        <v>57.472541505533279</v>
      </c>
      <c r="H58">
        <v>108.55447171900927</v>
      </c>
      <c r="I58">
        <v>95.905967805870475</v>
      </c>
      <c r="J58">
        <v>119.47680050224766</v>
      </c>
      <c r="K58">
        <v>106.68719272974344</v>
      </c>
      <c r="L58">
        <v>114.26469193917224</v>
      </c>
      <c r="M58">
        <v>126.81805288880031</v>
      </c>
      <c r="N58">
        <v>133.80338486955947</v>
      </c>
      <c r="O58">
        <v>151.62329628388261</v>
      </c>
      <c r="P58">
        <v>163.02188338514759</v>
      </c>
      <c r="Q58">
        <v>184.05873946231034</v>
      </c>
      <c r="R58">
        <v>204.9599991541028</v>
      </c>
      <c r="S58">
        <v>226.10850044435571</v>
      </c>
      <c r="T58">
        <v>247.79377630494827</v>
      </c>
      <c r="U58">
        <v>264.76563987767258</v>
      </c>
      <c r="V58">
        <v>281.10090364529151</v>
      </c>
      <c r="W58">
        <v>293.55136628509939</v>
      </c>
      <c r="X58">
        <v>304.96447232538009</v>
      </c>
      <c r="Y58">
        <v>315.94882804083778</v>
      </c>
      <c r="Z58">
        <v>327.00951796832152</v>
      </c>
      <c r="AA58">
        <v>339.55937288615462</v>
      </c>
      <c r="AB58">
        <v>352.48564166817664</v>
      </c>
      <c r="AC58">
        <v>366.15657101132439</v>
      </c>
      <c r="AD58">
        <v>379.59957945425504</v>
      </c>
      <c r="AE58">
        <v>392.48164662621429</v>
      </c>
      <c r="AF58">
        <v>404.62332327061449</v>
      </c>
      <c r="AG58">
        <v>415.70267739099751</v>
      </c>
      <c r="AH58">
        <v>426.01146908477165</v>
      </c>
      <c r="AI58">
        <v>435.52443413875181</v>
      </c>
      <c r="AJ58">
        <v>444.53489846229797</v>
      </c>
      <c r="AK58">
        <v>453.20355425940147</v>
      </c>
      <c r="AL58">
        <v>461.65968481205618</v>
      </c>
      <c r="AM58">
        <v>470.05824910643702</v>
      </c>
      <c r="AN58">
        <v>478.38606671380774</v>
      </c>
      <c r="AO58">
        <v>486.65953353656062</v>
      </c>
      <c r="AP58">
        <v>494.78026941551212</v>
      </c>
      <c r="AQ58">
        <v>502.65399591515325</v>
      </c>
      <c r="AR58">
        <v>510.19374403122379</v>
      </c>
      <c r="AS58">
        <v>517.32859530234066</v>
      </c>
      <c r="AT58">
        <v>524.05952575470701</v>
      </c>
      <c r="AU58">
        <v>530.4120966240481</v>
      </c>
      <c r="AV58">
        <v>536.45715124494257</v>
      </c>
      <c r="AW58">
        <v>542.26812509282377</v>
      </c>
      <c r="AX58">
        <v>547.90694544956966</v>
      </c>
      <c r="AY58">
        <v>553.41543010605915</v>
      </c>
      <c r="BA58" s="1">
        <v>-1</v>
      </c>
      <c r="BB58" t="str">
        <f t="shared" si="0"/>
        <v>Pi - Centro-Norte Piaui</v>
      </c>
      <c r="BC58" s="3" t="s">
        <v>144</v>
      </c>
      <c r="BD58" s="3" t="s">
        <v>144</v>
      </c>
      <c r="BE58" s="3" t="s">
        <v>144</v>
      </c>
      <c r="BF58" s="3" t="s">
        <v>144</v>
      </c>
      <c r="BG58" s="3" t="s">
        <v>144</v>
      </c>
      <c r="BH58" s="3" t="s">
        <v>144</v>
      </c>
      <c r="BI58" s="3" t="s">
        <v>144</v>
      </c>
      <c r="BJ58" s="3" t="s">
        <v>144</v>
      </c>
      <c r="BK58" s="3" t="s">
        <v>144</v>
      </c>
      <c r="BL58" s="3" t="s">
        <v>144</v>
      </c>
      <c r="BM58" s="3" t="s">
        <v>144</v>
      </c>
      <c r="BN58" s="3" t="s">
        <v>144</v>
      </c>
      <c r="BO58" s="3" t="s">
        <v>144</v>
      </c>
      <c r="BP58" s="3" t="s">
        <v>144</v>
      </c>
      <c r="BQ58" s="3" t="s">
        <v>144</v>
      </c>
      <c r="BR58" s="3" t="s">
        <v>144</v>
      </c>
      <c r="BS58" s="3" t="s">
        <v>144</v>
      </c>
      <c r="BT58" s="3" t="s">
        <v>144</v>
      </c>
      <c r="BU58" s="3" t="s">
        <v>144</v>
      </c>
      <c r="BV58" s="3" t="s">
        <v>144</v>
      </c>
      <c r="BW58" s="3" t="s">
        <v>144</v>
      </c>
      <c r="BX58" s="3" t="s">
        <v>144</v>
      </c>
      <c r="BY58" s="3" t="s">
        <v>144</v>
      </c>
      <c r="BZ58" s="3" t="s">
        <v>144</v>
      </c>
      <c r="CA58" s="3" t="s">
        <v>144</v>
      </c>
      <c r="CB58" s="3" t="s">
        <v>144</v>
      </c>
      <c r="CC58" s="3" t="s">
        <v>144</v>
      </c>
      <c r="CD58" s="3" t="s">
        <v>144</v>
      </c>
      <c r="CE58" s="3" t="s">
        <v>144</v>
      </c>
      <c r="CF58" s="3" t="s">
        <v>144</v>
      </c>
      <c r="CG58" s="3" t="s">
        <v>144</v>
      </c>
      <c r="CH58" s="3" t="s">
        <v>144</v>
      </c>
      <c r="CI58" s="3" t="s">
        <v>144</v>
      </c>
      <c r="CJ58" s="3" t="s">
        <v>144</v>
      </c>
      <c r="CK58" s="3" t="s">
        <v>144</v>
      </c>
      <c r="CL58" s="3" t="s">
        <v>144</v>
      </c>
      <c r="CM58" s="3" t="s">
        <v>144</v>
      </c>
      <c r="CN58" s="3" t="s">
        <v>144</v>
      </c>
      <c r="CO58" s="3" t="s">
        <v>144</v>
      </c>
      <c r="CP58" s="3" t="s">
        <v>144</v>
      </c>
      <c r="CQ58" s="3" t="s">
        <v>144</v>
      </c>
      <c r="CR58" s="3" t="s">
        <v>144</v>
      </c>
      <c r="CS58" s="3" t="s">
        <v>144</v>
      </c>
      <c r="CT58" s="3" t="s">
        <v>144</v>
      </c>
      <c r="CU58" s="3" t="s">
        <v>144</v>
      </c>
      <c r="CV58" s="3" t="s">
        <v>144</v>
      </c>
      <c r="CW58" s="3" t="s">
        <v>144</v>
      </c>
      <c r="CX58" s="3" t="s">
        <v>144</v>
      </c>
      <c r="CY58" s="3" t="s">
        <v>144</v>
      </c>
    </row>
    <row r="59" spans="1:103" x14ac:dyDescent="0.25">
      <c r="A59" t="s">
        <v>32</v>
      </c>
      <c r="B59" t="s">
        <v>4</v>
      </c>
      <c r="C59">
        <v>77.315738127012196</v>
      </c>
      <c r="D59">
        <v>61.706000413808013</v>
      </c>
      <c r="E59">
        <v>68.652862940889676</v>
      </c>
      <c r="F59">
        <v>43.823661529091936</v>
      </c>
      <c r="G59">
        <v>44.094892901464448</v>
      </c>
      <c r="H59">
        <v>64.771953330605712</v>
      </c>
      <c r="I59">
        <v>55.754639323091716</v>
      </c>
      <c r="J59">
        <v>67.930082429609342</v>
      </c>
      <c r="K59">
        <v>63.955313155862562</v>
      </c>
      <c r="L59">
        <v>71.591507430173493</v>
      </c>
      <c r="M59">
        <v>73.826169770139316</v>
      </c>
      <c r="N59">
        <v>70.937197140671131</v>
      </c>
      <c r="O59">
        <v>72.22262690330497</v>
      </c>
      <c r="P59">
        <v>68.911699289865552</v>
      </c>
      <c r="Q59">
        <v>70.628506634229169</v>
      </c>
      <c r="R59">
        <v>70.781393559630914</v>
      </c>
      <c r="S59">
        <v>72.194362730940767</v>
      </c>
      <c r="T59">
        <v>74.708651088608818</v>
      </c>
      <c r="U59">
        <v>76.313020371847202</v>
      </c>
      <c r="V59">
        <v>78.997517953712091</v>
      </c>
      <c r="W59">
        <v>80.362620111074875</v>
      </c>
      <c r="X59">
        <v>81.802409550696993</v>
      </c>
      <c r="Y59">
        <v>82.72466625474074</v>
      </c>
      <c r="Z59">
        <v>83.240025640250181</v>
      </c>
      <c r="AA59">
        <v>83.869227775725193</v>
      </c>
      <c r="AB59">
        <v>84.20141080729276</v>
      </c>
      <c r="AC59">
        <v>84.841827362487038</v>
      </c>
      <c r="AD59">
        <v>85.530420103769458</v>
      </c>
      <c r="AE59">
        <v>86.421881057513829</v>
      </c>
      <c r="AF59">
        <v>87.472293388167898</v>
      </c>
      <c r="AG59">
        <v>88.513734432749544</v>
      </c>
      <c r="AH59">
        <v>89.58857448647413</v>
      </c>
      <c r="AI59">
        <v>90.518148834135872</v>
      </c>
      <c r="AJ59">
        <v>91.339517103383301</v>
      </c>
      <c r="AK59">
        <v>92.017534499504279</v>
      </c>
      <c r="AL59">
        <v>92.579561845133213</v>
      </c>
      <c r="AM59">
        <v>93.091959787773732</v>
      </c>
      <c r="AN59">
        <v>93.572367429791299</v>
      </c>
      <c r="AO59">
        <v>94.08112742872035</v>
      </c>
      <c r="AP59">
        <v>94.618859627247332</v>
      </c>
      <c r="AQ59">
        <v>95.192752940243267</v>
      </c>
      <c r="AR59">
        <v>95.789288341224747</v>
      </c>
      <c r="AS59">
        <v>96.382698886625562</v>
      </c>
      <c r="AT59">
        <v>96.958536293771942</v>
      </c>
      <c r="AU59">
        <v>97.495157589795838</v>
      </c>
      <c r="AV59">
        <v>97.988436392358793</v>
      </c>
      <c r="AW59">
        <v>98.43697084498649</v>
      </c>
      <c r="AX59">
        <v>98.84753916595993</v>
      </c>
      <c r="AY59">
        <v>99.232006846109371</v>
      </c>
      <c r="BA59" s="1">
        <v>1</v>
      </c>
      <c r="BB59" t="str">
        <f t="shared" si="0"/>
        <v>Pi - Sudoeste Piauiense</v>
      </c>
      <c r="BC59" s="3">
        <v>88.497766741548688</v>
      </c>
      <c r="BD59" s="3">
        <v>61.511011594666478</v>
      </c>
      <c r="BE59" s="3">
        <v>41.317695739225414</v>
      </c>
      <c r="BF59" s="3">
        <v>8.4054151566890383</v>
      </c>
      <c r="BG59" s="3">
        <v>7.7473575540400574</v>
      </c>
      <c r="BH59" s="3">
        <v>28.316586356458636</v>
      </c>
      <c r="BI59" s="3">
        <v>19.198551709263803</v>
      </c>
      <c r="BJ59" s="3">
        <v>25.057531104314805</v>
      </c>
      <c r="BK59" s="3">
        <v>23.221025738001309</v>
      </c>
      <c r="BL59" s="3">
        <v>27.789143572591819</v>
      </c>
      <c r="BM59" s="3">
        <v>28.614405168025236</v>
      </c>
      <c r="BN59" s="3">
        <v>22.317253680730659</v>
      </c>
      <c r="BO59" s="3">
        <v>20.446864804581395</v>
      </c>
      <c r="BP59" s="3">
        <v>16.018649061347311</v>
      </c>
      <c r="BQ59" s="3">
        <v>15.723717370436347</v>
      </c>
      <c r="BR59" s="3">
        <v>14.98726611847674</v>
      </c>
      <c r="BS59" s="3">
        <v>14.738314449721607</v>
      </c>
      <c r="BT59" s="3">
        <v>15.761856022409482</v>
      </c>
      <c r="BU59" s="3">
        <v>15.870076084755325</v>
      </c>
      <c r="BV59" s="3">
        <v>16.69074469563224</v>
      </c>
      <c r="BW59" s="3">
        <v>16.450628260766102</v>
      </c>
      <c r="BX59" s="3">
        <v>16.061634125251246</v>
      </c>
      <c r="BY59" s="3">
        <v>15.388430127630627</v>
      </c>
      <c r="BZ59" s="3">
        <v>14.336909771188587</v>
      </c>
      <c r="CA59" s="3">
        <v>13.456386704147249</v>
      </c>
      <c r="CB59" s="3">
        <v>12.422418088059558</v>
      </c>
      <c r="CC59" s="3">
        <v>11.715940581527633</v>
      </c>
      <c r="CD59" s="3">
        <v>11.200042763183546</v>
      </c>
      <c r="CE59" s="3">
        <v>10.915993544542005</v>
      </c>
      <c r="CF59" s="3">
        <v>10.839814679016669</v>
      </c>
      <c r="CG59" s="3">
        <v>10.772758807931396</v>
      </c>
      <c r="CH59" s="3">
        <v>10.725093994170564</v>
      </c>
      <c r="CI59" s="3">
        <v>10.548573481231514</v>
      </c>
      <c r="CJ59" s="3">
        <v>10.262899101748928</v>
      </c>
      <c r="CK59" s="3">
        <v>9.8721329066447794</v>
      </c>
      <c r="CL59" s="3">
        <v>9.4098358517529448</v>
      </c>
      <c r="CM59" s="3">
        <v>8.9534246607771166</v>
      </c>
      <c r="CN59" s="3">
        <v>8.5252217592673247</v>
      </c>
      <c r="CO59" s="3">
        <v>8.1715211054461605</v>
      </c>
      <c r="CP59" s="3">
        <v>7.8891148936840665</v>
      </c>
      <c r="CQ59" s="3">
        <v>7.6703333454996425</v>
      </c>
      <c r="CR59" s="3">
        <v>7.4968429388774354</v>
      </c>
      <c r="CS59" s="3">
        <v>7.3389905942922411</v>
      </c>
      <c r="CT59" s="3">
        <v>7.1808449611402239</v>
      </c>
      <c r="CU59" s="3">
        <v>7.0038729049954611</v>
      </c>
      <c r="CV59" s="3">
        <v>6.8047257712974698</v>
      </c>
      <c r="CW59" s="3">
        <v>6.5853100155835023</v>
      </c>
      <c r="CX59" s="3">
        <v>6.3535085043109945</v>
      </c>
      <c r="CY59" s="3">
        <v>6.1220513736807334</v>
      </c>
    </row>
    <row r="60" spans="1:103" x14ac:dyDescent="0.25">
      <c r="A60" t="s">
        <v>32</v>
      </c>
      <c r="B60" t="s">
        <v>5</v>
      </c>
      <c r="C60">
        <v>-11.182028614536494</v>
      </c>
      <c r="D60">
        <v>0.19498881914153585</v>
      </c>
      <c r="E60">
        <v>27.335167201664266</v>
      </c>
      <c r="F60">
        <v>35.418246372402898</v>
      </c>
      <c r="G60">
        <v>36.34753534742439</v>
      </c>
      <c r="H60">
        <v>36.455366974147076</v>
      </c>
      <c r="I60">
        <v>36.556087613827913</v>
      </c>
      <c r="J60">
        <v>42.872551325294538</v>
      </c>
      <c r="K60">
        <v>40.734287417861253</v>
      </c>
      <c r="L60">
        <v>43.802363857581675</v>
      </c>
      <c r="M60">
        <v>45.21176460211408</v>
      </c>
      <c r="N60">
        <v>48.619943459940473</v>
      </c>
      <c r="O60">
        <v>51.775762098723575</v>
      </c>
      <c r="P60">
        <v>52.893050228518241</v>
      </c>
      <c r="Q60">
        <v>54.904789263792821</v>
      </c>
      <c r="R60">
        <v>55.794127441154174</v>
      </c>
      <c r="S60">
        <v>57.456048281219161</v>
      </c>
      <c r="T60">
        <v>58.946795066199336</v>
      </c>
      <c r="U60">
        <v>60.442944287091876</v>
      </c>
      <c r="V60">
        <v>62.306773258079851</v>
      </c>
      <c r="W60">
        <v>63.911991850308773</v>
      </c>
      <c r="X60">
        <v>65.740775425445747</v>
      </c>
      <c r="Y60">
        <v>67.336236127110112</v>
      </c>
      <c r="Z60">
        <v>68.903115869061594</v>
      </c>
      <c r="AA60">
        <v>70.412841071577944</v>
      </c>
      <c r="AB60">
        <v>71.778992719233202</v>
      </c>
      <c r="AC60">
        <v>73.125886780959405</v>
      </c>
      <c r="AD60">
        <v>74.330377340585912</v>
      </c>
      <c r="AE60">
        <v>75.505887512971825</v>
      </c>
      <c r="AF60">
        <v>76.632478709151229</v>
      </c>
      <c r="AG60">
        <v>77.740975624818148</v>
      </c>
      <c r="AH60">
        <v>78.863480492303566</v>
      </c>
      <c r="AI60">
        <v>79.969575352904357</v>
      </c>
      <c r="AJ60">
        <v>81.076618001634372</v>
      </c>
      <c r="AK60">
        <v>82.1454015928595</v>
      </c>
      <c r="AL60">
        <v>83.169725993380268</v>
      </c>
      <c r="AM60">
        <v>84.138535126996615</v>
      </c>
      <c r="AN60">
        <v>85.047145670523975</v>
      </c>
      <c r="AO60">
        <v>85.90960632327419</v>
      </c>
      <c r="AP60">
        <v>86.729744733563265</v>
      </c>
      <c r="AQ60">
        <v>87.522419594743624</v>
      </c>
      <c r="AR60">
        <v>88.292445402347312</v>
      </c>
      <c r="AS60">
        <v>89.043708292333321</v>
      </c>
      <c r="AT60">
        <v>89.777691332631719</v>
      </c>
      <c r="AU60">
        <v>90.491284684800377</v>
      </c>
      <c r="AV60">
        <v>91.183710621061323</v>
      </c>
      <c r="AW60">
        <v>91.851660829402988</v>
      </c>
      <c r="AX60">
        <v>92.494030661648935</v>
      </c>
      <c r="AY60">
        <v>93.109955472428638</v>
      </c>
      <c r="BA60" s="1">
        <v>-1</v>
      </c>
      <c r="BB60" t="str">
        <f t="shared" si="0"/>
        <v>Pi - Sudoeste Piauiense</v>
      </c>
      <c r="BC60" s="3" t="s">
        <v>144</v>
      </c>
      <c r="BD60" s="3" t="s">
        <v>144</v>
      </c>
      <c r="BE60" s="3" t="s">
        <v>144</v>
      </c>
      <c r="BF60" s="3" t="s">
        <v>144</v>
      </c>
      <c r="BG60" s="3" t="s">
        <v>144</v>
      </c>
      <c r="BH60" s="3" t="s">
        <v>144</v>
      </c>
      <c r="BI60" s="3" t="s">
        <v>144</v>
      </c>
      <c r="BJ60" s="3" t="s">
        <v>144</v>
      </c>
      <c r="BK60" s="3" t="s">
        <v>144</v>
      </c>
      <c r="BL60" s="3" t="s">
        <v>144</v>
      </c>
      <c r="BM60" s="3" t="s">
        <v>144</v>
      </c>
      <c r="BN60" s="3" t="s">
        <v>144</v>
      </c>
      <c r="BO60" s="3" t="s">
        <v>144</v>
      </c>
      <c r="BP60" s="3" t="s">
        <v>144</v>
      </c>
      <c r="BQ60" s="3" t="s">
        <v>144</v>
      </c>
      <c r="BR60" s="3" t="s">
        <v>144</v>
      </c>
      <c r="BS60" s="3" t="s">
        <v>144</v>
      </c>
      <c r="BT60" s="3" t="s">
        <v>144</v>
      </c>
      <c r="BU60" s="3" t="s">
        <v>144</v>
      </c>
      <c r="BV60" s="3" t="s">
        <v>144</v>
      </c>
      <c r="BW60" s="3" t="s">
        <v>144</v>
      </c>
      <c r="BX60" s="3" t="s">
        <v>144</v>
      </c>
      <c r="BY60" s="3" t="s">
        <v>144</v>
      </c>
      <c r="BZ60" s="3" t="s">
        <v>144</v>
      </c>
      <c r="CA60" s="3" t="s">
        <v>144</v>
      </c>
      <c r="CB60" s="3" t="s">
        <v>144</v>
      </c>
      <c r="CC60" s="3" t="s">
        <v>144</v>
      </c>
      <c r="CD60" s="3" t="s">
        <v>144</v>
      </c>
      <c r="CE60" s="3" t="s">
        <v>144</v>
      </c>
      <c r="CF60" s="3" t="s">
        <v>144</v>
      </c>
      <c r="CG60" s="3" t="s">
        <v>144</v>
      </c>
      <c r="CH60" s="3" t="s">
        <v>144</v>
      </c>
      <c r="CI60" s="3" t="s">
        <v>144</v>
      </c>
      <c r="CJ60" s="3" t="s">
        <v>144</v>
      </c>
      <c r="CK60" s="3" t="s">
        <v>144</v>
      </c>
      <c r="CL60" s="3" t="s">
        <v>144</v>
      </c>
      <c r="CM60" s="3" t="s">
        <v>144</v>
      </c>
      <c r="CN60" s="3" t="s">
        <v>144</v>
      </c>
      <c r="CO60" s="3" t="s">
        <v>144</v>
      </c>
      <c r="CP60" s="3" t="s">
        <v>144</v>
      </c>
      <c r="CQ60" s="3" t="s">
        <v>144</v>
      </c>
      <c r="CR60" s="3" t="s">
        <v>144</v>
      </c>
      <c r="CS60" s="3" t="s">
        <v>144</v>
      </c>
      <c r="CT60" s="3" t="s">
        <v>144</v>
      </c>
      <c r="CU60" s="3" t="s">
        <v>144</v>
      </c>
      <c r="CV60" s="3" t="s">
        <v>144</v>
      </c>
      <c r="CW60" s="3" t="s">
        <v>144</v>
      </c>
      <c r="CX60" s="3" t="s">
        <v>144</v>
      </c>
      <c r="CY60" s="3" t="s">
        <v>144</v>
      </c>
    </row>
    <row r="61" spans="1:103" x14ac:dyDescent="0.25">
      <c r="A61" t="s">
        <v>33</v>
      </c>
      <c r="B61" t="s">
        <v>4</v>
      </c>
      <c r="C61">
        <v>82.420240778129113</v>
      </c>
      <c r="D61">
        <v>57.49935912487237</v>
      </c>
      <c r="E61">
        <v>60.182578587069365</v>
      </c>
      <c r="F61">
        <v>35.533974239818029</v>
      </c>
      <c r="G61">
        <v>20.146705048186274</v>
      </c>
      <c r="H61">
        <v>40.46688551086929</v>
      </c>
      <c r="I61">
        <v>32.281234197851127</v>
      </c>
      <c r="J61">
        <v>39.547049145180992</v>
      </c>
      <c r="K61">
        <v>36.135677096801899</v>
      </c>
      <c r="L61">
        <v>36.511843771796876</v>
      </c>
      <c r="M61">
        <v>39.396424482875304</v>
      </c>
      <c r="N61">
        <v>34.747381795082397</v>
      </c>
      <c r="O61">
        <v>36.138551469743362</v>
      </c>
      <c r="P61">
        <v>33.963312275328093</v>
      </c>
      <c r="Q61">
        <v>35.589526312155968</v>
      </c>
      <c r="R61">
        <v>37.387716677560817</v>
      </c>
      <c r="S61">
        <v>38.700526804720901</v>
      </c>
      <c r="T61">
        <v>41.351483496591577</v>
      </c>
      <c r="U61">
        <v>42.334438865327051</v>
      </c>
      <c r="V61">
        <v>43.947663519917022</v>
      </c>
      <c r="W61">
        <v>44.517068600553777</v>
      </c>
      <c r="X61">
        <v>44.855090490158872</v>
      </c>
      <c r="Y61">
        <v>45.202865104179466</v>
      </c>
      <c r="Z61">
        <v>45.233688517370823</v>
      </c>
      <c r="AA61">
        <v>45.68769256587003</v>
      </c>
      <c r="AB61">
        <v>46.049569934803422</v>
      </c>
      <c r="AC61">
        <v>46.696831130045531</v>
      </c>
      <c r="AD61">
        <v>47.44621546228931</v>
      </c>
      <c r="AE61">
        <v>48.227948612134043</v>
      </c>
      <c r="AF61">
        <v>49.086683436223048</v>
      </c>
      <c r="AG61">
        <v>49.812446698711767</v>
      </c>
      <c r="AH61">
        <v>50.489807087762337</v>
      </c>
      <c r="AI61">
        <v>51.018442405073273</v>
      </c>
      <c r="AJ61">
        <v>51.443862159400148</v>
      </c>
      <c r="AK61">
        <v>51.801787623453201</v>
      </c>
      <c r="AL61">
        <v>52.108582418194594</v>
      </c>
      <c r="AM61">
        <v>52.438232589426448</v>
      </c>
      <c r="AN61">
        <v>52.788897967203098</v>
      </c>
      <c r="AO61">
        <v>53.188577195253202</v>
      </c>
      <c r="AP61">
        <v>53.621451349976027</v>
      </c>
      <c r="AQ61">
        <v>54.067379509418096</v>
      </c>
      <c r="AR61">
        <v>54.509757831543411</v>
      </c>
      <c r="AS61">
        <v>54.921539570749232</v>
      </c>
      <c r="AT61">
        <v>55.297760310647398</v>
      </c>
      <c r="AU61">
        <v>55.631621205881707</v>
      </c>
      <c r="AV61">
        <v>55.930102757882622</v>
      </c>
      <c r="AW61">
        <v>56.203423929095187</v>
      </c>
      <c r="AX61">
        <v>56.461473014989721</v>
      </c>
      <c r="AY61">
        <v>56.715762506461438</v>
      </c>
      <c r="BA61" s="1">
        <v>1</v>
      </c>
      <c r="BB61" t="str">
        <f t="shared" si="0"/>
        <v>Pi - Sudeste Piauiense</v>
      </c>
      <c r="BC61" s="3">
        <v>74.864542818664759</v>
      </c>
      <c r="BD61" s="3">
        <v>46.373425558786273</v>
      </c>
      <c r="BE61" s="3">
        <v>57.034218833471549</v>
      </c>
      <c r="BF61" s="3">
        <v>29.312010284696481</v>
      </c>
      <c r="BG61" s="3">
        <v>15.479349686433782</v>
      </c>
      <c r="BH61" s="3">
        <v>26.96285670385069</v>
      </c>
      <c r="BI61" s="3">
        <v>18.648567255429668</v>
      </c>
      <c r="BJ61" s="3">
        <v>22.01701240556763</v>
      </c>
      <c r="BK61" s="3">
        <v>18.199825445241597</v>
      </c>
      <c r="BL61" s="3">
        <v>17.681967853970107</v>
      </c>
      <c r="BM61" s="3">
        <v>19.74256962833384</v>
      </c>
      <c r="BN61" s="3">
        <v>15.414089834886603</v>
      </c>
      <c r="BO61" s="3">
        <v>15.390171297852742</v>
      </c>
      <c r="BP61" s="3">
        <v>12.284210562542746</v>
      </c>
      <c r="BQ61" s="3">
        <v>12.189022906137307</v>
      </c>
      <c r="BR61" s="3">
        <v>12.405326447387001</v>
      </c>
      <c r="BS61" s="3">
        <v>12.318433379761981</v>
      </c>
      <c r="BT61" s="3">
        <v>13.333744193700337</v>
      </c>
      <c r="BU61" s="3">
        <v>13.012946290338711</v>
      </c>
      <c r="BV61" s="3">
        <v>13.144386110342921</v>
      </c>
      <c r="BW61" s="3">
        <v>12.422625237660384</v>
      </c>
      <c r="BX61" s="3">
        <v>11.503052185572081</v>
      </c>
      <c r="BY61" s="3">
        <v>10.632210035822432</v>
      </c>
      <c r="BZ61" s="3">
        <v>9.572640798174902</v>
      </c>
      <c r="CA61" s="3">
        <v>8.9185478145166357</v>
      </c>
      <c r="CB61" s="3">
        <v>8.251141271542437</v>
      </c>
      <c r="CC61" s="3">
        <v>7.8485382789002855</v>
      </c>
      <c r="CD61" s="3">
        <v>7.5576153211273009</v>
      </c>
      <c r="CE61" s="3">
        <v>7.3145899224685849</v>
      </c>
      <c r="CF61" s="3">
        <v>7.1555082406182748</v>
      </c>
      <c r="CG61" s="3">
        <v>6.913650057561938</v>
      </c>
      <c r="CH61" s="3">
        <v>6.6553338829645554</v>
      </c>
      <c r="CI61" s="3">
        <v>6.301340151479593</v>
      </c>
      <c r="CJ61" s="3">
        <v>5.8866016203478964</v>
      </c>
      <c r="CK61" s="3">
        <v>5.4413774548048437</v>
      </c>
      <c r="CL61" s="3">
        <v>4.9809249482782647</v>
      </c>
      <c r="CM61" s="3">
        <v>4.5670367753016308</v>
      </c>
      <c r="CN61" s="3">
        <v>4.2001963261479318</v>
      </c>
      <c r="CO61" s="3">
        <v>3.9018505139024953</v>
      </c>
      <c r="CP61" s="3">
        <v>3.6567947330331947</v>
      </c>
      <c r="CQ61" s="3">
        <v>3.4446895417941761</v>
      </c>
      <c r="CR61" s="3">
        <v>3.2483772516415783</v>
      </c>
      <c r="CS61" s="3">
        <v>3.0436121145721415</v>
      </c>
      <c r="CT61" s="3">
        <v>2.8254117813200494</v>
      </c>
      <c r="CU61" s="3">
        <v>2.5889113730852102</v>
      </c>
      <c r="CV61" s="3">
        <v>2.3408229647252767</v>
      </c>
      <c r="CW61" s="3">
        <v>2.090462129514215</v>
      </c>
      <c r="CX61" s="3">
        <v>1.846224789148728</v>
      </c>
      <c r="CY61" s="3">
        <v>1.6170508236526402</v>
      </c>
    </row>
    <row r="62" spans="1:103" x14ac:dyDescent="0.25">
      <c r="A62" t="s">
        <v>33</v>
      </c>
      <c r="B62" t="s">
        <v>5</v>
      </c>
      <c r="C62">
        <v>7.5556979594643527</v>
      </c>
      <c r="D62">
        <v>11.125933566086097</v>
      </c>
      <c r="E62">
        <v>3.1483597535978194</v>
      </c>
      <c r="F62">
        <v>6.2219639551215487</v>
      </c>
      <c r="G62">
        <v>4.6673553617524917</v>
      </c>
      <c r="H62">
        <v>13.504028807018598</v>
      </c>
      <c r="I62">
        <v>13.632666942421457</v>
      </c>
      <c r="J62">
        <v>17.530036739613362</v>
      </c>
      <c r="K62">
        <v>17.935851651560302</v>
      </c>
      <c r="L62">
        <v>18.829875917826769</v>
      </c>
      <c r="M62">
        <v>19.653854854541464</v>
      </c>
      <c r="N62">
        <v>19.333291960195794</v>
      </c>
      <c r="O62">
        <v>20.74838017189062</v>
      </c>
      <c r="P62">
        <v>21.679101712785346</v>
      </c>
      <c r="Q62">
        <v>23.400503406018661</v>
      </c>
      <c r="R62">
        <v>24.982390230173817</v>
      </c>
      <c r="S62">
        <v>26.382093424958921</v>
      </c>
      <c r="T62">
        <v>28.01773930289124</v>
      </c>
      <c r="U62">
        <v>29.321492574988341</v>
      </c>
      <c r="V62">
        <v>30.8032774095741</v>
      </c>
      <c r="W62">
        <v>32.094443362893394</v>
      </c>
      <c r="X62">
        <v>33.352038304586792</v>
      </c>
      <c r="Y62">
        <v>34.570655068357034</v>
      </c>
      <c r="Z62">
        <v>35.661047719195921</v>
      </c>
      <c r="AA62">
        <v>36.769144751353394</v>
      </c>
      <c r="AB62">
        <v>37.798428663260985</v>
      </c>
      <c r="AC62">
        <v>38.848292851145246</v>
      </c>
      <c r="AD62">
        <v>39.888600141162009</v>
      </c>
      <c r="AE62">
        <v>40.913358689665458</v>
      </c>
      <c r="AF62">
        <v>41.931175195604773</v>
      </c>
      <c r="AG62">
        <v>42.898796641149829</v>
      </c>
      <c r="AH62">
        <v>43.834473204797781</v>
      </c>
      <c r="AI62">
        <v>44.71710225359368</v>
      </c>
      <c r="AJ62">
        <v>45.557260539052251</v>
      </c>
      <c r="AK62">
        <v>46.360410168648357</v>
      </c>
      <c r="AL62">
        <v>47.127657469916329</v>
      </c>
      <c r="AM62">
        <v>47.871195814124818</v>
      </c>
      <c r="AN62">
        <v>48.588701641055167</v>
      </c>
      <c r="AO62">
        <v>49.286726681350707</v>
      </c>
      <c r="AP62">
        <v>49.964656616942833</v>
      </c>
      <c r="AQ62">
        <v>50.62268996762392</v>
      </c>
      <c r="AR62">
        <v>51.261380579901832</v>
      </c>
      <c r="AS62">
        <v>51.87792745617709</v>
      </c>
      <c r="AT62">
        <v>52.472348529327348</v>
      </c>
      <c r="AU62">
        <v>53.042709832796497</v>
      </c>
      <c r="AV62">
        <v>53.589279793157345</v>
      </c>
      <c r="AW62">
        <v>54.112961799580972</v>
      </c>
      <c r="AX62">
        <v>54.615248225840993</v>
      </c>
      <c r="AY62">
        <v>55.098711682808798</v>
      </c>
      <c r="BA62" s="1">
        <v>-1</v>
      </c>
      <c r="BB62" t="str">
        <f t="shared" si="0"/>
        <v>Pi - Sudeste Piauiense</v>
      </c>
      <c r="BC62" s="3" t="s">
        <v>144</v>
      </c>
      <c r="BD62" s="3" t="s">
        <v>144</v>
      </c>
      <c r="BE62" s="3" t="s">
        <v>144</v>
      </c>
      <c r="BF62" s="3" t="s">
        <v>144</v>
      </c>
      <c r="BG62" s="3" t="s">
        <v>144</v>
      </c>
      <c r="BH62" s="3" t="s">
        <v>144</v>
      </c>
      <c r="BI62" s="3" t="s">
        <v>144</v>
      </c>
      <c r="BJ62" s="3" t="s">
        <v>144</v>
      </c>
      <c r="BK62" s="3" t="s">
        <v>144</v>
      </c>
      <c r="BL62" s="3" t="s">
        <v>144</v>
      </c>
      <c r="BM62" s="3" t="s">
        <v>144</v>
      </c>
      <c r="BN62" s="3" t="s">
        <v>144</v>
      </c>
      <c r="BO62" s="3" t="s">
        <v>144</v>
      </c>
      <c r="BP62" s="3" t="s">
        <v>144</v>
      </c>
      <c r="BQ62" s="3" t="s">
        <v>144</v>
      </c>
      <c r="BR62" s="3" t="s">
        <v>144</v>
      </c>
      <c r="BS62" s="3" t="s">
        <v>144</v>
      </c>
      <c r="BT62" s="3" t="s">
        <v>144</v>
      </c>
      <c r="BU62" s="3" t="s">
        <v>144</v>
      </c>
      <c r="BV62" s="3" t="s">
        <v>144</v>
      </c>
      <c r="BW62" s="3" t="s">
        <v>144</v>
      </c>
      <c r="BX62" s="3" t="s">
        <v>144</v>
      </c>
      <c r="BY62" s="3" t="s">
        <v>144</v>
      </c>
      <c r="BZ62" s="3" t="s">
        <v>144</v>
      </c>
      <c r="CA62" s="3" t="s">
        <v>144</v>
      </c>
      <c r="CB62" s="3" t="s">
        <v>144</v>
      </c>
      <c r="CC62" s="3" t="s">
        <v>144</v>
      </c>
      <c r="CD62" s="3" t="s">
        <v>144</v>
      </c>
      <c r="CE62" s="3" t="s">
        <v>144</v>
      </c>
      <c r="CF62" s="3" t="s">
        <v>144</v>
      </c>
      <c r="CG62" s="3" t="s">
        <v>144</v>
      </c>
      <c r="CH62" s="3" t="s">
        <v>144</v>
      </c>
      <c r="CI62" s="3" t="s">
        <v>144</v>
      </c>
      <c r="CJ62" s="3" t="s">
        <v>144</v>
      </c>
      <c r="CK62" s="3" t="s">
        <v>144</v>
      </c>
      <c r="CL62" s="3" t="s">
        <v>144</v>
      </c>
      <c r="CM62" s="3" t="s">
        <v>144</v>
      </c>
      <c r="CN62" s="3" t="s">
        <v>144</v>
      </c>
      <c r="CO62" s="3" t="s">
        <v>144</v>
      </c>
      <c r="CP62" s="3" t="s">
        <v>144</v>
      </c>
      <c r="CQ62" s="3" t="s">
        <v>144</v>
      </c>
      <c r="CR62" s="3" t="s">
        <v>144</v>
      </c>
      <c r="CS62" s="3" t="s">
        <v>144</v>
      </c>
      <c r="CT62" s="3" t="s">
        <v>144</v>
      </c>
      <c r="CU62" s="3" t="s">
        <v>144</v>
      </c>
      <c r="CV62" s="3" t="s">
        <v>144</v>
      </c>
      <c r="CW62" s="3" t="s">
        <v>144</v>
      </c>
      <c r="CX62" s="3" t="s">
        <v>144</v>
      </c>
      <c r="CY62" s="3" t="s">
        <v>144</v>
      </c>
    </row>
    <row r="63" spans="1:103" x14ac:dyDescent="0.25">
      <c r="A63" t="s">
        <v>34</v>
      </c>
      <c r="B63" t="s">
        <v>4</v>
      </c>
      <c r="C63">
        <v>183.75604272260881</v>
      </c>
      <c r="D63">
        <v>153.12239561041511</v>
      </c>
      <c r="E63">
        <v>114.95646301934156</v>
      </c>
      <c r="F63">
        <v>76.703509012179538</v>
      </c>
      <c r="G63">
        <v>50.935941356135174</v>
      </c>
      <c r="H63">
        <v>73.629216101750984</v>
      </c>
      <c r="I63">
        <v>58.152184807808318</v>
      </c>
      <c r="J63">
        <v>72.398455845194874</v>
      </c>
      <c r="K63">
        <v>67.887291610240183</v>
      </c>
      <c r="L63">
        <v>72.716145077999101</v>
      </c>
      <c r="M63">
        <v>76.555376953280003</v>
      </c>
      <c r="N63">
        <v>70.6021030367083</v>
      </c>
      <c r="O63">
        <v>73.19033214002377</v>
      </c>
      <c r="P63">
        <v>70.852261768437984</v>
      </c>
      <c r="Q63">
        <v>75.790733782259764</v>
      </c>
      <c r="R63">
        <v>80.402232434832953</v>
      </c>
      <c r="S63">
        <v>85.158401183395071</v>
      </c>
      <c r="T63">
        <v>91.372398074253056</v>
      </c>
      <c r="U63">
        <v>95.007284593683636</v>
      </c>
      <c r="V63">
        <v>99.403333101487419</v>
      </c>
      <c r="W63">
        <v>101.82227637622472</v>
      </c>
      <c r="X63">
        <v>103.97898000830487</v>
      </c>
      <c r="Y63">
        <v>105.87058090587864</v>
      </c>
      <c r="Z63">
        <v>107.28644442224321</v>
      </c>
      <c r="AA63">
        <v>109.20368221321631</v>
      </c>
      <c r="AB63">
        <v>110.89759352056019</v>
      </c>
      <c r="AC63">
        <v>113.05542065181889</v>
      </c>
      <c r="AD63">
        <v>115.35518235345153</v>
      </c>
      <c r="AE63">
        <v>117.80425651674942</v>
      </c>
      <c r="AF63">
        <v>120.39060980301264</v>
      </c>
      <c r="AG63">
        <v>122.7858599130149</v>
      </c>
      <c r="AH63">
        <v>125.0599096322313</v>
      </c>
      <c r="AI63">
        <v>127.00445274130217</v>
      </c>
      <c r="AJ63">
        <v>128.69344018051379</v>
      </c>
      <c r="AK63">
        <v>130.17124578778149</v>
      </c>
      <c r="AL63">
        <v>131.50691046265641</v>
      </c>
      <c r="AM63">
        <v>132.83870340581871</v>
      </c>
      <c r="AN63">
        <v>134.19068364748378</v>
      </c>
      <c r="AO63">
        <v>135.62095904960844</v>
      </c>
      <c r="AP63">
        <v>137.1002332149051</v>
      </c>
      <c r="AQ63">
        <v>138.59416505929823</v>
      </c>
      <c r="AR63">
        <v>140.06298973629015</v>
      </c>
      <c r="AS63">
        <v>141.45768044417269</v>
      </c>
      <c r="AT63">
        <v>142.76429852851439</v>
      </c>
      <c r="AU63">
        <v>143.96924140978101</v>
      </c>
      <c r="AV63">
        <v>145.08464414677377</v>
      </c>
      <c r="AW63">
        <v>146.12748211560097</v>
      </c>
      <c r="AX63">
        <v>147.1175762666781</v>
      </c>
      <c r="AY63">
        <v>148.07694794735065</v>
      </c>
      <c r="BA63" s="1">
        <v>1</v>
      </c>
      <c r="BB63" t="str">
        <f t="shared" si="0"/>
        <v>Ce - Noroeste Cearense</v>
      </c>
      <c r="BC63" s="3">
        <v>289.22705908839606</v>
      </c>
      <c r="BD63" s="3">
        <v>239.46506344800241</v>
      </c>
      <c r="BE63" s="3">
        <v>149.25789792077043</v>
      </c>
      <c r="BF63" s="3">
        <v>95.951812357304505</v>
      </c>
      <c r="BG63" s="3">
        <v>23.11726552662855</v>
      </c>
      <c r="BH63" s="3">
        <v>82.034474970458604</v>
      </c>
      <c r="BI63" s="3">
        <v>43.207924214452838</v>
      </c>
      <c r="BJ63" s="3">
        <v>49.740102271575125</v>
      </c>
      <c r="BK63" s="3">
        <v>49.589402187360093</v>
      </c>
      <c r="BL63" s="3">
        <v>48.408399048618293</v>
      </c>
      <c r="BM63" s="3">
        <v>62.249689247825309</v>
      </c>
      <c r="BN63" s="3">
        <v>46.215558371774222</v>
      </c>
      <c r="BO63" s="3">
        <v>48.186365621340869</v>
      </c>
      <c r="BP63" s="3">
        <v>41.170976024052919</v>
      </c>
      <c r="BQ63" s="3">
        <v>39.847270363009677</v>
      </c>
      <c r="BR63" s="3">
        <v>40.441782388113033</v>
      </c>
      <c r="BS63" s="3">
        <v>36.168245078291996</v>
      </c>
      <c r="BT63" s="3">
        <v>37.448108266259183</v>
      </c>
      <c r="BU63" s="3">
        <v>34.893067074139303</v>
      </c>
      <c r="BV63" s="3">
        <v>35.305486964978186</v>
      </c>
      <c r="BW63" s="3">
        <v>35.071068534848806</v>
      </c>
      <c r="BX63" s="3">
        <v>34.560701255377069</v>
      </c>
      <c r="BY63" s="3">
        <v>35.118904530884507</v>
      </c>
      <c r="BZ63" s="3">
        <v>34.197624903420675</v>
      </c>
      <c r="CA63" s="3">
        <v>33.805869105544659</v>
      </c>
      <c r="CB63" s="3">
        <v>32.408523818572007</v>
      </c>
      <c r="CC63" s="3">
        <v>31.014905133041097</v>
      </c>
      <c r="CD63" s="3">
        <v>29.809654961303181</v>
      </c>
      <c r="CE63" s="3">
        <v>28.639031451482452</v>
      </c>
      <c r="CF63" s="3">
        <v>28.089834370747013</v>
      </c>
      <c r="CG63" s="3">
        <v>27.604055298711714</v>
      </c>
      <c r="CH63" s="3">
        <v>27.412075226488369</v>
      </c>
      <c r="CI63" s="3">
        <v>27.201402585228692</v>
      </c>
      <c r="CJ63" s="3">
        <v>26.890332126820923</v>
      </c>
      <c r="CK63" s="3">
        <v>26.518891595607215</v>
      </c>
      <c r="CL63" s="3">
        <v>25.979250864122449</v>
      </c>
      <c r="CM63" s="3">
        <v>25.427926999819007</v>
      </c>
      <c r="CN63" s="3">
        <v>24.830414864684855</v>
      </c>
      <c r="CO63" s="3">
        <v>24.262155630147078</v>
      </c>
      <c r="CP63" s="3">
        <v>23.74202599411386</v>
      </c>
      <c r="CQ63" s="3">
        <v>23.262935500207874</v>
      </c>
      <c r="CR63" s="3">
        <v>22.856034751818527</v>
      </c>
      <c r="CS63" s="3">
        <v>22.491773939399764</v>
      </c>
      <c r="CT63" s="3">
        <v>22.178577084080601</v>
      </c>
      <c r="CU63" s="3">
        <v>21.892263159547454</v>
      </c>
      <c r="CV63" s="3">
        <v>21.615501037639731</v>
      </c>
      <c r="CW63" s="3">
        <v>21.336125646038568</v>
      </c>
      <c r="CX63" s="3">
        <v>21.037345824595874</v>
      </c>
      <c r="CY63" s="3">
        <v>20.723500216044044</v>
      </c>
    </row>
    <row r="64" spans="1:103" x14ac:dyDescent="0.25">
      <c r="A64" t="s">
        <v>34</v>
      </c>
      <c r="B64" t="s">
        <v>5</v>
      </c>
      <c r="C64">
        <v>-105.47101636578724</v>
      </c>
      <c r="D64">
        <v>-86.342667837587314</v>
      </c>
      <c r="E64">
        <v>-34.30143490142887</v>
      </c>
      <c r="F64">
        <v>-19.24830334512497</v>
      </c>
      <c r="G64">
        <v>27.818675829506624</v>
      </c>
      <c r="H64">
        <v>-8.4052588687076213</v>
      </c>
      <c r="I64">
        <v>14.944260593355478</v>
      </c>
      <c r="J64">
        <v>22.658353573619753</v>
      </c>
      <c r="K64">
        <v>18.29788942288009</v>
      </c>
      <c r="L64">
        <v>24.307746029380809</v>
      </c>
      <c r="M64">
        <v>14.305687705454696</v>
      </c>
      <c r="N64">
        <v>24.386544664934082</v>
      </c>
      <c r="O64">
        <v>25.003966518682905</v>
      </c>
      <c r="P64">
        <v>29.681285744385061</v>
      </c>
      <c r="Q64">
        <v>35.943463419250087</v>
      </c>
      <c r="R64">
        <v>39.96045004671992</v>
      </c>
      <c r="S64">
        <v>48.990156105103075</v>
      </c>
      <c r="T64">
        <v>53.924289807993873</v>
      </c>
      <c r="U64">
        <v>60.114217519544333</v>
      </c>
      <c r="V64">
        <v>64.097846136509233</v>
      </c>
      <c r="W64">
        <v>66.751207841375916</v>
      </c>
      <c r="X64">
        <v>69.418278752927804</v>
      </c>
      <c r="Y64">
        <v>70.751676374994133</v>
      </c>
      <c r="Z64">
        <v>73.088819518822532</v>
      </c>
      <c r="AA64">
        <v>75.397813107671652</v>
      </c>
      <c r="AB64">
        <v>78.489069701988186</v>
      </c>
      <c r="AC64">
        <v>82.040515518777795</v>
      </c>
      <c r="AD64">
        <v>85.545527392148344</v>
      </c>
      <c r="AE64">
        <v>89.165225065266966</v>
      </c>
      <c r="AF64">
        <v>92.300775432265624</v>
      </c>
      <c r="AG64">
        <v>95.181804614303189</v>
      </c>
      <c r="AH64">
        <v>97.647834405742927</v>
      </c>
      <c r="AI64">
        <v>99.803050156073482</v>
      </c>
      <c r="AJ64">
        <v>101.80310805369287</v>
      </c>
      <c r="AK64">
        <v>103.65235419217427</v>
      </c>
      <c r="AL64">
        <v>105.52765959853396</v>
      </c>
      <c r="AM64">
        <v>107.4107764059997</v>
      </c>
      <c r="AN64">
        <v>109.36026878279893</v>
      </c>
      <c r="AO64">
        <v>111.35880341946137</v>
      </c>
      <c r="AP64">
        <v>113.35820722079124</v>
      </c>
      <c r="AQ64">
        <v>115.33122955909036</v>
      </c>
      <c r="AR64">
        <v>117.20695498447162</v>
      </c>
      <c r="AS64">
        <v>118.96590650477293</v>
      </c>
      <c r="AT64">
        <v>120.58572144443379</v>
      </c>
      <c r="AU64">
        <v>122.07697825023355</v>
      </c>
      <c r="AV64">
        <v>123.46914310913404</v>
      </c>
      <c r="AW64">
        <v>124.7913564695624</v>
      </c>
      <c r="AX64">
        <v>126.08023044208223</v>
      </c>
      <c r="AY64">
        <v>127.3534477313066</v>
      </c>
      <c r="BA64" s="1">
        <v>-1</v>
      </c>
      <c r="BB64" t="str">
        <f t="shared" si="0"/>
        <v>Ce - Noroeste Cearense</v>
      </c>
      <c r="BC64" s="3" t="s">
        <v>144</v>
      </c>
      <c r="BD64" s="3" t="s">
        <v>144</v>
      </c>
      <c r="BE64" s="3" t="s">
        <v>144</v>
      </c>
      <c r="BF64" s="3" t="s">
        <v>144</v>
      </c>
      <c r="BG64" s="3" t="s">
        <v>144</v>
      </c>
      <c r="BH64" s="3" t="s">
        <v>144</v>
      </c>
      <c r="BI64" s="3" t="s">
        <v>144</v>
      </c>
      <c r="BJ64" s="3" t="s">
        <v>144</v>
      </c>
      <c r="BK64" s="3" t="s">
        <v>144</v>
      </c>
      <c r="BL64" s="3" t="s">
        <v>144</v>
      </c>
      <c r="BM64" s="3" t="s">
        <v>144</v>
      </c>
      <c r="BN64" s="3" t="s">
        <v>144</v>
      </c>
      <c r="BO64" s="3" t="s">
        <v>144</v>
      </c>
      <c r="BP64" s="3" t="s">
        <v>144</v>
      </c>
      <c r="BQ64" s="3" t="s">
        <v>144</v>
      </c>
      <c r="BR64" s="3" t="s">
        <v>144</v>
      </c>
      <c r="BS64" s="3" t="s">
        <v>144</v>
      </c>
      <c r="BT64" s="3" t="s">
        <v>144</v>
      </c>
      <c r="BU64" s="3" t="s">
        <v>144</v>
      </c>
      <c r="BV64" s="3" t="s">
        <v>144</v>
      </c>
      <c r="BW64" s="3" t="s">
        <v>144</v>
      </c>
      <c r="BX64" s="3" t="s">
        <v>144</v>
      </c>
      <c r="BY64" s="3" t="s">
        <v>144</v>
      </c>
      <c r="BZ64" s="3" t="s">
        <v>144</v>
      </c>
      <c r="CA64" s="3" t="s">
        <v>144</v>
      </c>
      <c r="CB64" s="3" t="s">
        <v>144</v>
      </c>
      <c r="CC64" s="3" t="s">
        <v>144</v>
      </c>
      <c r="CD64" s="3" t="s">
        <v>144</v>
      </c>
      <c r="CE64" s="3" t="s">
        <v>144</v>
      </c>
      <c r="CF64" s="3" t="s">
        <v>144</v>
      </c>
      <c r="CG64" s="3" t="s">
        <v>144</v>
      </c>
      <c r="CH64" s="3" t="s">
        <v>144</v>
      </c>
      <c r="CI64" s="3" t="s">
        <v>144</v>
      </c>
      <c r="CJ64" s="3" t="s">
        <v>144</v>
      </c>
      <c r="CK64" s="3" t="s">
        <v>144</v>
      </c>
      <c r="CL64" s="3" t="s">
        <v>144</v>
      </c>
      <c r="CM64" s="3" t="s">
        <v>144</v>
      </c>
      <c r="CN64" s="3" t="s">
        <v>144</v>
      </c>
      <c r="CO64" s="3" t="s">
        <v>144</v>
      </c>
      <c r="CP64" s="3" t="s">
        <v>144</v>
      </c>
      <c r="CQ64" s="3" t="s">
        <v>144</v>
      </c>
      <c r="CR64" s="3" t="s">
        <v>144</v>
      </c>
      <c r="CS64" s="3" t="s">
        <v>144</v>
      </c>
      <c r="CT64" s="3" t="s">
        <v>144</v>
      </c>
      <c r="CU64" s="3" t="s">
        <v>144</v>
      </c>
      <c r="CV64" s="3" t="s">
        <v>144</v>
      </c>
      <c r="CW64" s="3" t="s">
        <v>144</v>
      </c>
      <c r="CX64" s="3" t="s">
        <v>144</v>
      </c>
      <c r="CY64" s="3" t="s">
        <v>144</v>
      </c>
    </row>
    <row r="65" spans="1:103" x14ac:dyDescent="0.25">
      <c r="A65" t="s">
        <v>35</v>
      </c>
      <c r="B65" t="s">
        <v>4</v>
      </c>
      <c r="C65">
        <v>193.49905911643867</v>
      </c>
      <c r="D65">
        <v>135.52623586377186</v>
      </c>
      <c r="E65">
        <v>115.88880182101131</v>
      </c>
      <c r="F65">
        <v>109.37504383606625</v>
      </c>
      <c r="G65">
        <v>89.880054298381893</v>
      </c>
      <c r="H65">
        <v>127.7165162697692</v>
      </c>
      <c r="I65">
        <v>115.85632610834358</v>
      </c>
      <c r="J65">
        <v>127.96041882676792</v>
      </c>
      <c r="K65">
        <v>130.4177153855471</v>
      </c>
      <c r="L65">
        <v>131.77714800473797</v>
      </c>
      <c r="M65">
        <v>137.5710069639303</v>
      </c>
      <c r="N65">
        <v>129.01244553276987</v>
      </c>
      <c r="O65">
        <v>129.43995924598889</v>
      </c>
      <c r="P65">
        <v>125.43862044885802</v>
      </c>
      <c r="Q65">
        <v>126.05691573582321</v>
      </c>
      <c r="R65">
        <v>128.48690596562602</v>
      </c>
      <c r="S65">
        <v>130.12301255479457</v>
      </c>
      <c r="T65">
        <v>134.88309653072125</v>
      </c>
      <c r="U65">
        <v>137.50018220577522</v>
      </c>
      <c r="V65">
        <v>140.89172973076435</v>
      </c>
      <c r="W65">
        <v>142.7548190342707</v>
      </c>
      <c r="X65">
        <v>143.65310134857791</v>
      </c>
      <c r="Y65">
        <v>144.36030540568407</v>
      </c>
      <c r="Z65">
        <v>144.17117793302239</v>
      </c>
      <c r="AA65">
        <v>144.41992804228926</v>
      </c>
      <c r="AB65">
        <v>144.53398331848155</v>
      </c>
      <c r="AC65">
        <v>145.11337847325879</v>
      </c>
      <c r="AD65">
        <v>146.08636312341204</v>
      </c>
      <c r="AE65">
        <v>147.26534327455693</v>
      </c>
      <c r="AF65">
        <v>148.74517921963482</v>
      </c>
      <c r="AG65">
        <v>150.12466119007681</v>
      </c>
      <c r="AH65">
        <v>151.44428696708908</v>
      </c>
      <c r="AI65">
        <v>152.50858967739441</v>
      </c>
      <c r="AJ65">
        <v>153.31254066647432</v>
      </c>
      <c r="AK65">
        <v>153.91858199130058</v>
      </c>
      <c r="AL65">
        <v>154.35223981127527</v>
      </c>
      <c r="AM65">
        <v>154.7631640368418</v>
      </c>
      <c r="AN65">
        <v>155.19191038121505</v>
      </c>
      <c r="AO65">
        <v>155.71182948567204</v>
      </c>
      <c r="AP65">
        <v>156.33001805391137</v>
      </c>
      <c r="AQ65">
        <v>157.01912196684884</v>
      </c>
      <c r="AR65">
        <v>157.75010665970723</v>
      </c>
      <c r="AS65">
        <v>158.46369219156577</v>
      </c>
      <c r="AT65">
        <v>159.13037603925895</v>
      </c>
      <c r="AU65">
        <v>159.72202003975943</v>
      </c>
      <c r="AV65">
        <v>160.23503361694767</v>
      </c>
      <c r="AW65">
        <v>160.68177139558424</v>
      </c>
      <c r="AX65">
        <v>161.07998781030602</v>
      </c>
      <c r="AY65">
        <v>161.45612124501858</v>
      </c>
      <c r="BA65" s="1">
        <v>1</v>
      </c>
      <c r="BB65" t="str">
        <f t="shared" si="0"/>
        <v>Ce - Norte Cearense</v>
      </c>
      <c r="BC65" s="3">
        <v>180.0430762144677</v>
      </c>
      <c r="BD65" s="3">
        <v>220.98300518846997</v>
      </c>
      <c r="BE65" s="3">
        <v>93.014188866948984</v>
      </c>
      <c r="BF65" s="3">
        <v>116.7411046519023</v>
      </c>
      <c r="BG65" s="3">
        <v>95.084569880727301</v>
      </c>
      <c r="BH65" s="3">
        <v>117.41942928588583</v>
      </c>
      <c r="BI65" s="3">
        <v>124.83347321718171</v>
      </c>
      <c r="BJ65" s="3">
        <v>107.59354879559345</v>
      </c>
      <c r="BK65" s="3">
        <v>121.5618207922889</v>
      </c>
      <c r="BL65" s="3">
        <v>113.58507877500033</v>
      </c>
      <c r="BM65" s="3">
        <v>115.98548713879273</v>
      </c>
      <c r="BN65" s="3">
        <v>106.73167747258302</v>
      </c>
      <c r="BO65" s="3">
        <v>96.695036866106392</v>
      </c>
      <c r="BP65" s="3">
        <v>93.191110818161974</v>
      </c>
      <c r="BQ65" s="3">
        <v>85.809959400108653</v>
      </c>
      <c r="BR65" s="3">
        <v>84.847418848683645</v>
      </c>
      <c r="BS65" s="3">
        <v>81.276612861603951</v>
      </c>
      <c r="BT65" s="3">
        <v>79.952398276499878</v>
      </c>
      <c r="BU65" s="3">
        <v>78.986251912063324</v>
      </c>
      <c r="BV65" s="3">
        <v>76.755380282429385</v>
      </c>
      <c r="BW65" s="3">
        <v>75.358956843895712</v>
      </c>
      <c r="BX65" s="3">
        <v>72.300399427555107</v>
      </c>
      <c r="BY65" s="3">
        <v>69.728035731494174</v>
      </c>
      <c r="BZ65" s="3">
        <v>66.649357499597713</v>
      </c>
      <c r="CA65" s="3">
        <v>63.506865680004537</v>
      </c>
      <c r="CB65" s="3">
        <v>60.70824369092081</v>
      </c>
      <c r="CC65" s="3">
        <v>57.861120716354634</v>
      </c>
      <c r="CD65" s="3">
        <v>55.641850260926873</v>
      </c>
      <c r="CE65" s="3">
        <v>53.606912844590894</v>
      </c>
      <c r="CF65" s="3">
        <v>51.941609330353472</v>
      </c>
      <c r="CG65" s="3">
        <v>50.459304538493512</v>
      </c>
      <c r="CH65" s="3">
        <v>48.971808144189723</v>
      </c>
      <c r="CI65" s="3">
        <v>47.499938924009527</v>
      </c>
      <c r="CJ65" s="3">
        <v>45.855603539777434</v>
      </c>
      <c r="CK65" s="3">
        <v>44.144445865886581</v>
      </c>
      <c r="CL65" s="3">
        <v>42.359086604901961</v>
      </c>
      <c r="CM65" s="3">
        <v>40.587002461282637</v>
      </c>
      <c r="CN65" s="3">
        <v>38.909656473102672</v>
      </c>
      <c r="CO65" s="3">
        <v>37.342228573748145</v>
      </c>
      <c r="CP65" s="3">
        <v>35.929384320974265</v>
      </c>
      <c r="CQ65" s="3">
        <v>34.635805722408776</v>
      </c>
      <c r="CR65" s="3">
        <v>33.445364747958777</v>
      </c>
      <c r="CS65" s="3">
        <v>32.319566544537807</v>
      </c>
      <c r="CT65" s="3">
        <v>31.223575896922142</v>
      </c>
      <c r="CU65" s="3">
        <v>30.142271534331769</v>
      </c>
      <c r="CV65" s="3">
        <v>29.05884866891202</v>
      </c>
      <c r="CW65" s="3">
        <v>27.979681470362095</v>
      </c>
      <c r="CX65" s="3">
        <v>26.911022368986437</v>
      </c>
      <c r="CY65" s="3">
        <v>25.867072988874412</v>
      </c>
    </row>
    <row r="66" spans="1:103" x14ac:dyDescent="0.25">
      <c r="A66" t="s">
        <v>35</v>
      </c>
      <c r="B66" t="s">
        <v>5</v>
      </c>
      <c r="C66">
        <v>13.455982901970977</v>
      </c>
      <c r="D66">
        <v>-85.456769324698115</v>
      </c>
      <c r="E66">
        <v>22.874612954062325</v>
      </c>
      <c r="F66">
        <v>-7.3660608158360468</v>
      </c>
      <c r="G66">
        <v>-5.2045155823454037</v>
      </c>
      <c r="H66">
        <v>10.29708698388337</v>
      </c>
      <c r="I66">
        <v>-8.9771471088381318</v>
      </c>
      <c r="J66">
        <v>20.366870031174468</v>
      </c>
      <c r="K66">
        <v>8.8558945932581956</v>
      </c>
      <c r="L66">
        <v>18.192069229737644</v>
      </c>
      <c r="M66">
        <v>21.58551982513756</v>
      </c>
      <c r="N66">
        <v>22.280768060186865</v>
      </c>
      <c r="O66">
        <v>32.744922379882489</v>
      </c>
      <c r="P66">
        <v>32.247509630696051</v>
      </c>
      <c r="Q66">
        <v>40.246956335714565</v>
      </c>
      <c r="R66">
        <v>43.639487116942369</v>
      </c>
      <c r="S66">
        <v>48.846399693190612</v>
      </c>
      <c r="T66">
        <v>54.930698254221369</v>
      </c>
      <c r="U66">
        <v>58.513930293711894</v>
      </c>
      <c r="V66">
        <v>64.136349448334968</v>
      </c>
      <c r="W66">
        <v>67.395862190374984</v>
      </c>
      <c r="X66">
        <v>71.352701921022799</v>
      </c>
      <c r="Y66">
        <v>74.632269674189899</v>
      </c>
      <c r="Z66">
        <v>77.521820433424679</v>
      </c>
      <c r="AA66">
        <v>80.91306236228472</v>
      </c>
      <c r="AB66">
        <v>83.825739627560736</v>
      </c>
      <c r="AC66">
        <v>87.252257756904157</v>
      </c>
      <c r="AD66">
        <v>90.444512862485169</v>
      </c>
      <c r="AE66">
        <v>93.658430429966032</v>
      </c>
      <c r="AF66">
        <v>96.803569889281349</v>
      </c>
      <c r="AG66">
        <v>99.665356651583295</v>
      </c>
      <c r="AH66">
        <v>102.47247882289936</v>
      </c>
      <c r="AI66">
        <v>105.00865075338488</v>
      </c>
      <c r="AJ66">
        <v>107.45693712669689</v>
      </c>
      <c r="AK66">
        <v>109.774136125414</v>
      </c>
      <c r="AL66">
        <v>111.99315320637331</v>
      </c>
      <c r="AM66">
        <v>114.17616157555916</v>
      </c>
      <c r="AN66">
        <v>116.28225390811238</v>
      </c>
      <c r="AO66">
        <v>118.3696009119239</v>
      </c>
      <c r="AP66">
        <v>120.40063373293711</v>
      </c>
      <c r="AQ66">
        <v>122.38331624444007</v>
      </c>
      <c r="AR66">
        <v>124.30474191174845</v>
      </c>
      <c r="AS66">
        <v>126.14412564702796</v>
      </c>
      <c r="AT66">
        <v>127.90680014233681</v>
      </c>
      <c r="AU66">
        <v>129.57974850542766</v>
      </c>
      <c r="AV66">
        <v>131.17618494803565</v>
      </c>
      <c r="AW66">
        <v>132.70208992522214</v>
      </c>
      <c r="AX66">
        <v>134.16896544131959</v>
      </c>
      <c r="AY66">
        <v>135.58904825614417</v>
      </c>
      <c r="BA66" s="1">
        <v>-1</v>
      </c>
      <c r="BB66" t="str">
        <f t="shared" si="0"/>
        <v>Ce - Norte Cearense</v>
      </c>
      <c r="BC66" s="3" t="s">
        <v>144</v>
      </c>
      <c r="BD66" s="3" t="s">
        <v>144</v>
      </c>
      <c r="BE66" s="3" t="s">
        <v>144</v>
      </c>
      <c r="BF66" s="3" t="s">
        <v>144</v>
      </c>
      <c r="BG66" s="3" t="s">
        <v>144</v>
      </c>
      <c r="BH66" s="3" t="s">
        <v>144</v>
      </c>
      <c r="BI66" s="3" t="s">
        <v>144</v>
      </c>
      <c r="BJ66" s="3" t="s">
        <v>144</v>
      </c>
      <c r="BK66" s="3" t="s">
        <v>144</v>
      </c>
      <c r="BL66" s="3" t="s">
        <v>144</v>
      </c>
      <c r="BM66" s="3" t="s">
        <v>144</v>
      </c>
      <c r="BN66" s="3" t="s">
        <v>144</v>
      </c>
      <c r="BO66" s="3" t="s">
        <v>144</v>
      </c>
      <c r="BP66" s="3" t="s">
        <v>144</v>
      </c>
      <c r="BQ66" s="3" t="s">
        <v>144</v>
      </c>
      <c r="BR66" s="3" t="s">
        <v>144</v>
      </c>
      <c r="BS66" s="3" t="s">
        <v>144</v>
      </c>
      <c r="BT66" s="3" t="s">
        <v>144</v>
      </c>
      <c r="BU66" s="3" t="s">
        <v>144</v>
      </c>
      <c r="BV66" s="3" t="s">
        <v>144</v>
      </c>
      <c r="BW66" s="3" t="s">
        <v>144</v>
      </c>
      <c r="BX66" s="3" t="s">
        <v>144</v>
      </c>
      <c r="BY66" s="3" t="s">
        <v>144</v>
      </c>
      <c r="BZ66" s="3" t="s">
        <v>144</v>
      </c>
      <c r="CA66" s="3" t="s">
        <v>144</v>
      </c>
      <c r="CB66" s="3" t="s">
        <v>144</v>
      </c>
      <c r="CC66" s="3" t="s">
        <v>144</v>
      </c>
      <c r="CD66" s="3" t="s">
        <v>144</v>
      </c>
      <c r="CE66" s="3" t="s">
        <v>144</v>
      </c>
      <c r="CF66" s="3" t="s">
        <v>144</v>
      </c>
      <c r="CG66" s="3" t="s">
        <v>144</v>
      </c>
      <c r="CH66" s="3" t="s">
        <v>144</v>
      </c>
      <c r="CI66" s="3" t="s">
        <v>144</v>
      </c>
      <c r="CJ66" s="3" t="s">
        <v>144</v>
      </c>
      <c r="CK66" s="3" t="s">
        <v>144</v>
      </c>
      <c r="CL66" s="3" t="s">
        <v>144</v>
      </c>
      <c r="CM66" s="3" t="s">
        <v>144</v>
      </c>
      <c r="CN66" s="3" t="s">
        <v>144</v>
      </c>
      <c r="CO66" s="3" t="s">
        <v>144</v>
      </c>
      <c r="CP66" s="3" t="s">
        <v>144</v>
      </c>
      <c r="CQ66" s="3" t="s">
        <v>144</v>
      </c>
      <c r="CR66" s="3" t="s">
        <v>144</v>
      </c>
      <c r="CS66" s="3" t="s">
        <v>144</v>
      </c>
      <c r="CT66" s="3" t="s">
        <v>144</v>
      </c>
      <c r="CU66" s="3" t="s">
        <v>144</v>
      </c>
      <c r="CV66" s="3" t="s">
        <v>144</v>
      </c>
      <c r="CW66" s="3" t="s">
        <v>144</v>
      </c>
      <c r="CX66" s="3" t="s">
        <v>144</v>
      </c>
      <c r="CY66" s="3" t="s">
        <v>144</v>
      </c>
    </row>
    <row r="67" spans="1:103" x14ac:dyDescent="0.25">
      <c r="A67" t="s">
        <v>36</v>
      </c>
      <c r="B67" t="s">
        <v>4</v>
      </c>
      <c r="C67">
        <v>2046.0341337215907</v>
      </c>
      <c r="D67">
        <v>1743.5442764026825</v>
      </c>
      <c r="E67">
        <v>1735.5274436571219</v>
      </c>
      <c r="F67">
        <v>1955.279596831901</v>
      </c>
      <c r="G67">
        <v>1682.396220960871</v>
      </c>
      <c r="H67">
        <v>2236.3484533873448</v>
      </c>
      <c r="I67">
        <v>2149.2558599402109</v>
      </c>
      <c r="J67">
        <v>2346.9806080245226</v>
      </c>
      <c r="K67">
        <v>2435.90123693337</v>
      </c>
      <c r="L67">
        <v>2436.379162610247</v>
      </c>
      <c r="M67">
        <v>2546.7987796777606</v>
      </c>
      <c r="N67">
        <v>2435.3372374370847</v>
      </c>
      <c r="O67">
        <v>2437.8332259159702</v>
      </c>
      <c r="P67">
        <v>2376.6804547684687</v>
      </c>
      <c r="Q67">
        <v>2362.2653022239988</v>
      </c>
      <c r="R67">
        <v>2391.0836102929029</v>
      </c>
      <c r="S67">
        <v>2405.3773346835501</v>
      </c>
      <c r="T67">
        <v>2473.4156959992647</v>
      </c>
      <c r="U67">
        <v>2515.5850574188376</v>
      </c>
      <c r="V67">
        <v>2568.8992726637412</v>
      </c>
      <c r="W67">
        <v>2604.8441028356688</v>
      </c>
      <c r="X67">
        <v>2622.6614289592703</v>
      </c>
      <c r="Y67">
        <v>2637.3614751315145</v>
      </c>
      <c r="Z67">
        <v>2635.9182200553178</v>
      </c>
      <c r="AA67">
        <v>2638.7146423824647</v>
      </c>
      <c r="AB67">
        <v>2639.0720911184958</v>
      </c>
      <c r="AC67">
        <v>2644.793714306224</v>
      </c>
      <c r="AD67">
        <v>2657.0573212581912</v>
      </c>
      <c r="AE67">
        <v>2672.5587468285398</v>
      </c>
      <c r="AF67">
        <v>2693.6108993064677</v>
      </c>
      <c r="AG67">
        <v>2714.3311539186125</v>
      </c>
      <c r="AH67">
        <v>2734.8683545790682</v>
      </c>
      <c r="AI67">
        <v>2752.3558532765992</v>
      </c>
      <c r="AJ67">
        <v>2765.909429544316</v>
      </c>
      <c r="AK67">
        <v>2776.2975143299518</v>
      </c>
      <c r="AL67">
        <v>2783.5164894274321</v>
      </c>
      <c r="AM67">
        <v>2789.7282289262434</v>
      </c>
      <c r="AN67">
        <v>2795.726049297456</v>
      </c>
      <c r="AO67">
        <v>2802.7530061490115</v>
      </c>
      <c r="AP67">
        <v>2811.2677077979765</v>
      </c>
      <c r="AQ67">
        <v>2821.0214929357221</v>
      </c>
      <c r="AR67">
        <v>2831.7216825942382</v>
      </c>
      <c r="AS67">
        <v>2842.4909365497356</v>
      </c>
      <c r="AT67">
        <v>2852.7951381030684</v>
      </c>
      <c r="AU67">
        <v>2862.1132795914968</v>
      </c>
      <c r="AV67">
        <v>2870.2477971483017</v>
      </c>
      <c r="AW67">
        <v>2877.2996014108426</v>
      </c>
      <c r="AX67">
        <v>2883.47636063442</v>
      </c>
      <c r="AY67">
        <v>2889.1667520046562</v>
      </c>
      <c r="BA67" s="1">
        <v>1</v>
      </c>
      <c r="BB67" t="str">
        <f t="shared" si="0"/>
        <v>Ce - Metropol Fortaleza</v>
      </c>
      <c r="BC67" s="3">
        <v>858.87836719052825</v>
      </c>
      <c r="BD67" s="3">
        <v>1570.1686332077661</v>
      </c>
      <c r="BE67" s="3">
        <v>630.63634945197259</v>
      </c>
      <c r="BF67" s="3">
        <v>1276.1967320616036</v>
      </c>
      <c r="BG67" s="3">
        <v>1037.9139056232548</v>
      </c>
      <c r="BH67" s="3">
        <v>1011.626926990868</v>
      </c>
      <c r="BI67" s="3">
        <v>1204.4928149322968</v>
      </c>
      <c r="BJ67" s="3">
        <v>959.96955469481372</v>
      </c>
      <c r="BK67" s="3">
        <v>1210.6057873020679</v>
      </c>
      <c r="BL67" s="3">
        <v>1061.9276935552218</v>
      </c>
      <c r="BM67" s="3">
        <v>1090.3418540777377</v>
      </c>
      <c r="BN67" s="3">
        <v>1038.2692134090566</v>
      </c>
      <c r="BO67" s="3">
        <v>917.14246615801881</v>
      </c>
      <c r="BP67" s="3">
        <v>903.46221676077198</v>
      </c>
      <c r="BQ67" s="3">
        <v>785.80342301727705</v>
      </c>
      <c r="BR67" s="3">
        <v>765.62487279630659</v>
      </c>
      <c r="BS67" s="3">
        <v>711.77548461976539</v>
      </c>
      <c r="BT67" s="3">
        <v>681.73147391416387</v>
      </c>
      <c r="BU67" s="3">
        <v>672.49993842238837</v>
      </c>
      <c r="BV67" s="3">
        <v>641.32693105460476</v>
      </c>
      <c r="BW67" s="3">
        <v>634.58650975660044</v>
      </c>
      <c r="BX67" s="3">
        <v>604.93757883596277</v>
      </c>
      <c r="BY67" s="3">
        <v>581.49889872268341</v>
      </c>
      <c r="BZ67" s="3">
        <v>551.27976872794488</v>
      </c>
      <c r="CA67" s="3">
        <v>515.1094211719801</v>
      </c>
      <c r="CB67" s="3">
        <v>483.81543685425822</v>
      </c>
      <c r="CC67" s="3">
        <v>448.09288195361114</v>
      </c>
      <c r="CD67" s="3">
        <v>419.93622343398374</v>
      </c>
      <c r="CE67" s="3">
        <v>393.4122645960183</v>
      </c>
      <c r="CF67" s="3">
        <v>371.41464696846106</v>
      </c>
      <c r="CG67" s="3">
        <v>353.23740018332046</v>
      </c>
      <c r="CH67" s="3">
        <v>335.53948600168451</v>
      </c>
      <c r="CI67" s="3">
        <v>319.61451367545806</v>
      </c>
      <c r="CJ67" s="3">
        <v>302.11721149135838</v>
      </c>
      <c r="CK67" s="3">
        <v>284.12621785766169</v>
      </c>
      <c r="CL67" s="3">
        <v>265.06340399976261</v>
      </c>
      <c r="CM67" s="3">
        <v>245.36988905444514</v>
      </c>
      <c r="CN67" s="3">
        <v>226.18009947066776</v>
      </c>
      <c r="CO67" s="3">
        <v>207.51591219535112</v>
      </c>
      <c r="CP67" s="3">
        <v>190.3419675615587</v>
      </c>
      <c r="CQ67" s="3">
        <v>174.47813184377674</v>
      </c>
      <c r="CR67" s="3">
        <v>159.99343317293096</v>
      </c>
      <c r="CS67" s="3">
        <v>146.64256294127381</v>
      </c>
      <c r="CT67" s="3">
        <v>133.97615123782862</v>
      </c>
      <c r="CU67" s="3">
        <v>121.8021228180346</v>
      </c>
      <c r="CV67" s="3">
        <v>109.74946573901207</v>
      </c>
      <c r="CW67" s="3">
        <v>97.766380321329052</v>
      </c>
      <c r="CX67" s="3">
        <v>85.811222765139519</v>
      </c>
      <c r="CY67" s="3">
        <v>73.970199017767754</v>
      </c>
    </row>
    <row r="68" spans="1:103" x14ac:dyDescent="0.25">
      <c r="A68" t="s">
        <v>36</v>
      </c>
      <c r="B68" t="s">
        <v>5</v>
      </c>
      <c r="C68">
        <v>1187.1557665310625</v>
      </c>
      <c r="D68">
        <v>173.37564319491634</v>
      </c>
      <c r="E68">
        <v>1104.8910942051493</v>
      </c>
      <c r="F68">
        <v>679.08286477029753</v>
      </c>
      <c r="G68">
        <v>644.48231533761611</v>
      </c>
      <c r="H68">
        <v>1224.7215263964767</v>
      </c>
      <c r="I68">
        <v>944.76304500791412</v>
      </c>
      <c r="J68">
        <v>1387.0110533297088</v>
      </c>
      <c r="K68">
        <v>1225.2954496313021</v>
      </c>
      <c r="L68">
        <v>1374.4514690550252</v>
      </c>
      <c r="M68">
        <v>1456.4569256000229</v>
      </c>
      <c r="N68">
        <v>1397.068024028028</v>
      </c>
      <c r="O68">
        <v>1520.6907597579514</v>
      </c>
      <c r="P68">
        <v>1473.2182380076968</v>
      </c>
      <c r="Q68">
        <v>1576.4618792067217</v>
      </c>
      <c r="R68">
        <v>1625.4587374965963</v>
      </c>
      <c r="S68">
        <v>1693.6018500637847</v>
      </c>
      <c r="T68">
        <v>1791.6842220851008</v>
      </c>
      <c r="U68">
        <v>1843.0851189964492</v>
      </c>
      <c r="V68">
        <v>1927.5723416091364</v>
      </c>
      <c r="W68">
        <v>1970.2575930790683</v>
      </c>
      <c r="X68">
        <v>2017.7238501233076</v>
      </c>
      <c r="Y68">
        <v>2055.862576408831</v>
      </c>
      <c r="Z68">
        <v>2084.6384513273729</v>
      </c>
      <c r="AA68">
        <v>2123.6052212104846</v>
      </c>
      <c r="AB68">
        <v>2155.2566542642376</v>
      </c>
      <c r="AC68">
        <v>2196.7008323526129</v>
      </c>
      <c r="AD68">
        <v>2237.1210978242075</v>
      </c>
      <c r="AE68">
        <v>2279.1464822325215</v>
      </c>
      <c r="AF68">
        <v>2322.1962523380066</v>
      </c>
      <c r="AG68">
        <v>2361.093753735292</v>
      </c>
      <c r="AH68">
        <v>2399.3288685773837</v>
      </c>
      <c r="AI68">
        <v>2432.7413396011411</v>
      </c>
      <c r="AJ68">
        <v>2463.7922180529577</v>
      </c>
      <c r="AK68">
        <v>2492.1712964722901</v>
      </c>
      <c r="AL68">
        <v>2518.4530854276695</v>
      </c>
      <c r="AM68">
        <v>2544.3583398717983</v>
      </c>
      <c r="AN68">
        <v>2569.5459498267883</v>
      </c>
      <c r="AO68">
        <v>2595.2370939536604</v>
      </c>
      <c r="AP68">
        <v>2620.9257402364178</v>
      </c>
      <c r="AQ68">
        <v>2646.5433610919454</v>
      </c>
      <c r="AR68">
        <v>2671.7282494213073</v>
      </c>
      <c r="AS68">
        <v>2695.8483736084618</v>
      </c>
      <c r="AT68">
        <v>2718.8189868652398</v>
      </c>
      <c r="AU68">
        <v>2740.3111567734622</v>
      </c>
      <c r="AV68">
        <v>2760.4983314092897</v>
      </c>
      <c r="AW68">
        <v>2779.5332210895135</v>
      </c>
      <c r="AX68">
        <v>2797.6651378692804</v>
      </c>
      <c r="AY68">
        <v>2815.1965529868885</v>
      </c>
      <c r="BA68" s="1">
        <v>-1</v>
      </c>
      <c r="BB68" t="str">
        <f t="shared" si="0"/>
        <v>Ce - Metropol Fortaleza</v>
      </c>
      <c r="BC68" s="3" t="s">
        <v>144</v>
      </c>
      <c r="BD68" s="3" t="s">
        <v>144</v>
      </c>
      <c r="BE68" s="3" t="s">
        <v>144</v>
      </c>
      <c r="BF68" s="3" t="s">
        <v>144</v>
      </c>
      <c r="BG68" s="3" t="s">
        <v>144</v>
      </c>
      <c r="BH68" s="3" t="s">
        <v>144</v>
      </c>
      <c r="BI68" s="3" t="s">
        <v>144</v>
      </c>
      <c r="BJ68" s="3" t="s">
        <v>144</v>
      </c>
      <c r="BK68" s="3" t="s">
        <v>144</v>
      </c>
      <c r="BL68" s="3" t="s">
        <v>144</v>
      </c>
      <c r="BM68" s="3" t="s">
        <v>144</v>
      </c>
      <c r="BN68" s="3" t="s">
        <v>144</v>
      </c>
      <c r="BO68" s="3" t="s">
        <v>144</v>
      </c>
      <c r="BP68" s="3" t="s">
        <v>144</v>
      </c>
      <c r="BQ68" s="3" t="s">
        <v>144</v>
      </c>
      <c r="BR68" s="3" t="s">
        <v>144</v>
      </c>
      <c r="BS68" s="3" t="s">
        <v>144</v>
      </c>
      <c r="BT68" s="3" t="s">
        <v>144</v>
      </c>
      <c r="BU68" s="3" t="s">
        <v>144</v>
      </c>
      <c r="BV68" s="3" t="s">
        <v>144</v>
      </c>
      <c r="BW68" s="3" t="s">
        <v>144</v>
      </c>
      <c r="BX68" s="3" t="s">
        <v>144</v>
      </c>
      <c r="BY68" s="3" t="s">
        <v>144</v>
      </c>
      <c r="BZ68" s="3" t="s">
        <v>144</v>
      </c>
      <c r="CA68" s="3" t="s">
        <v>144</v>
      </c>
      <c r="CB68" s="3" t="s">
        <v>144</v>
      </c>
      <c r="CC68" s="3" t="s">
        <v>144</v>
      </c>
      <c r="CD68" s="3" t="s">
        <v>144</v>
      </c>
      <c r="CE68" s="3" t="s">
        <v>144</v>
      </c>
      <c r="CF68" s="3" t="s">
        <v>144</v>
      </c>
      <c r="CG68" s="3" t="s">
        <v>144</v>
      </c>
      <c r="CH68" s="3" t="s">
        <v>144</v>
      </c>
      <c r="CI68" s="3" t="s">
        <v>144</v>
      </c>
      <c r="CJ68" s="3" t="s">
        <v>144</v>
      </c>
      <c r="CK68" s="3" t="s">
        <v>144</v>
      </c>
      <c r="CL68" s="3" t="s">
        <v>144</v>
      </c>
      <c r="CM68" s="3" t="s">
        <v>144</v>
      </c>
      <c r="CN68" s="3" t="s">
        <v>144</v>
      </c>
      <c r="CO68" s="3" t="s">
        <v>144</v>
      </c>
      <c r="CP68" s="3" t="s">
        <v>144</v>
      </c>
      <c r="CQ68" s="3" t="s">
        <v>144</v>
      </c>
      <c r="CR68" s="3" t="s">
        <v>144</v>
      </c>
      <c r="CS68" s="3" t="s">
        <v>144</v>
      </c>
      <c r="CT68" s="3" t="s">
        <v>144</v>
      </c>
      <c r="CU68" s="3" t="s">
        <v>144</v>
      </c>
      <c r="CV68" s="3" t="s">
        <v>144</v>
      </c>
      <c r="CW68" s="3" t="s">
        <v>144</v>
      </c>
      <c r="CX68" s="3" t="s">
        <v>144</v>
      </c>
      <c r="CY68" s="3" t="s">
        <v>144</v>
      </c>
    </row>
    <row r="69" spans="1:103" x14ac:dyDescent="0.25">
      <c r="A69" t="s">
        <v>37</v>
      </c>
      <c r="B69" t="s">
        <v>4</v>
      </c>
      <c r="C69">
        <v>71.422255061528773</v>
      </c>
      <c r="D69">
        <v>33.447875808384246</v>
      </c>
      <c r="E69">
        <v>31.220760379843401</v>
      </c>
      <c r="F69">
        <v>25.860656674109883</v>
      </c>
      <c r="G69">
        <v>22.55863790761558</v>
      </c>
      <c r="H69">
        <v>39.880664557556479</v>
      </c>
      <c r="I69">
        <v>33.06850476968053</v>
      </c>
      <c r="J69">
        <v>38.039653333012104</v>
      </c>
      <c r="K69">
        <v>36.742235937572204</v>
      </c>
      <c r="L69">
        <v>37.56648414445376</v>
      </c>
      <c r="M69">
        <v>39.608613970905381</v>
      </c>
      <c r="N69">
        <v>36.250695400418017</v>
      </c>
      <c r="O69">
        <v>37.567146330358021</v>
      </c>
      <c r="P69">
        <v>36.668360887540629</v>
      </c>
      <c r="Q69">
        <v>38.178127989649425</v>
      </c>
      <c r="R69">
        <v>39.666189741641169</v>
      </c>
      <c r="S69">
        <v>40.680067177636602</v>
      </c>
      <c r="T69">
        <v>42.683800414787349</v>
      </c>
      <c r="U69">
        <v>43.526154295528428</v>
      </c>
      <c r="V69">
        <v>44.782574811817298</v>
      </c>
      <c r="W69">
        <v>45.320798345106361</v>
      </c>
      <c r="X69">
        <v>45.68742166798765</v>
      </c>
      <c r="Y69">
        <v>46.079280901070106</v>
      </c>
      <c r="Z69">
        <v>46.234010523794254</v>
      </c>
      <c r="AA69">
        <v>46.673999860945528</v>
      </c>
      <c r="AB69">
        <v>47.048460597423698</v>
      </c>
      <c r="AC69">
        <v>47.621073024940046</v>
      </c>
      <c r="AD69">
        <v>48.270894763378678</v>
      </c>
      <c r="AE69">
        <v>48.935938290568998</v>
      </c>
      <c r="AF69">
        <v>49.647405271300542</v>
      </c>
      <c r="AG69">
        <v>50.255321839379135</v>
      </c>
      <c r="AH69">
        <v>50.819645448601548</v>
      </c>
      <c r="AI69">
        <v>51.274539444316531</v>
      </c>
      <c r="AJ69">
        <v>51.653206624256796</v>
      </c>
      <c r="AK69">
        <v>51.98514016153139</v>
      </c>
      <c r="AL69">
        <v>52.281990909680935</v>
      </c>
      <c r="AM69">
        <v>52.595307514923789</v>
      </c>
      <c r="AN69">
        <v>52.922216420450837</v>
      </c>
      <c r="AO69">
        <v>53.28022637200884</v>
      </c>
      <c r="AP69">
        <v>53.657705742375477</v>
      </c>
      <c r="AQ69">
        <v>54.039970641814442</v>
      </c>
      <c r="AR69">
        <v>54.415990494949035</v>
      </c>
      <c r="AS69">
        <v>54.767350681711967</v>
      </c>
      <c r="AT69">
        <v>55.09113675512269</v>
      </c>
      <c r="AU69">
        <v>55.383122903541526</v>
      </c>
      <c r="AV69">
        <v>55.648380055163045</v>
      </c>
      <c r="AW69">
        <v>55.894337311956221</v>
      </c>
      <c r="AX69">
        <v>56.128004943363507</v>
      </c>
      <c r="AY69">
        <v>56.357554936509686</v>
      </c>
      <c r="BA69" s="1">
        <v>1</v>
      </c>
      <c r="BB69" t="str">
        <f t="shared" si="0"/>
        <v>Ce - Sertoes Cearenses</v>
      </c>
      <c r="BC69" s="3">
        <v>71.087588278881867</v>
      </c>
      <c r="BD69" s="3">
        <v>40.244222285688977</v>
      </c>
      <c r="BE69" s="3">
        <v>21.209294680950194</v>
      </c>
      <c r="BF69" s="3">
        <v>20.068576292302996</v>
      </c>
      <c r="BG69" s="3">
        <v>11.930575114015824</v>
      </c>
      <c r="BH69" s="3">
        <v>27.074470381532052</v>
      </c>
      <c r="BI69" s="3">
        <v>18.319797025065185</v>
      </c>
      <c r="BJ69" s="3">
        <v>18.085665291047736</v>
      </c>
      <c r="BK69" s="3">
        <v>18.157905097404463</v>
      </c>
      <c r="BL69" s="3">
        <v>16.540493140760084</v>
      </c>
      <c r="BM69" s="3">
        <v>18.483192168854259</v>
      </c>
      <c r="BN69" s="3">
        <v>14.23172007429703</v>
      </c>
      <c r="BO69" s="3">
        <v>14.41856576055233</v>
      </c>
      <c r="BP69" s="3">
        <v>13.341392752943662</v>
      </c>
      <c r="BQ69" s="3">
        <v>13.204586025631183</v>
      </c>
      <c r="BR69" s="3">
        <v>13.640173848385221</v>
      </c>
      <c r="BS69" s="3">
        <v>12.814688371210543</v>
      </c>
      <c r="BT69" s="3">
        <v>13.114547801655483</v>
      </c>
      <c r="BU69" s="3">
        <v>12.442810296589595</v>
      </c>
      <c r="BV69" s="3">
        <v>12.156179508100891</v>
      </c>
      <c r="BW69" s="3">
        <v>11.67686650979541</v>
      </c>
      <c r="BX69" s="3">
        <v>11.05421256087773</v>
      </c>
      <c r="BY69" s="3">
        <v>10.747314927549567</v>
      </c>
      <c r="BZ69" s="3">
        <v>10.220637957193574</v>
      </c>
      <c r="CA69" s="3">
        <v>9.9295806981122396</v>
      </c>
      <c r="CB69" s="3">
        <v>9.5538363540209659</v>
      </c>
      <c r="CC69" s="3">
        <v>9.2374288211226627</v>
      </c>
      <c r="CD69" s="3">
        <v>8.9928783141924313</v>
      </c>
      <c r="CE69" s="3">
        <v>8.7183988734459206</v>
      </c>
      <c r="CF69" s="3">
        <v>8.521648656956522</v>
      </c>
      <c r="CG69" s="3">
        <v>8.2786144511599318</v>
      </c>
      <c r="CH69" s="3">
        <v>8.0484053472009123</v>
      </c>
      <c r="CI69" s="3">
        <v>7.7951364263308633</v>
      </c>
      <c r="CJ69" s="3">
        <v>7.5198431173199864</v>
      </c>
      <c r="CK69" s="3">
        <v>7.2552722823049862</v>
      </c>
      <c r="CL69" s="3">
        <v>6.9868749937147001</v>
      </c>
      <c r="CM69" s="3">
        <v>6.749776935214868</v>
      </c>
      <c r="CN69" s="3">
        <v>6.5318993094637037</v>
      </c>
      <c r="CO69" s="3">
        <v>6.3377795693770693</v>
      </c>
      <c r="CP69" s="3">
        <v>6.1617674845241837</v>
      </c>
      <c r="CQ69" s="3">
        <v>5.9915050350624242</v>
      </c>
      <c r="CR69" s="3">
        <v>5.8275282866416376</v>
      </c>
      <c r="CS69" s="3">
        <v>5.6609703497049537</v>
      </c>
      <c r="CT69" s="3">
        <v>5.4949045228668041</v>
      </c>
      <c r="CU69" s="3">
        <v>5.329086477568076</v>
      </c>
      <c r="CV69" s="3">
        <v>5.1654576171547646</v>
      </c>
      <c r="CW69" s="3">
        <v>5.0073073037832998</v>
      </c>
      <c r="CX69" s="3">
        <v>4.854835015158578</v>
      </c>
      <c r="CY69" s="3">
        <v>4.710374930206747</v>
      </c>
    </row>
    <row r="70" spans="1:103" x14ac:dyDescent="0.25">
      <c r="A70" t="s">
        <v>37</v>
      </c>
      <c r="B70" t="s">
        <v>5</v>
      </c>
      <c r="C70">
        <v>0.33466678264690708</v>
      </c>
      <c r="D70">
        <v>-6.7963464773047306</v>
      </c>
      <c r="E70">
        <v>10.011465698893208</v>
      </c>
      <c r="F70">
        <v>5.792080381806886</v>
      </c>
      <c r="G70">
        <v>10.628062793599756</v>
      </c>
      <c r="H70">
        <v>12.806194176024427</v>
      </c>
      <c r="I70">
        <v>14.748707744615345</v>
      </c>
      <c r="J70">
        <v>19.953988041964369</v>
      </c>
      <c r="K70">
        <v>18.584330840167741</v>
      </c>
      <c r="L70">
        <v>21.025991003693676</v>
      </c>
      <c r="M70">
        <v>21.125421802051122</v>
      </c>
      <c r="N70">
        <v>22.018975326120987</v>
      </c>
      <c r="O70">
        <v>23.148580569805691</v>
      </c>
      <c r="P70">
        <v>23.326968134596967</v>
      </c>
      <c r="Q70">
        <v>24.973541964018242</v>
      </c>
      <c r="R70">
        <v>26.026015893255948</v>
      </c>
      <c r="S70">
        <v>27.865378806426058</v>
      </c>
      <c r="T70">
        <v>29.569252613131866</v>
      </c>
      <c r="U70">
        <v>31.083343998938833</v>
      </c>
      <c r="V70">
        <v>32.626395303716407</v>
      </c>
      <c r="W70">
        <v>33.643931835310951</v>
      </c>
      <c r="X70">
        <v>34.63320910710992</v>
      </c>
      <c r="Y70">
        <v>35.331965973520539</v>
      </c>
      <c r="Z70">
        <v>36.01337256660068</v>
      </c>
      <c r="AA70">
        <v>36.744419162833289</v>
      </c>
      <c r="AB70">
        <v>37.494624243402733</v>
      </c>
      <c r="AC70">
        <v>38.383644203817383</v>
      </c>
      <c r="AD70">
        <v>39.278016449186246</v>
      </c>
      <c r="AE70">
        <v>40.217539417123078</v>
      </c>
      <c r="AF70">
        <v>41.12575661434402</v>
      </c>
      <c r="AG70">
        <v>41.976707388219204</v>
      </c>
      <c r="AH70">
        <v>42.771240101400636</v>
      </c>
      <c r="AI70">
        <v>43.479403017985668</v>
      </c>
      <c r="AJ70">
        <v>44.13336350693681</v>
      </c>
      <c r="AK70">
        <v>44.729867879226404</v>
      </c>
      <c r="AL70">
        <v>45.295115915966235</v>
      </c>
      <c r="AM70">
        <v>45.845530579708921</v>
      </c>
      <c r="AN70">
        <v>46.390317110987134</v>
      </c>
      <c r="AO70">
        <v>46.942446802631771</v>
      </c>
      <c r="AP70">
        <v>47.495938257851293</v>
      </c>
      <c r="AQ70">
        <v>48.048465606752018</v>
      </c>
      <c r="AR70">
        <v>48.588462208307398</v>
      </c>
      <c r="AS70">
        <v>49.106380332007014</v>
      </c>
      <c r="AT70">
        <v>49.596232232255886</v>
      </c>
      <c r="AU70">
        <v>50.05403642597345</v>
      </c>
      <c r="AV70">
        <v>50.482922438008281</v>
      </c>
      <c r="AW70">
        <v>50.887030008172921</v>
      </c>
      <c r="AX70">
        <v>51.273169928204929</v>
      </c>
      <c r="AY70">
        <v>51.647180006302939</v>
      </c>
      <c r="BA70" s="1">
        <v>-1</v>
      </c>
      <c r="BB70" t="str">
        <f t="shared" ref="BB70:BB133" si="1">A70</f>
        <v>Ce - Sertoes Cearenses</v>
      </c>
      <c r="BC70" s="3" t="s">
        <v>144</v>
      </c>
      <c r="BD70" s="3" t="s">
        <v>144</v>
      </c>
      <c r="BE70" s="3" t="s">
        <v>144</v>
      </c>
      <c r="BF70" s="3" t="s">
        <v>144</v>
      </c>
      <c r="BG70" s="3" t="s">
        <v>144</v>
      </c>
      <c r="BH70" s="3" t="s">
        <v>144</v>
      </c>
      <c r="BI70" s="3" t="s">
        <v>144</v>
      </c>
      <c r="BJ70" s="3" t="s">
        <v>144</v>
      </c>
      <c r="BK70" s="3" t="s">
        <v>144</v>
      </c>
      <c r="BL70" s="3" t="s">
        <v>144</v>
      </c>
      <c r="BM70" s="3" t="s">
        <v>144</v>
      </c>
      <c r="BN70" s="3" t="s">
        <v>144</v>
      </c>
      <c r="BO70" s="3" t="s">
        <v>144</v>
      </c>
      <c r="BP70" s="3" t="s">
        <v>144</v>
      </c>
      <c r="BQ70" s="3" t="s">
        <v>144</v>
      </c>
      <c r="BR70" s="3" t="s">
        <v>144</v>
      </c>
      <c r="BS70" s="3" t="s">
        <v>144</v>
      </c>
      <c r="BT70" s="3" t="s">
        <v>144</v>
      </c>
      <c r="BU70" s="3" t="s">
        <v>144</v>
      </c>
      <c r="BV70" s="3" t="s">
        <v>144</v>
      </c>
      <c r="BW70" s="3" t="s">
        <v>144</v>
      </c>
      <c r="BX70" s="3" t="s">
        <v>144</v>
      </c>
      <c r="BY70" s="3" t="s">
        <v>144</v>
      </c>
      <c r="BZ70" s="3" t="s">
        <v>144</v>
      </c>
      <c r="CA70" s="3" t="s">
        <v>144</v>
      </c>
      <c r="CB70" s="3" t="s">
        <v>144</v>
      </c>
      <c r="CC70" s="3" t="s">
        <v>144</v>
      </c>
      <c r="CD70" s="3" t="s">
        <v>144</v>
      </c>
      <c r="CE70" s="3" t="s">
        <v>144</v>
      </c>
      <c r="CF70" s="3" t="s">
        <v>144</v>
      </c>
      <c r="CG70" s="3" t="s">
        <v>144</v>
      </c>
      <c r="CH70" s="3" t="s">
        <v>144</v>
      </c>
      <c r="CI70" s="3" t="s">
        <v>144</v>
      </c>
      <c r="CJ70" s="3" t="s">
        <v>144</v>
      </c>
      <c r="CK70" s="3" t="s">
        <v>144</v>
      </c>
      <c r="CL70" s="3" t="s">
        <v>144</v>
      </c>
      <c r="CM70" s="3" t="s">
        <v>144</v>
      </c>
      <c r="CN70" s="3" t="s">
        <v>144</v>
      </c>
      <c r="CO70" s="3" t="s">
        <v>144</v>
      </c>
      <c r="CP70" s="3" t="s">
        <v>144</v>
      </c>
      <c r="CQ70" s="3" t="s">
        <v>144</v>
      </c>
      <c r="CR70" s="3" t="s">
        <v>144</v>
      </c>
      <c r="CS70" s="3" t="s">
        <v>144</v>
      </c>
      <c r="CT70" s="3" t="s">
        <v>144</v>
      </c>
      <c r="CU70" s="3" t="s">
        <v>144</v>
      </c>
      <c r="CV70" s="3" t="s">
        <v>144</v>
      </c>
      <c r="CW70" s="3" t="s">
        <v>144</v>
      </c>
      <c r="CX70" s="3" t="s">
        <v>144</v>
      </c>
      <c r="CY70" s="3" t="s">
        <v>144</v>
      </c>
    </row>
    <row r="71" spans="1:103" x14ac:dyDescent="0.25">
      <c r="A71" t="s">
        <v>38</v>
      </c>
      <c r="B71" t="s">
        <v>4</v>
      </c>
      <c r="C71">
        <v>256.30701667178636</v>
      </c>
      <c r="D71">
        <v>283.08569055617016</v>
      </c>
      <c r="E71">
        <v>173.74435672561324</v>
      </c>
      <c r="F71">
        <v>149.56362476824353</v>
      </c>
      <c r="G71">
        <v>83.728656537637605</v>
      </c>
      <c r="H71">
        <v>101.32523746413128</v>
      </c>
      <c r="I71">
        <v>53.21368253507508</v>
      </c>
      <c r="J71">
        <v>49.802179814268989</v>
      </c>
      <c r="K71">
        <v>55.274311003500422</v>
      </c>
      <c r="L71">
        <v>57.481742381159563</v>
      </c>
      <c r="M71">
        <v>74.663801765742122</v>
      </c>
      <c r="N71">
        <v>69.871907443122737</v>
      </c>
      <c r="O71">
        <v>77.986511975108741</v>
      </c>
      <c r="P71">
        <v>78.899102341577773</v>
      </c>
      <c r="Q71">
        <v>81.419678222006482</v>
      </c>
      <c r="R71">
        <v>85.295891195835395</v>
      </c>
      <c r="S71">
        <v>84.003410661438494</v>
      </c>
      <c r="T71">
        <v>85.886535837053799</v>
      </c>
      <c r="U71">
        <v>83.784341852927199</v>
      </c>
      <c r="V71">
        <v>82.929824821837101</v>
      </c>
      <c r="W71">
        <v>81.884379647978506</v>
      </c>
      <c r="X71">
        <v>81.141493567552885</v>
      </c>
      <c r="Y71">
        <v>82.425171396432702</v>
      </c>
      <c r="Z71">
        <v>83.617293642879247</v>
      </c>
      <c r="AA71">
        <v>85.874127231591785</v>
      </c>
      <c r="AB71">
        <v>87.584990436066647</v>
      </c>
      <c r="AC71">
        <v>88.892320423857427</v>
      </c>
      <c r="AD71">
        <v>89.745675605435565</v>
      </c>
      <c r="AE71">
        <v>89.908665250436002</v>
      </c>
      <c r="AF71">
        <v>90.022474384375514</v>
      </c>
      <c r="AG71">
        <v>89.922235374902925</v>
      </c>
      <c r="AH71">
        <v>90.009077431005466</v>
      </c>
      <c r="AI71">
        <v>90.244887919605276</v>
      </c>
      <c r="AJ71">
        <v>90.61778871576854</v>
      </c>
      <c r="AK71">
        <v>91.169752774013816</v>
      </c>
      <c r="AL71">
        <v>91.753921559090131</v>
      </c>
      <c r="AM71">
        <v>92.408184641424441</v>
      </c>
      <c r="AN71">
        <v>93.028706598211485</v>
      </c>
      <c r="AO71">
        <v>93.595644544219724</v>
      </c>
      <c r="AP71">
        <v>94.079308986338063</v>
      </c>
      <c r="AQ71">
        <v>94.447575563492592</v>
      </c>
      <c r="AR71">
        <v>94.732293544129021</v>
      </c>
      <c r="AS71">
        <v>94.94379356606386</v>
      </c>
      <c r="AT71">
        <v>95.136509572188132</v>
      </c>
      <c r="AU71">
        <v>95.345170052017352</v>
      </c>
      <c r="AV71">
        <v>95.595275993834051</v>
      </c>
      <c r="AW71">
        <v>95.89736885961652</v>
      </c>
      <c r="AX71">
        <v>96.234075493074428</v>
      </c>
      <c r="AY71">
        <v>96.586433088596664</v>
      </c>
      <c r="BA71" s="1">
        <v>1</v>
      </c>
      <c r="BB71" t="str">
        <f t="shared" si="1"/>
        <v>Ce - Jaguaribe</v>
      </c>
      <c r="BC71" s="3">
        <v>287.92918877608213</v>
      </c>
      <c r="BD71" s="3">
        <v>438.43962366660963</v>
      </c>
      <c r="BE71" s="3">
        <v>295.68071764336884</v>
      </c>
      <c r="BF71" s="3">
        <v>183.86425544876977</v>
      </c>
      <c r="BG71" s="3">
        <v>25.87633418147923</v>
      </c>
      <c r="BH71" s="3">
        <v>66.51867332484278</v>
      </c>
      <c r="BI71" s="3">
        <v>17.317892809071843</v>
      </c>
      <c r="BJ71" s="3">
        <v>15.358838283722271</v>
      </c>
      <c r="BK71" s="3">
        <v>27.407907320547189</v>
      </c>
      <c r="BL71" s="3">
        <v>37.358698293760611</v>
      </c>
      <c r="BM71" s="3">
        <v>74.733319941836271</v>
      </c>
      <c r="BN71" s="3">
        <v>70.26255235666946</v>
      </c>
      <c r="BO71" s="3">
        <v>79.125946497470295</v>
      </c>
      <c r="BP71" s="3">
        <v>74.724537151860034</v>
      </c>
      <c r="BQ71" s="3">
        <v>70.777536002937239</v>
      </c>
      <c r="BR71" s="3">
        <v>69.249805783271881</v>
      </c>
      <c r="BS71" s="3">
        <v>58.814261178583578</v>
      </c>
      <c r="BT71" s="3">
        <v>54.690154230269187</v>
      </c>
      <c r="BU71" s="3">
        <v>46.862682803793049</v>
      </c>
      <c r="BV71" s="3">
        <v>43.558600894030356</v>
      </c>
      <c r="BW71" s="3">
        <v>42.317373107794523</v>
      </c>
      <c r="BX71" s="3">
        <v>42.27783668264987</v>
      </c>
      <c r="BY71" s="3">
        <v>45.388827954718259</v>
      </c>
      <c r="BZ71" s="3">
        <v>47.334840821564228</v>
      </c>
      <c r="CA71" s="3">
        <v>49.538362104498439</v>
      </c>
      <c r="CB71" s="3">
        <v>49.598655849861089</v>
      </c>
      <c r="CC71" s="3">
        <v>48.08081163346489</v>
      </c>
      <c r="CD71" s="3">
        <v>45.654377214531884</v>
      </c>
      <c r="CE71" s="3">
        <v>42.439355060241084</v>
      </c>
      <c r="CF71" s="3">
        <v>39.828726896535549</v>
      </c>
      <c r="CG71" s="3">
        <v>37.658981032083247</v>
      </c>
      <c r="CH71" s="3">
        <v>36.446298142388287</v>
      </c>
      <c r="CI71" s="3">
        <v>35.941942298118086</v>
      </c>
      <c r="CJ71" s="3">
        <v>35.845899681291954</v>
      </c>
      <c r="CK71" s="3">
        <v>36.010371085592723</v>
      </c>
      <c r="CL71" s="3">
        <v>36.033515411458559</v>
      </c>
      <c r="CM71" s="3">
        <v>35.900453171796329</v>
      </c>
      <c r="CN71" s="3">
        <v>35.460789060089226</v>
      </c>
      <c r="CO71" s="3">
        <v>34.752132152513234</v>
      </c>
      <c r="CP71" s="3">
        <v>33.848009672934083</v>
      </c>
      <c r="CQ71" s="3">
        <v>32.816672627751473</v>
      </c>
      <c r="CR71" s="3">
        <v>31.810693149320947</v>
      </c>
      <c r="CS71" s="3">
        <v>30.902324530808002</v>
      </c>
      <c r="CT71" s="3">
        <v>30.179528230741283</v>
      </c>
      <c r="CU71" s="3">
        <v>29.655643786040272</v>
      </c>
      <c r="CV71" s="3">
        <v>29.299170390186077</v>
      </c>
      <c r="CW71" s="3">
        <v>29.052766433387916</v>
      </c>
      <c r="CX71" s="3">
        <v>28.829820476876435</v>
      </c>
      <c r="CY71" s="3">
        <v>28.570026294854159</v>
      </c>
    </row>
    <row r="72" spans="1:103" x14ac:dyDescent="0.25">
      <c r="A72" t="s">
        <v>38</v>
      </c>
      <c r="B72" t="s">
        <v>5</v>
      </c>
      <c r="C72">
        <v>-31.622172104295753</v>
      </c>
      <c r="D72">
        <v>-155.35393311043947</v>
      </c>
      <c r="E72">
        <v>-121.93636091775558</v>
      </c>
      <c r="F72">
        <v>-34.30063068052624</v>
      </c>
      <c r="G72">
        <v>57.852322356158375</v>
      </c>
      <c r="H72">
        <v>34.80656413928849</v>
      </c>
      <c r="I72">
        <v>35.895789726003237</v>
      </c>
      <c r="J72">
        <v>34.443341530546718</v>
      </c>
      <c r="K72">
        <v>27.866403682953234</v>
      </c>
      <c r="L72">
        <v>20.123044087398952</v>
      </c>
      <c r="M72">
        <v>-6.9518176094148107E-2</v>
      </c>
      <c r="N72">
        <v>-0.39064491354671738</v>
      </c>
      <c r="O72">
        <v>-1.1394345223615518</v>
      </c>
      <c r="P72">
        <v>4.1745651897177387</v>
      </c>
      <c r="Q72">
        <v>10.642142219069241</v>
      </c>
      <c r="R72">
        <v>16.046085412563521</v>
      </c>
      <c r="S72">
        <v>25.189149482854912</v>
      </c>
      <c r="T72">
        <v>31.196381606784612</v>
      </c>
      <c r="U72">
        <v>36.921659049134149</v>
      </c>
      <c r="V72">
        <v>39.371223927806746</v>
      </c>
      <c r="W72">
        <v>39.567006540183982</v>
      </c>
      <c r="X72">
        <v>38.863656884903016</v>
      </c>
      <c r="Y72">
        <v>37.036343441714443</v>
      </c>
      <c r="Z72">
        <v>36.282452821315019</v>
      </c>
      <c r="AA72">
        <v>36.335765127093346</v>
      </c>
      <c r="AB72">
        <v>37.986334586205558</v>
      </c>
      <c r="AC72">
        <v>40.811508790392537</v>
      </c>
      <c r="AD72">
        <v>44.091298390903681</v>
      </c>
      <c r="AE72">
        <v>47.469310190194918</v>
      </c>
      <c r="AF72">
        <v>50.193747487839964</v>
      </c>
      <c r="AG72">
        <v>52.263254342819678</v>
      </c>
      <c r="AH72">
        <v>53.562779288617179</v>
      </c>
      <c r="AI72">
        <v>54.30294562148719</v>
      </c>
      <c r="AJ72">
        <v>54.771889034476587</v>
      </c>
      <c r="AK72">
        <v>55.159381688421092</v>
      </c>
      <c r="AL72">
        <v>55.720406147631572</v>
      </c>
      <c r="AM72">
        <v>56.507731469628112</v>
      </c>
      <c r="AN72">
        <v>57.567917538122259</v>
      </c>
      <c r="AO72">
        <v>58.84351239170649</v>
      </c>
      <c r="AP72">
        <v>60.23129931340398</v>
      </c>
      <c r="AQ72">
        <v>61.630902935741119</v>
      </c>
      <c r="AR72">
        <v>62.921600394808074</v>
      </c>
      <c r="AS72">
        <v>64.041469035255858</v>
      </c>
      <c r="AT72">
        <v>64.956981341446848</v>
      </c>
      <c r="AU72">
        <v>65.689526265977079</v>
      </c>
      <c r="AV72">
        <v>66.296105603647973</v>
      </c>
      <c r="AW72">
        <v>66.844602426228604</v>
      </c>
      <c r="AX72">
        <v>67.404255016197993</v>
      </c>
      <c r="AY72">
        <v>68.016406793742505</v>
      </c>
      <c r="BA72" s="1">
        <v>-1</v>
      </c>
      <c r="BB72" t="str">
        <f t="shared" si="1"/>
        <v>Ce - Jaguaribe</v>
      </c>
      <c r="BC72" s="3" t="s">
        <v>144</v>
      </c>
      <c r="BD72" s="3" t="s">
        <v>144</v>
      </c>
      <c r="BE72" s="3" t="s">
        <v>144</v>
      </c>
      <c r="BF72" s="3" t="s">
        <v>144</v>
      </c>
      <c r="BG72" s="3" t="s">
        <v>144</v>
      </c>
      <c r="BH72" s="3" t="s">
        <v>144</v>
      </c>
      <c r="BI72" s="3" t="s">
        <v>144</v>
      </c>
      <c r="BJ72" s="3" t="s">
        <v>144</v>
      </c>
      <c r="BK72" s="3" t="s">
        <v>144</v>
      </c>
      <c r="BL72" s="3" t="s">
        <v>144</v>
      </c>
      <c r="BM72" s="3" t="s">
        <v>144</v>
      </c>
      <c r="BN72" s="3" t="s">
        <v>144</v>
      </c>
      <c r="BO72" s="3" t="s">
        <v>144</v>
      </c>
      <c r="BP72" s="3" t="s">
        <v>144</v>
      </c>
      <c r="BQ72" s="3" t="s">
        <v>144</v>
      </c>
      <c r="BR72" s="3" t="s">
        <v>144</v>
      </c>
      <c r="BS72" s="3" t="s">
        <v>144</v>
      </c>
      <c r="BT72" s="3" t="s">
        <v>144</v>
      </c>
      <c r="BU72" s="3" t="s">
        <v>144</v>
      </c>
      <c r="BV72" s="3" t="s">
        <v>144</v>
      </c>
      <c r="BW72" s="3" t="s">
        <v>144</v>
      </c>
      <c r="BX72" s="3" t="s">
        <v>144</v>
      </c>
      <c r="BY72" s="3" t="s">
        <v>144</v>
      </c>
      <c r="BZ72" s="3" t="s">
        <v>144</v>
      </c>
      <c r="CA72" s="3" t="s">
        <v>144</v>
      </c>
      <c r="CB72" s="3" t="s">
        <v>144</v>
      </c>
      <c r="CC72" s="3" t="s">
        <v>144</v>
      </c>
      <c r="CD72" s="3" t="s">
        <v>144</v>
      </c>
      <c r="CE72" s="3" t="s">
        <v>144</v>
      </c>
      <c r="CF72" s="3" t="s">
        <v>144</v>
      </c>
      <c r="CG72" s="3" t="s">
        <v>144</v>
      </c>
      <c r="CH72" s="3" t="s">
        <v>144</v>
      </c>
      <c r="CI72" s="3" t="s">
        <v>144</v>
      </c>
      <c r="CJ72" s="3" t="s">
        <v>144</v>
      </c>
      <c r="CK72" s="3" t="s">
        <v>144</v>
      </c>
      <c r="CL72" s="3" t="s">
        <v>144</v>
      </c>
      <c r="CM72" s="3" t="s">
        <v>144</v>
      </c>
      <c r="CN72" s="3" t="s">
        <v>144</v>
      </c>
      <c r="CO72" s="3" t="s">
        <v>144</v>
      </c>
      <c r="CP72" s="3" t="s">
        <v>144</v>
      </c>
      <c r="CQ72" s="3" t="s">
        <v>144</v>
      </c>
      <c r="CR72" s="3" t="s">
        <v>144</v>
      </c>
      <c r="CS72" s="3" t="s">
        <v>144</v>
      </c>
      <c r="CT72" s="3" t="s">
        <v>144</v>
      </c>
      <c r="CU72" s="3" t="s">
        <v>144</v>
      </c>
      <c r="CV72" s="3" t="s">
        <v>144</v>
      </c>
      <c r="CW72" s="3" t="s">
        <v>144</v>
      </c>
      <c r="CX72" s="3" t="s">
        <v>144</v>
      </c>
      <c r="CY72" s="3" t="s">
        <v>144</v>
      </c>
    </row>
    <row r="73" spans="1:103" x14ac:dyDescent="0.25">
      <c r="A73" t="s">
        <v>39</v>
      </c>
      <c r="B73" t="s">
        <v>4</v>
      </c>
      <c r="C73">
        <v>72.425295132531943</v>
      </c>
      <c r="D73">
        <v>37.841784557572616</v>
      </c>
      <c r="E73">
        <v>19.580442945356122</v>
      </c>
      <c r="F73">
        <v>24.16317762082506</v>
      </c>
      <c r="G73">
        <v>28.415137479536739</v>
      </c>
      <c r="H73">
        <v>41.096457015883423</v>
      </c>
      <c r="I73">
        <v>37.405433354888423</v>
      </c>
      <c r="J73">
        <v>39.508387163610955</v>
      </c>
      <c r="K73">
        <v>40.048190670388522</v>
      </c>
      <c r="L73">
        <v>39.279884285658873</v>
      </c>
      <c r="M73">
        <v>39.568955446778155</v>
      </c>
      <c r="N73">
        <v>36.154105785735496</v>
      </c>
      <c r="O73">
        <v>35.947450837274154</v>
      </c>
      <c r="P73">
        <v>35.603801514469644</v>
      </c>
      <c r="Q73">
        <v>36.80288695834772</v>
      </c>
      <c r="R73">
        <v>38.733756136508369</v>
      </c>
      <c r="S73">
        <v>40.296084736105257</v>
      </c>
      <c r="T73">
        <v>42.47718860576154</v>
      </c>
      <c r="U73">
        <v>43.717050817870991</v>
      </c>
      <c r="V73">
        <v>44.713996737833547</v>
      </c>
      <c r="W73">
        <v>45.041373728863014</v>
      </c>
      <c r="X73">
        <v>44.965141692186393</v>
      </c>
      <c r="Y73">
        <v>44.905799198666365</v>
      </c>
      <c r="Z73">
        <v>44.757038902708437</v>
      </c>
      <c r="AA73">
        <v>44.916453039091081</v>
      </c>
      <c r="AB73">
        <v>45.227202077464071</v>
      </c>
      <c r="AC73">
        <v>45.775150966611264</v>
      </c>
      <c r="AD73">
        <v>46.478685032224597</v>
      </c>
      <c r="AE73">
        <v>47.202717890639228</v>
      </c>
      <c r="AF73">
        <v>47.926435569748882</v>
      </c>
      <c r="AG73">
        <v>48.521044681322337</v>
      </c>
      <c r="AH73">
        <v>49.000418266953865</v>
      </c>
      <c r="AI73">
        <v>49.341650673167145</v>
      </c>
      <c r="AJ73">
        <v>49.575540507339163</v>
      </c>
      <c r="AK73">
        <v>49.757640197918114</v>
      </c>
      <c r="AL73">
        <v>49.922221392235954</v>
      </c>
      <c r="AM73">
        <v>50.124575074959665</v>
      </c>
      <c r="AN73">
        <v>50.376726461132762</v>
      </c>
      <c r="AO73">
        <v>50.685681660799744</v>
      </c>
      <c r="AP73">
        <v>51.035276440575181</v>
      </c>
      <c r="AQ73">
        <v>51.397586664593028</v>
      </c>
      <c r="AR73">
        <v>51.749197974644851</v>
      </c>
      <c r="AS73">
        <v>52.065880793464196</v>
      </c>
      <c r="AT73">
        <v>52.33956862899462</v>
      </c>
      <c r="AU73">
        <v>52.569717337152717</v>
      </c>
      <c r="AV73">
        <v>52.76569696726456</v>
      </c>
      <c r="AW73">
        <v>52.941767458998811</v>
      </c>
      <c r="AX73">
        <v>53.110963505982681</v>
      </c>
      <c r="AY73">
        <v>53.284645768408367</v>
      </c>
      <c r="BA73" s="1">
        <v>1</v>
      </c>
      <c r="BB73" t="str">
        <f t="shared" si="1"/>
        <v>Ce - Centro-Sul Cearense</v>
      </c>
      <c r="BC73" s="3">
        <v>52.579111086754963</v>
      </c>
      <c r="BD73" s="3">
        <v>42.010963068698885</v>
      </c>
      <c r="BE73" s="3">
        <v>0.30751999045735445</v>
      </c>
      <c r="BF73" s="3">
        <v>18.508600832288785</v>
      </c>
      <c r="BG73" s="3">
        <v>16.675647079460884</v>
      </c>
      <c r="BH73" s="3">
        <v>25.149317730633584</v>
      </c>
      <c r="BI73" s="3">
        <v>22.149636818821094</v>
      </c>
      <c r="BJ73" s="3">
        <v>17.528835582845026</v>
      </c>
      <c r="BK73" s="3">
        <v>22.147185765690967</v>
      </c>
      <c r="BL73" s="3">
        <v>17.793886453049961</v>
      </c>
      <c r="BM73" s="3">
        <v>18.733554716742489</v>
      </c>
      <c r="BN73" s="3">
        <v>15.043017677362883</v>
      </c>
      <c r="BO73" s="3">
        <v>13.397495343916539</v>
      </c>
      <c r="BP73" s="3">
        <v>13.448653047388174</v>
      </c>
      <c r="BQ73" s="3">
        <v>12.358389898434488</v>
      </c>
      <c r="BR73" s="3">
        <v>13.40277167344458</v>
      </c>
      <c r="BS73" s="3">
        <v>13.004351724762181</v>
      </c>
      <c r="BT73" s="3">
        <v>13.520761505534132</v>
      </c>
      <c r="BU73" s="3">
        <v>13.54697895236384</v>
      </c>
      <c r="BV73" s="3">
        <v>13.099893989668139</v>
      </c>
      <c r="BW73" s="3">
        <v>12.778476983199702</v>
      </c>
      <c r="BX73" s="3">
        <v>11.879868663514138</v>
      </c>
      <c r="BY73" s="3">
        <v>11.322937376622008</v>
      </c>
      <c r="BZ73" s="3">
        <v>10.626951302941556</v>
      </c>
      <c r="CA73" s="3">
        <v>10.107037802424273</v>
      </c>
      <c r="CB73" s="3">
        <v>9.7549015169346447</v>
      </c>
      <c r="CC73" s="3">
        <v>9.4352900879710973</v>
      </c>
      <c r="CD73" s="3">
        <v>9.3092849732596861</v>
      </c>
      <c r="CE73" s="3">
        <v>9.15055481843455</v>
      </c>
      <c r="CF73" s="3">
        <v>9.0408356875633515</v>
      </c>
      <c r="CG73" s="3">
        <v>8.8841913257739051</v>
      </c>
      <c r="CH73" s="3">
        <v>8.6664893202922499</v>
      </c>
      <c r="CI73" s="3">
        <v>8.4149618900038732</v>
      </c>
      <c r="CJ73" s="3">
        <v>8.0986159769840498</v>
      </c>
      <c r="CK73" s="3">
        <v>7.7830589690992298</v>
      </c>
      <c r="CL73" s="3">
        <v>7.4671246286703692</v>
      </c>
      <c r="CM73" s="3">
        <v>7.1870148152171254</v>
      </c>
      <c r="CN73" s="3">
        <v>6.9533682295560624</v>
      </c>
      <c r="CO73" s="3">
        <v>6.7588900943286205</v>
      </c>
      <c r="CP73" s="3">
        <v>6.6037671399552451</v>
      </c>
      <c r="CQ73" s="3">
        <v>6.4635870553529955</v>
      </c>
      <c r="CR73" s="3">
        <v>6.3297671353851044</v>
      </c>
      <c r="CS73" s="3">
        <v>6.187988495979333</v>
      </c>
      <c r="CT73" s="3">
        <v>6.0331666434750773</v>
      </c>
      <c r="CU73" s="3">
        <v>5.867532934513001</v>
      </c>
      <c r="CV73" s="3">
        <v>5.6936717201923273</v>
      </c>
      <c r="CW73" s="3">
        <v>5.5206408394430895</v>
      </c>
      <c r="CX73" s="3">
        <v>5.3536997297712574</v>
      </c>
      <c r="CY73" s="3">
        <v>5.1985101373276237</v>
      </c>
    </row>
    <row r="74" spans="1:103" x14ac:dyDescent="0.25">
      <c r="A74" t="s">
        <v>39</v>
      </c>
      <c r="B74" t="s">
        <v>5</v>
      </c>
      <c r="C74">
        <v>19.84618404577698</v>
      </c>
      <c r="D74">
        <v>-4.1691785111262707</v>
      </c>
      <c r="E74">
        <v>19.272922954898768</v>
      </c>
      <c r="F74">
        <v>5.654576788536275</v>
      </c>
      <c r="G74">
        <v>11.739490400075855</v>
      </c>
      <c r="H74">
        <v>15.947139285249841</v>
      </c>
      <c r="I74">
        <v>15.255796536067329</v>
      </c>
      <c r="J74">
        <v>21.979551580765929</v>
      </c>
      <c r="K74">
        <v>17.901004904697555</v>
      </c>
      <c r="L74">
        <v>21.485997832608913</v>
      </c>
      <c r="M74">
        <v>20.835400730035666</v>
      </c>
      <c r="N74">
        <v>21.111088108372613</v>
      </c>
      <c r="O74">
        <v>22.549955493357615</v>
      </c>
      <c r="P74">
        <v>22.155148467081471</v>
      </c>
      <c r="Q74">
        <v>24.444497059913232</v>
      </c>
      <c r="R74">
        <v>25.330984463063789</v>
      </c>
      <c r="S74">
        <v>27.291733011343076</v>
      </c>
      <c r="T74">
        <v>28.956427100227408</v>
      </c>
      <c r="U74">
        <v>30.17007186550715</v>
      </c>
      <c r="V74">
        <v>31.614102748165408</v>
      </c>
      <c r="W74">
        <v>32.262896745663312</v>
      </c>
      <c r="X74">
        <v>33.085273028672255</v>
      </c>
      <c r="Y74">
        <v>33.582861822044357</v>
      </c>
      <c r="Z74">
        <v>34.130087599766881</v>
      </c>
      <c r="AA74">
        <v>34.809415236666808</v>
      </c>
      <c r="AB74">
        <v>35.472300560529426</v>
      </c>
      <c r="AC74">
        <v>36.339860878640167</v>
      </c>
      <c r="AD74">
        <v>37.169400058964911</v>
      </c>
      <c r="AE74">
        <v>38.052163072204678</v>
      </c>
      <c r="AF74">
        <v>38.885599882185531</v>
      </c>
      <c r="AG74">
        <v>39.636853355548432</v>
      </c>
      <c r="AH74">
        <v>40.333928946661615</v>
      </c>
      <c r="AI74">
        <v>40.926688783163272</v>
      </c>
      <c r="AJ74">
        <v>41.476924530355113</v>
      </c>
      <c r="AK74">
        <v>41.974581228818884</v>
      </c>
      <c r="AL74">
        <v>42.455096763565585</v>
      </c>
      <c r="AM74">
        <v>42.93756025974254</v>
      </c>
      <c r="AN74">
        <v>43.423358231576699</v>
      </c>
      <c r="AO74">
        <v>43.926791566471124</v>
      </c>
      <c r="AP74">
        <v>44.431509300619936</v>
      </c>
      <c r="AQ74">
        <v>44.933999609240033</v>
      </c>
      <c r="AR74">
        <v>45.419430839259746</v>
      </c>
      <c r="AS74">
        <v>45.877892297484863</v>
      </c>
      <c r="AT74">
        <v>46.306401985519543</v>
      </c>
      <c r="AU74">
        <v>46.702184402639716</v>
      </c>
      <c r="AV74">
        <v>47.072025247072233</v>
      </c>
      <c r="AW74">
        <v>47.421126619555722</v>
      </c>
      <c r="AX74">
        <v>47.757263776211424</v>
      </c>
      <c r="AY74">
        <v>48.086135631080744</v>
      </c>
      <c r="BA74" s="1">
        <v>-1</v>
      </c>
      <c r="BB74" t="str">
        <f t="shared" si="1"/>
        <v>Ce - Centro-Sul Cearense</v>
      </c>
      <c r="BC74" s="3" t="s">
        <v>144</v>
      </c>
      <c r="BD74" s="3" t="s">
        <v>144</v>
      </c>
      <c r="BE74" s="3" t="s">
        <v>144</v>
      </c>
      <c r="BF74" s="3" t="s">
        <v>144</v>
      </c>
      <c r="BG74" s="3" t="s">
        <v>144</v>
      </c>
      <c r="BH74" s="3" t="s">
        <v>144</v>
      </c>
      <c r="BI74" s="3" t="s">
        <v>144</v>
      </c>
      <c r="BJ74" s="3" t="s">
        <v>144</v>
      </c>
      <c r="BK74" s="3" t="s">
        <v>144</v>
      </c>
      <c r="BL74" s="3" t="s">
        <v>144</v>
      </c>
      <c r="BM74" s="3" t="s">
        <v>144</v>
      </c>
      <c r="BN74" s="3" t="s">
        <v>144</v>
      </c>
      <c r="BO74" s="3" t="s">
        <v>144</v>
      </c>
      <c r="BP74" s="3" t="s">
        <v>144</v>
      </c>
      <c r="BQ74" s="3" t="s">
        <v>144</v>
      </c>
      <c r="BR74" s="3" t="s">
        <v>144</v>
      </c>
      <c r="BS74" s="3" t="s">
        <v>144</v>
      </c>
      <c r="BT74" s="3" t="s">
        <v>144</v>
      </c>
      <c r="BU74" s="3" t="s">
        <v>144</v>
      </c>
      <c r="BV74" s="3" t="s">
        <v>144</v>
      </c>
      <c r="BW74" s="3" t="s">
        <v>144</v>
      </c>
      <c r="BX74" s="3" t="s">
        <v>144</v>
      </c>
      <c r="BY74" s="3" t="s">
        <v>144</v>
      </c>
      <c r="BZ74" s="3" t="s">
        <v>144</v>
      </c>
      <c r="CA74" s="3" t="s">
        <v>144</v>
      </c>
      <c r="CB74" s="3" t="s">
        <v>144</v>
      </c>
      <c r="CC74" s="3" t="s">
        <v>144</v>
      </c>
      <c r="CD74" s="3" t="s">
        <v>144</v>
      </c>
      <c r="CE74" s="3" t="s">
        <v>144</v>
      </c>
      <c r="CF74" s="3" t="s">
        <v>144</v>
      </c>
      <c r="CG74" s="3" t="s">
        <v>144</v>
      </c>
      <c r="CH74" s="3" t="s">
        <v>144</v>
      </c>
      <c r="CI74" s="3" t="s">
        <v>144</v>
      </c>
      <c r="CJ74" s="3" t="s">
        <v>144</v>
      </c>
      <c r="CK74" s="3" t="s">
        <v>144</v>
      </c>
      <c r="CL74" s="3" t="s">
        <v>144</v>
      </c>
      <c r="CM74" s="3" t="s">
        <v>144</v>
      </c>
      <c r="CN74" s="3" t="s">
        <v>144</v>
      </c>
      <c r="CO74" s="3" t="s">
        <v>144</v>
      </c>
      <c r="CP74" s="3" t="s">
        <v>144</v>
      </c>
      <c r="CQ74" s="3" t="s">
        <v>144</v>
      </c>
      <c r="CR74" s="3" t="s">
        <v>144</v>
      </c>
      <c r="CS74" s="3" t="s">
        <v>144</v>
      </c>
      <c r="CT74" s="3" t="s">
        <v>144</v>
      </c>
      <c r="CU74" s="3" t="s">
        <v>144</v>
      </c>
      <c r="CV74" s="3" t="s">
        <v>144</v>
      </c>
      <c r="CW74" s="3" t="s">
        <v>144</v>
      </c>
      <c r="CX74" s="3" t="s">
        <v>144</v>
      </c>
      <c r="CY74" s="3" t="s">
        <v>144</v>
      </c>
    </row>
    <row r="75" spans="1:103" x14ac:dyDescent="0.25">
      <c r="A75" t="s">
        <v>40</v>
      </c>
      <c r="B75" t="s">
        <v>4</v>
      </c>
      <c r="C75">
        <v>196.52369761845878</v>
      </c>
      <c r="D75">
        <v>133.41568855622015</v>
      </c>
      <c r="E75">
        <v>151.75794355880043</v>
      </c>
      <c r="F75">
        <v>137.74777240229159</v>
      </c>
      <c r="G75">
        <v>128.20007064409512</v>
      </c>
      <c r="H75">
        <v>170.70788555194684</v>
      </c>
      <c r="I75">
        <v>158.86616384960794</v>
      </c>
      <c r="J75">
        <v>183.14197061537803</v>
      </c>
      <c r="K75">
        <v>184.72811463209604</v>
      </c>
      <c r="L75">
        <v>191.9398380659749</v>
      </c>
      <c r="M75">
        <v>198.94174269426301</v>
      </c>
      <c r="N75">
        <v>191.11370248650459</v>
      </c>
      <c r="O75">
        <v>193.06752371872085</v>
      </c>
      <c r="P75">
        <v>187.13201800336043</v>
      </c>
      <c r="Q75">
        <v>188.28639494571172</v>
      </c>
      <c r="R75">
        <v>189.86950358618486</v>
      </c>
      <c r="S75">
        <v>192.14256454678844</v>
      </c>
      <c r="T75">
        <v>198.05690679247149</v>
      </c>
      <c r="U75">
        <v>201.82594606751957</v>
      </c>
      <c r="V75">
        <v>207.18737290220145</v>
      </c>
      <c r="W75">
        <v>210.37549198051056</v>
      </c>
      <c r="X75">
        <v>212.74338037564178</v>
      </c>
      <c r="Y75">
        <v>214.36349079968133</v>
      </c>
      <c r="Z75">
        <v>214.75449078475555</v>
      </c>
      <c r="AA75">
        <v>215.43075621898308</v>
      </c>
      <c r="AB75">
        <v>215.70177388567251</v>
      </c>
      <c r="AC75">
        <v>216.5633243010422</v>
      </c>
      <c r="AD75">
        <v>217.8073178210627</v>
      </c>
      <c r="AE75">
        <v>219.42987529434686</v>
      </c>
      <c r="AF75">
        <v>221.48262785330093</v>
      </c>
      <c r="AG75">
        <v>223.51037229935457</v>
      </c>
      <c r="AH75">
        <v>225.5548353678266</v>
      </c>
      <c r="AI75">
        <v>227.29808598167199</v>
      </c>
      <c r="AJ75">
        <v>228.73758301160217</v>
      </c>
      <c r="AK75">
        <v>229.87606807905127</v>
      </c>
      <c r="AL75">
        <v>230.7441674365169</v>
      </c>
      <c r="AM75">
        <v>231.5126059645969</v>
      </c>
      <c r="AN75">
        <v>232.23909758651072</v>
      </c>
      <c r="AO75">
        <v>233.04552792148004</v>
      </c>
      <c r="AP75">
        <v>233.95598223974622</v>
      </c>
      <c r="AQ75">
        <v>234.96706791446223</v>
      </c>
      <c r="AR75">
        <v>236.05075328568748</v>
      </c>
      <c r="AS75">
        <v>237.13809807668602</v>
      </c>
      <c r="AT75">
        <v>238.18697030249857</v>
      </c>
      <c r="AU75">
        <v>239.1487672078965</v>
      </c>
      <c r="AV75">
        <v>240.00866372930824</v>
      </c>
      <c r="AW75">
        <v>240.76974847390073</v>
      </c>
      <c r="AX75">
        <v>241.44950064219955</v>
      </c>
      <c r="AY75">
        <v>242.07958671435432</v>
      </c>
      <c r="BA75" s="1">
        <v>1</v>
      </c>
      <c r="BB75" t="str">
        <f t="shared" si="1"/>
        <v>Ce - Sul Cearense</v>
      </c>
      <c r="BC75" s="3">
        <v>193.09177703101329</v>
      </c>
      <c r="BD75" s="3">
        <v>170.02360680255296</v>
      </c>
      <c r="BE75" s="3">
        <v>114.24512843544247</v>
      </c>
      <c r="BF75" s="3">
        <v>87.931471071348639</v>
      </c>
      <c r="BG75" s="3">
        <v>94.521294663934242</v>
      </c>
      <c r="BH75" s="3">
        <v>111.02266501680205</v>
      </c>
      <c r="BI75" s="3">
        <v>100.47745731000566</v>
      </c>
      <c r="BJ75" s="3">
        <v>101.70377353391142</v>
      </c>
      <c r="BK75" s="3">
        <v>104.52343895183809</v>
      </c>
      <c r="BL75" s="3">
        <v>107.87257311597324</v>
      </c>
      <c r="BM75" s="3">
        <v>106.48658089506681</v>
      </c>
      <c r="BN75" s="3">
        <v>97.807503937843094</v>
      </c>
      <c r="BO75" s="3">
        <v>91.659954555039022</v>
      </c>
      <c r="BP75" s="3">
        <v>84.69458023080071</v>
      </c>
      <c r="BQ75" s="3">
        <v>80.197003949783252</v>
      </c>
      <c r="BR75" s="3">
        <v>76.372907658923552</v>
      </c>
      <c r="BS75" s="3">
        <v>73.276219143249662</v>
      </c>
      <c r="BT75" s="3">
        <v>71.959735282062638</v>
      </c>
      <c r="BU75" s="3">
        <v>70.675769192431289</v>
      </c>
      <c r="BV75" s="3">
        <v>70.017995546074815</v>
      </c>
      <c r="BW75" s="3">
        <v>68.813226237011236</v>
      </c>
      <c r="BX75" s="3">
        <v>67.251193196658221</v>
      </c>
      <c r="BY75" s="3">
        <v>65.32488920217645</v>
      </c>
      <c r="BZ75" s="3">
        <v>62.81973180328734</v>
      </c>
      <c r="CA75" s="3">
        <v>60.158020431008424</v>
      </c>
      <c r="CB75" s="3">
        <v>57.295036083438674</v>
      </c>
      <c r="CC75" s="3">
        <v>54.661813110953716</v>
      </c>
      <c r="CD75" s="3">
        <v>52.370131908792047</v>
      </c>
      <c r="CE75" s="3">
        <v>50.483886407398643</v>
      </c>
      <c r="CF75" s="3">
        <v>49.018027256549402</v>
      </c>
      <c r="CG75" s="3">
        <v>47.785755271771393</v>
      </c>
      <c r="CH75" s="3">
        <v>46.697374219544002</v>
      </c>
      <c r="CI75" s="3">
        <v>45.573394420712361</v>
      </c>
      <c r="CJ75" s="3">
        <v>44.339593973549881</v>
      </c>
      <c r="CK75" s="3">
        <v>42.971449368531069</v>
      </c>
      <c r="CL75" s="3">
        <v>41.48693234891573</v>
      </c>
      <c r="CM75" s="3">
        <v>39.966443841031975</v>
      </c>
      <c r="CN75" s="3">
        <v>38.468096968506046</v>
      </c>
      <c r="CO75" s="3">
        <v>37.060348916295368</v>
      </c>
      <c r="CP75" s="3">
        <v>35.774748406526953</v>
      </c>
      <c r="CQ75" s="3">
        <v>34.619230828449247</v>
      </c>
      <c r="CR75" s="3">
        <v>33.582212731447783</v>
      </c>
      <c r="CS75" s="3">
        <v>32.630743382877654</v>
      </c>
      <c r="CT75" s="3">
        <v>31.733406023196068</v>
      </c>
      <c r="CU75" s="3">
        <v>30.856730250313348</v>
      </c>
      <c r="CV75" s="3">
        <v>29.979402777970023</v>
      </c>
      <c r="CW75" s="3">
        <v>29.09171319297235</v>
      </c>
      <c r="CX75" s="3">
        <v>28.195384551570385</v>
      </c>
      <c r="CY75" s="3">
        <v>27.30303723974734</v>
      </c>
    </row>
    <row r="76" spans="1:103" x14ac:dyDescent="0.25">
      <c r="A76" t="s">
        <v>40</v>
      </c>
      <c r="B76" t="s">
        <v>5</v>
      </c>
      <c r="C76">
        <v>3.4319205874454992</v>
      </c>
      <c r="D76">
        <v>-36.607918246332808</v>
      </c>
      <c r="E76">
        <v>37.512815123357974</v>
      </c>
      <c r="F76">
        <v>49.816301330942949</v>
      </c>
      <c r="G76">
        <v>33.678775980160886</v>
      </c>
      <c r="H76">
        <v>59.685220535144801</v>
      </c>
      <c r="I76">
        <v>58.388706539602289</v>
      </c>
      <c r="J76">
        <v>81.438197081466612</v>
      </c>
      <c r="K76">
        <v>80.204675680257949</v>
      </c>
      <c r="L76">
        <v>84.067264950001658</v>
      </c>
      <c r="M76">
        <v>92.455161799196205</v>
      </c>
      <c r="N76">
        <v>93.306198548661499</v>
      </c>
      <c r="O76">
        <v>101.40756916368183</v>
      </c>
      <c r="P76">
        <v>102.43743777255972</v>
      </c>
      <c r="Q76">
        <v>108.08939099592847</v>
      </c>
      <c r="R76">
        <v>113.49659592726131</v>
      </c>
      <c r="S76">
        <v>118.86634540353877</v>
      </c>
      <c r="T76">
        <v>126.09717151040886</v>
      </c>
      <c r="U76">
        <v>131.15017687508828</v>
      </c>
      <c r="V76">
        <v>137.16937735612663</v>
      </c>
      <c r="W76">
        <v>141.56226574349932</v>
      </c>
      <c r="X76">
        <v>145.49218717898356</v>
      </c>
      <c r="Y76">
        <v>149.03860159750488</v>
      </c>
      <c r="Z76">
        <v>151.93475898146821</v>
      </c>
      <c r="AA76">
        <v>155.27273578797465</v>
      </c>
      <c r="AB76">
        <v>158.40673780223383</v>
      </c>
      <c r="AC76">
        <v>161.90151119008848</v>
      </c>
      <c r="AD76">
        <v>165.43718591227065</v>
      </c>
      <c r="AE76">
        <v>168.94598888694821</v>
      </c>
      <c r="AF76">
        <v>172.46460059675152</v>
      </c>
      <c r="AG76">
        <v>175.72461702758318</v>
      </c>
      <c r="AH76">
        <v>178.8574611482826</v>
      </c>
      <c r="AI76">
        <v>181.72469156095963</v>
      </c>
      <c r="AJ76">
        <v>184.39798903805229</v>
      </c>
      <c r="AK76">
        <v>186.9046187105202</v>
      </c>
      <c r="AL76">
        <v>189.25723508760117</v>
      </c>
      <c r="AM76">
        <v>191.54616212356493</v>
      </c>
      <c r="AN76">
        <v>193.77100061800468</v>
      </c>
      <c r="AO76">
        <v>195.98517900518468</v>
      </c>
      <c r="AP76">
        <v>198.18123383321927</v>
      </c>
      <c r="AQ76">
        <v>200.34783708601299</v>
      </c>
      <c r="AR76">
        <v>202.46854055423969</v>
      </c>
      <c r="AS76">
        <v>204.50735469380837</v>
      </c>
      <c r="AT76">
        <v>206.4535642793025</v>
      </c>
      <c r="AU76">
        <v>208.29203695758315</v>
      </c>
      <c r="AV76">
        <v>210.02926095133822</v>
      </c>
      <c r="AW76">
        <v>211.67803528092838</v>
      </c>
      <c r="AX76">
        <v>213.25411609062917</v>
      </c>
      <c r="AY76">
        <v>214.77654947460698</v>
      </c>
      <c r="BA76" s="1">
        <v>-1</v>
      </c>
      <c r="BB76" t="str">
        <f t="shared" si="1"/>
        <v>Ce - Sul Cearense</v>
      </c>
      <c r="BC76" s="3" t="s">
        <v>144</v>
      </c>
      <c r="BD76" s="3" t="s">
        <v>144</v>
      </c>
      <c r="BE76" s="3" t="s">
        <v>144</v>
      </c>
      <c r="BF76" s="3" t="s">
        <v>144</v>
      </c>
      <c r="BG76" s="3" t="s">
        <v>144</v>
      </c>
      <c r="BH76" s="3" t="s">
        <v>144</v>
      </c>
      <c r="BI76" s="3" t="s">
        <v>144</v>
      </c>
      <c r="BJ76" s="3" t="s">
        <v>144</v>
      </c>
      <c r="BK76" s="3" t="s">
        <v>144</v>
      </c>
      <c r="BL76" s="3" t="s">
        <v>144</v>
      </c>
      <c r="BM76" s="3" t="s">
        <v>144</v>
      </c>
      <c r="BN76" s="3" t="s">
        <v>144</v>
      </c>
      <c r="BO76" s="3" t="s">
        <v>144</v>
      </c>
      <c r="BP76" s="3" t="s">
        <v>144</v>
      </c>
      <c r="BQ76" s="3" t="s">
        <v>144</v>
      </c>
      <c r="BR76" s="3" t="s">
        <v>144</v>
      </c>
      <c r="BS76" s="3" t="s">
        <v>144</v>
      </c>
      <c r="BT76" s="3" t="s">
        <v>144</v>
      </c>
      <c r="BU76" s="3" t="s">
        <v>144</v>
      </c>
      <c r="BV76" s="3" t="s">
        <v>144</v>
      </c>
      <c r="BW76" s="3" t="s">
        <v>144</v>
      </c>
      <c r="BX76" s="3" t="s">
        <v>144</v>
      </c>
      <c r="BY76" s="3" t="s">
        <v>144</v>
      </c>
      <c r="BZ76" s="3" t="s">
        <v>144</v>
      </c>
      <c r="CA76" s="3" t="s">
        <v>144</v>
      </c>
      <c r="CB76" s="3" t="s">
        <v>144</v>
      </c>
      <c r="CC76" s="3" t="s">
        <v>144</v>
      </c>
      <c r="CD76" s="3" t="s">
        <v>144</v>
      </c>
      <c r="CE76" s="3" t="s">
        <v>144</v>
      </c>
      <c r="CF76" s="3" t="s">
        <v>144</v>
      </c>
      <c r="CG76" s="3" t="s">
        <v>144</v>
      </c>
      <c r="CH76" s="3" t="s">
        <v>144</v>
      </c>
      <c r="CI76" s="3" t="s">
        <v>144</v>
      </c>
      <c r="CJ76" s="3" t="s">
        <v>144</v>
      </c>
      <c r="CK76" s="3" t="s">
        <v>144</v>
      </c>
      <c r="CL76" s="3" t="s">
        <v>144</v>
      </c>
      <c r="CM76" s="3" t="s">
        <v>144</v>
      </c>
      <c r="CN76" s="3" t="s">
        <v>144</v>
      </c>
      <c r="CO76" s="3" t="s">
        <v>144</v>
      </c>
      <c r="CP76" s="3" t="s">
        <v>144</v>
      </c>
      <c r="CQ76" s="3" t="s">
        <v>144</v>
      </c>
      <c r="CR76" s="3" t="s">
        <v>144</v>
      </c>
      <c r="CS76" s="3" t="s">
        <v>144</v>
      </c>
      <c r="CT76" s="3" t="s">
        <v>144</v>
      </c>
      <c r="CU76" s="3" t="s">
        <v>144</v>
      </c>
      <c r="CV76" s="3" t="s">
        <v>144</v>
      </c>
      <c r="CW76" s="3" t="s">
        <v>144</v>
      </c>
      <c r="CX76" s="3" t="s">
        <v>144</v>
      </c>
      <c r="CY76" s="3" t="s">
        <v>144</v>
      </c>
    </row>
    <row r="77" spans="1:103" x14ac:dyDescent="0.25">
      <c r="A77" t="s">
        <v>41</v>
      </c>
      <c r="B77" t="s">
        <v>4</v>
      </c>
      <c r="C77">
        <v>323.06752139645192</v>
      </c>
      <c r="D77">
        <v>251.84129488002878</v>
      </c>
      <c r="E77">
        <v>279.97063845211028</v>
      </c>
      <c r="F77">
        <v>267.97851644701876</v>
      </c>
      <c r="G77">
        <v>236.84825104825737</v>
      </c>
      <c r="H77">
        <v>282.74683529518018</v>
      </c>
      <c r="I77">
        <v>209.0432322732093</v>
      </c>
      <c r="J77">
        <v>230.70070481656194</v>
      </c>
      <c r="K77">
        <v>225.1831517874312</v>
      </c>
      <c r="L77">
        <v>233.57069689169703</v>
      </c>
      <c r="M77">
        <v>242.42537205361123</v>
      </c>
      <c r="N77">
        <v>224.91226362049719</v>
      </c>
      <c r="O77">
        <v>232.2799689755623</v>
      </c>
      <c r="P77">
        <v>222.8091761953747</v>
      </c>
      <c r="Q77">
        <v>223.48058459491568</v>
      </c>
      <c r="R77">
        <v>220.89495262716463</v>
      </c>
      <c r="S77">
        <v>216.68213484605408</v>
      </c>
      <c r="T77">
        <v>218.56933192077204</v>
      </c>
      <c r="U77">
        <v>215.66446720575306</v>
      </c>
      <c r="V77">
        <v>216.99170009650851</v>
      </c>
      <c r="W77">
        <v>215.9331598946014</v>
      </c>
      <c r="X77">
        <v>215.58061970488967</v>
      </c>
      <c r="Y77">
        <v>215.78418980777229</v>
      </c>
      <c r="Z77">
        <v>214.63953504830945</v>
      </c>
      <c r="AA77">
        <v>214.4033358261434</v>
      </c>
      <c r="AB77">
        <v>212.93954417840868</v>
      </c>
      <c r="AC77">
        <v>211.87134711006024</v>
      </c>
      <c r="AD77">
        <v>210.68640163575625</v>
      </c>
      <c r="AE77">
        <v>209.53023623343023</v>
      </c>
      <c r="AF77">
        <v>208.88107345423074</v>
      </c>
      <c r="AG77">
        <v>208.20016996483923</v>
      </c>
      <c r="AH77">
        <v>207.91756420850675</v>
      </c>
      <c r="AI77">
        <v>207.5927262636221</v>
      </c>
      <c r="AJ77">
        <v>207.27797807979906</v>
      </c>
      <c r="AK77">
        <v>206.91215491275858</v>
      </c>
      <c r="AL77">
        <v>206.38866322181383</v>
      </c>
      <c r="AM77">
        <v>205.85404994388716</v>
      </c>
      <c r="AN77">
        <v>205.23504074608195</v>
      </c>
      <c r="AO77">
        <v>204.64905095510011</v>
      </c>
      <c r="AP77">
        <v>204.09428938421175</v>
      </c>
      <c r="AQ77">
        <v>203.58859364614742</v>
      </c>
      <c r="AR77">
        <v>203.1579564962652</v>
      </c>
      <c r="AS77">
        <v>202.76787038965992</v>
      </c>
      <c r="AT77">
        <v>202.43160958564872</v>
      </c>
      <c r="AU77">
        <v>202.11631993390679</v>
      </c>
      <c r="AV77">
        <v>201.81379999349818</v>
      </c>
      <c r="AW77">
        <v>201.51104738255884</v>
      </c>
      <c r="AX77">
        <v>201.19496827662377</v>
      </c>
      <c r="AY77">
        <v>200.87045640669547</v>
      </c>
      <c r="BA77" s="1">
        <v>1</v>
      </c>
      <c r="BB77" t="str">
        <f t="shared" si="1"/>
        <v>Rn - Oeste Potiguar</v>
      </c>
      <c r="BC77" s="3">
        <v>333.72979471337266</v>
      </c>
      <c r="BD77" s="3">
        <v>363.1678548122149</v>
      </c>
      <c r="BE77" s="3">
        <v>310.98095035506947</v>
      </c>
      <c r="BF77" s="3">
        <v>268.94413470493959</v>
      </c>
      <c r="BG77" s="3">
        <v>165.39761774035554</v>
      </c>
      <c r="BH77" s="3">
        <v>222.96696998688236</v>
      </c>
      <c r="BI77" s="3">
        <v>137.96436813038898</v>
      </c>
      <c r="BJ77" s="3">
        <v>135.80082008432666</v>
      </c>
      <c r="BK77" s="3">
        <v>135.8033204590771</v>
      </c>
      <c r="BL77" s="3">
        <v>137.94275414797593</v>
      </c>
      <c r="BM77" s="3">
        <v>159.76212482485349</v>
      </c>
      <c r="BN77" s="3">
        <v>139.03572125317248</v>
      </c>
      <c r="BO77" s="3">
        <v>144.48454557908502</v>
      </c>
      <c r="BP77" s="3">
        <v>133.82182568566222</v>
      </c>
      <c r="BQ77" s="3">
        <v>127.85916868407541</v>
      </c>
      <c r="BR77" s="3">
        <v>122.01439864331104</v>
      </c>
      <c r="BS77" s="3">
        <v>108.90115777940616</v>
      </c>
      <c r="BT77" s="3">
        <v>104.44910424334088</v>
      </c>
      <c r="BU77" s="3">
        <v>95.472223237345261</v>
      </c>
      <c r="BV77" s="3">
        <v>92.104532929990171</v>
      </c>
      <c r="BW77" s="3">
        <v>89.05779338158095</v>
      </c>
      <c r="BX77" s="3">
        <v>86.824173750004007</v>
      </c>
      <c r="BY77" s="3">
        <v>86.794829110106065</v>
      </c>
      <c r="BZ77" s="3">
        <v>84.802851510439666</v>
      </c>
      <c r="CA77" s="3">
        <v>83.312390005368485</v>
      </c>
      <c r="CB77" s="3">
        <v>79.807605889854756</v>
      </c>
      <c r="CC77" s="3">
        <v>75.690960453425959</v>
      </c>
      <c r="CD77" s="3">
        <v>71.285269774105529</v>
      </c>
      <c r="CE77" s="3">
        <v>66.627084529230302</v>
      </c>
      <c r="CF77" s="3">
        <v>62.86023374378226</v>
      </c>
      <c r="CG77" s="3">
        <v>59.454882645461282</v>
      </c>
      <c r="CH77" s="3">
        <v>56.919080596722978</v>
      </c>
      <c r="CI77" s="3">
        <v>54.82802102683624</v>
      </c>
      <c r="CJ77" s="3">
        <v>52.989955732813996</v>
      </c>
      <c r="CK77" s="3">
        <v>51.306507388471687</v>
      </c>
      <c r="CL77" s="3">
        <v>49.457144417710253</v>
      </c>
      <c r="CM77" s="3">
        <v>47.531885919823679</v>
      </c>
      <c r="CN77" s="3">
        <v>45.402576903953133</v>
      </c>
      <c r="CO77" s="3">
        <v>43.168095435717504</v>
      </c>
      <c r="CP77" s="3">
        <v>40.894151415519332</v>
      </c>
      <c r="CQ77" s="3">
        <v>38.641164981120085</v>
      </c>
      <c r="CR77" s="3">
        <v>36.528653686745656</v>
      </c>
      <c r="CS77" s="3">
        <v>34.575317611065969</v>
      </c>
      <c r="CT77" s="3">
        <v>32.829869499336411</v>
      </c>
      <c r="CU77" s="3">
        <v>31.264529303687766</v>
      </c>
      <c r="CV77" s="3">
        <v>29.837156670306598</v>
      </c>
      <c r="CW77" s="3">
        <v>28.495831237126822</v>
      </c>
      <c r="CX77" s="3">
        <v>27.1764146386856</v>
      </c>
      <c r="CY77" s="3">
        <v>25.849490330560116</v>
      </c>
    </row>
    <row r="78" spans="1:103" x14ac:dyDescent="0.25">
      <c r="A78" t="s">
        <v>41</v>
      </c>
      <c r="B78" t="s">
        <v>5</v>
      </c>
      <c r="C78">
        <v>-10.662273316920722</v>
      </c>
      <c r="D78">
        <v>-111.32655993218613</v>
      </c>
      <c r="E78">
        <v>-31.010311902959213</v>
      </c>
      <c r="F78">
        <v>-0.96561825792080636</v>
      </c>
      <c r="G78">
        <v>71.450633307901839</v>
      </c>
      <c r="H78">
        <v>59.779865308297822</v>
      </c>
      <c r="I78">
        <v>71.078864142820322</v>
      </c>
      <c r="J78">
        <v>94.899884732235279</v>
      </c>
      <c r="K78">
        <v>89.379831328354115</v>
      </c>
      <c r="L78">
        <v>95.627942743721093</v>
      </c>
      <c r="M78">
        <v>82.66324722875774</v>
      </c>
      <c r="N78">
        <v>85.876542367324703</v>
      </c>
      <c r="O78">
        <v>87.795423396477275</v>
      </c>
      <c r="P78">
        <v>88.987350509712485</v>
      </c>
      <c r="Q78">
        <v>95.62141591084027</v>
      </c>
      <c r="R78">
        <v>98.880553983853588</v>
      </c>
      <c r="S78">
        <v>107.78097706664792</v>
      </c>
      <c r="T78">
        <v>114.12022767743116</v>
      </c>
      <c r="U78">
        <v>120.19224396840779</v>
      </c>
      <c r="V78">
        <v>124.88716716651834</v>
      </c>
      <c r="W78">
        <v>126.87536651302045</v>
      </c>
      <c r="X78">
        <v>128.75644595488566</v>
      </c>
      <c r="Y78">
        <v>128.98936069766623</v>
      </c>
      <c r="Z78">
        <v>129.83668353786979</v>
      </c>
      <c r="AA78">
        <v>131.09094582077492</v>
      </c>
      <c r="AB78">
        <v>133.13193828855393</v>
      </c>
      <c r="AC78">
        <v>136.18038665663428</v>
      </c>
      <c r="AD78">
        <v>139.40113186165073</v>
      </c>
      <c r="AE78">
        <v>142.90315170419993</v>
      </c>
      <c r="AF78">
        <v>146.02083971044848</v>
      </c>
      <c r="AG78">
        <v>148.74528731937795</v>
      </c>
      <c r="AH78">
        <v>150.99848361178377</v>
      </c>
      <c r="AI78">
        <v>152.76470523678586</v>
      </c>
      <c r="AJ78">
        <v>154.28802234698506</v>
      </c>
      <c r="AK78">
        <v>155.60564752428689</v>
      </c>
      <c r="AL78">
        <v>156.93151880410358</v>
      </c>
      <c r="AM78">
        <v>158.32216402406348</v>
      </c>
      <c r="AN78">
        <v>159.83246384212882</v>
      </c>
      <c r="AO78">
        <v>161.4809555193826</v>
      </c>
      <c r="AP78">
        <v>163.20013796869242</v>
      </c>
      <c r="AQ78">
        <v>164.94742866502733</v>
      </c>
      <c r="AR78">
        <v>166.62930280951954</v>
      </c>
      <c r="AS78">
        <v>168.19255277859395</v>
      </c>
      <c r="AT78">
        <v>169.6017400863123</v>
      </c>
      <c r="AU78">
        <v>170.85179063021903</v>
      </c>
      <c r="AV78">
        <v>171.97664332319158</v>
      </c>
      <c r="AW78">
        <v>173.01521614543202</v>
      </c>
      <c r="AX78">
        <v>174.01855363793817</v>
      </c>
      <c r="AY78">
        <v>175.02096607613535</v>
      </c>
      <c r="BA78" s="1">
        <v>-1</v>
      </c>
      <c r="BB78" t="str">
        <f t="shared" si="1"/>
        <v>Rn - Oeste Potiguar</v>
      </c>
      <c r="BC78" s="3" t="s">
        <v>144</v>
      </c>
      <c r="BD78" s="3" t="s">
        <v>144</v>
      </c>
      <c r="BE78" s="3" t="s">
        <v>144</v>
      </c>
      <c r="BF78" s="3" t="s">
        <v>144</v>
      </c>
      <c r="BG78" s="3" t="s">
        <v>144</v>
      </c>
      <c r="BH78" s="3" t="s">
        <v>144</v>
      </c>
      <c r="BI78" s="3" t="s">
        <v>144</v>
      </c>
      <c r="BJ78" s="3" t="s">
        <v>144</v>
      </c>
      <c r="BK78" s="3" t="s">
        <v>144</v>
      </c>
      <c r="BL78" s="3" t="s">
        <v>144</v>
      </c>
      <c r="BM78" s="3" t="s">
        <v>144</v>
      </c>
      <c r="BN78" s="3" t="s">
        <v>144</v>
      </c>
      <c r="BO78" s="3" t="s">
        <v>144</v>
      </c>
      <c r="BP78" s="3" t="s">
        <v>144</v>
      </c>
      <c r="BQ78" s="3" t="s">
        <v>144</v>
      </c>
      <c r="BR78" s="3" t="s">
        <v>144</v>
      </c>
      <c r="BS78" s="3" t="s">
        <v>144</v>
      </c>
      <c r="BT78" s="3" t="s">
        <v>144</v>
      </c>
      <c r="BU78" s="3" t="s">
        <v>144</v>
      </c>
      <c r="BV78" s="3" t="s">
        <v>144</v>
      </c>
      <c r="BW78" s="3" t="s">
        <v>144</v>
      </c>
      <c r="BX78" s="3" t="s">
        <v>144</v>
      </c>
      <c r="BY78" s="3" t="s">
        <v>144</v>
      </c>
      <c r="BZ78" s="3" t="s">
        <v>144</v>
      </c>
      <c r="CA78" s="3" t="s">
        <v>144</v>
      </c>
      <c r="CB78" s="3" t="s">
        <v>144</v>
      </c>
      <c r="CC78" s="3" t="s">
        <v>144</v>
      </c>
      <c r="CD78" s="3" t="s">
        <v>144</v>
      </c>
      <c r="CE78" s="3" t="s">
        <v>144</v>
      </c>
      <c r="CF78" s="3" t="s">
        <v>144</v>
      </c>
      <c r="CG78" s="3" t="s">
        <v>144</v>
      </c>
      <c r="CH78" s="3" t="s">
        <v>144</v>
      </c>
      <c r="CI78" s="3" t="s">
        <v>144</v>
      </c>
      <c r="CJ78" s="3" t="s">
        <v>144</v>
      </c>
      <c r="CK78" s="3" t="s">
        <v>144</v>
      </c>
      <c r="CL78" s="3" t="s">
        <v>144</v>
      </c>
      <c r="CM78" s="3" t="s">
        <v>144</v>
      </c>
      <c r="CN78" s="3" t="s">
        <v>144</v>
      </c>
      <c r="CO78" s="3" t="s">
        <v>144</v>
      </c>
      <c r="CP78" s="3" t="s">
        <v>144</v>
      </c>
      <c r="CQ78" s="3" t="s">
        <v>144</v>
      </c>
      <c r="CR78" s="3" t="s">
        <v>144</v>
      </c>
      <c r="CS78" s="3" t="s">
        <v>144</v>
      </c>
      <c r="CT78" s="3" t="s">
        <v>144</v>
      </c>
      <c r="CU78" s="3" t="s">
        <v>144</v>
      </c>
      <c r="CV78" s="3" t="s">
        <v>144</v>
      </c>
      <c r="CW78" s="3" t="s">
        <v>144</v>
      </c>
      <c r="CX78" s="3" t="s">
        <v>144</v>
      </c>
      <c r="CY78" s="3" t="s">
        <v>144</v>
      </c>
    </row>
    <row r="79" spans="1:103" x14ac:dyDescent="0.25">
      <c r="A79" t="s">
        <v>42</v>
      </c>
      <c r="B79" t="s">
        <v>4</v>
      </c>
      <c r="C79">
        <v>58.089037126075397</v>
      </c>
      <c r="D79">
        <v>42.378914828933389</v>
      </c>
      <c r="E79">
        <v>39.972321314955025</v>
      </c>
      <c r="F79">
        <v>37.727040331246833</v>
      </c>
      <c r="G79">
        <v>30.501180111769454</v>
      </c>
      <c r="H79">
        <v>46.571172246672646</v>
      </c>
      <c r="I79">
        <v>39.247703506318899</v>
      </c>
      <c r="J79">
        <v>44.925693531860659</v>
      </c>
      <c r="K79">
        <v>45.11969769457319</v>
      </c>
      <c r="L79">
        <v>45.733278727022928</v>
      </c>
      <c r="M79">
        <v>48.386264963357206</v>
      </c>
      <c r="N79">
        <v>44.959167141578639</v>
      </c>
      <c r="O79">
        <v>46.014553910009951</v>
      </c>
      <c r="P79">
        <v>44.416244681731925</v>
      </c>
      <c r="Q79">
        <v>44.713380077359425</v>
      </c>
      <c r="R79">
        <v>45.240233498194009</v>
      </c>
      <c r="S79">
        <v>45.245391646760851</v>
      </c>
      <c r="T79">
        <v>46.619862608145631</v>
      </c>
      <c r="U79">
        <v>47.043163363990267</v>
      </c>
      <c r="V79">
        <v>48.083756149730654</v>
      </c>
      <c r="W79">
        <v>48.595752762603581</v>
      </c>
      <c r="X79">
        <v>48.908368085501422</v>
      </c>
      <c r="Y79">
        <v>49.234585388771094</v>
      </c>
      <c r="Z79">
        <v>49.181385107903004</v>
      </c>
      <c r="AA79">
        <v>49.306786070601767</v>
      </c>
      <c r="AB79">
        <v>49.281014811314463</v>
      </c>
      <c r="AC79">
        <v>49.395881543933122</v>
      </c>
      <c r="AD79">
        <v>49.603417948463374</v>
      </c>
      <c r="AE79">
        <v>49.856684156371742</v>
      </c>
      <c r="AF79">
        <v>50.229397653263774</v>
      </c>
      <c r="AG79">
        <v>50.568249747144478</v>
      </c>
      <c r="AH79">
        <v>50.924147830443502</v>
      </c>
      <c r="AI79">
        <v>51.214156906488626</v>
      </c>
      <c r="AJ79">
        <v>51.441253843092291</v>
      </c>
      <c r="AK79">
        <v>51.6188605220634</v>
      </c>
      <c r="AL79">
        <v>51.739920006719842</v>
      </c>
      <c r="AM79">
        <v>51.852844592150348</v>
      </c>
      <c r="AN79">
        <v>51.958333024509052</v>
      </c>
      <c r="AO79">
        <v>52.083349107410953</v>
      </c>
      <c r="AP79">
        <v>52.230540764288541</v>
      </c>
      <c r="AQ79">
        <v>52.395632251478368</v>
      </c>
      <c r="AR79">
        <v>52.576187484970937</v>
      </c>
      <c r="AS79">
        <v>52.755706581454078</v>
      </c>
      <c r="AT79">
        <v>52.928785153238785</v>
      </c>
      <c r="AU79">
        <v>53.085486746050549</v>
      </c>
      <c r="AV79">
        <v>53.223431602452777</v>
      </c>
      <c r="AW79">
        <v>53.343989275000006</v>
      </c>
      <c r="AX79">
        <v>53.44978025483119</v>
      </c>
      <c r="AY79">
        <v>53.547621409408379</v>
      </c>
      <c r="BA79" s="1">
        <v>1</v>
      </c>
      <c r="BB79" t="str">
        <f t="shared" si="1"/>
        <v>Rn - Central Potiguar</v>
      </c>
      <c r="BC79" s="3">
        <v>50.187957359025468</v>
      </c>
      <c r="BD79" s="3">
        <v>54.504591298984039</v>
      </c>
      <c r="BE79" s="3">
        <v>38.588409190408179</v>
      </c>
      <c r="BF79" s="3">
        <v>38.938864523838113</v>
      </c>
      <c r="BG79" s="3">
        <v>27.502337161983629</v>
      </c>
      <c r="BH79" s="3">
        <v>34.847435626840472</v>
      </c>
      <c r="BI79" s="3">
        <v>30.701663494054152</v>
      </c>
      <c r="BJ79" s="3">
        <v>28.902953794924795</v>
      </c>
      <c r="BK79" s="3">
        <v>30.267204295370863</v>
      </c>
      <c r="BL79" s="3">
        <v>27.934993364625942</v>
      </c>
      <c r="BM79" s="3">
        <v>29.471975657002801</v>
      </c>
      <c r="BN79" s="3">
        <v>26.428210017509503</v>
      </c>
      <c r="BO79" s="3">
        <v>25.325029100573012</v>
      </c>
      <c r="BP79" s="3">
        <v>23.942008429169388</v>
      </c>
      <c r="BQ79" s="3">
        <v>22.435134276689457</v>
      </c>
      <c r="BR79" s="3">
        <v>22.067242924204375</v>
      </c>
      <c r="BS79" s="3">
        <v>20.75811097354234</v>
      </c>
      <c r="BT79" s="3">
        <v>20.431311625035907</v>
      </c>
      <c r="BU79" s="3">
        <v>19.750303421022213</v>
      </c>
      <c r="BV79" s="3">
        <v>19.249304812766034</v>
      </c>
      <c r="BW79" s="3">
        <v>18.833140703803991</v>
      </c>
      <c r="BX79" s="3">
        <v>18.151491322368102</v>
      </c>
      <c r="BY79" s="3">
        <v>17.673178734974645</v>
      </c>
      <c r="BZ79" s="3">
        <v>16.964055121006972</v>
      </c>
      <c r="CA79" s="3">
        <v>16.324968170757266</v>
      </c>
      <c r="CB79" s="3">
        <v>15.641300157821462</v>
      </c>
      <c r="CC79" s="3">
        <v>14.955380481361303</v>
      </c>
      <c r="CD79" s="3">
        <v>14.376724573582408</v>
      </c>
      <c r="CE79" s="3">
        <v>13.813517584478944</v>
      </c>
      <c r="CF79" s="3">
        <v>13.361501768363347</v>
      </c>
      <c r="CG79" s="3">
        <v>12.937289941059838</v>
      </c>
      <c r="CH79" s="3">
        <v>12.549177385035712</v>
      </c>
      <c r="CI79" s="3">
        <v>12.174214955226283</v>
      </c>
      <c r="CJ79" s="3">
        <v>11.779235383899973</v>
      </c>
      <c r="CK79" s="3">
        <v>11.383658643022471</v>
      </c>
      <c r="CL79" s="3">
        <v>10.969032859808188</v>
      </c>
      <c r="CM79" s="3">
        <v>10.559998353526652</v>
      </c>
      <c r="CN79" s="3">
        <v>10.160042257489195</v>
      </c>
      <c r="CO79" s="3">
        <v>9.7775897293422602</v>
      </c>
      <c r="CP79" s="3">
        <v>9.4215044799223904</v>
      </c>
      <c r="CQ79" s="3">
        <v>9.0870784493490717</v>
      </c>
      <c r="CR79" s="3">
        <v>8.7772922392858561</v>
      </c>
      <c r="CS79" s="3">
        <v>8.4846276612917606</v>
      </c>
      <c r="CT79" s="3">
        <v>8.2058725070953003</v>
      </c>
      <c r="CU79" s="3">
        <v>7.9365823132974498</v>
      </c>
      <c r="CV79" s="3">
        <v>7.6724303200435884</v>
      </c>
      <c r="CW79" s="3">
        <v>7.4128687722155604</v>
      </c>
      <c r="CX79" s="3">
        <v>7.1565210616628718</v>
      </c>
      <c r="CY79" s="3">
        <v>6.905343474772792</v>
      </c>
    </row>
    <row r="80" spans="1:103" x14ac:dyDescent="0.25">
      <c r="A80" t="s">
        <v>42</v>
      </c>
      <c r="B80" t="s">
        <v>5</v>
      </c>
      <c r="C80">
        <v>7.9010797670499295</v>
      </c>
      <c r="D80">
        <v>-12.125676470050651</v>
      </c>
      <c r="E80">
        <v>1.3839121245468466</v>
      </c>
      <c r="F80">
        <v>-1.2118241925912812</v>
      </c>
      <c r="G80">
        <v>2.9988429497858262</v>
      </c>
      <c r="H80">
        <v>11.723736619832172</v>
      </c>
      <c r="I80">
        <v>8.5460400122647489</v>
      </c>
      <c r="J80">
        <v>16.022739736935865</v>
      </c>
      <c r="K80">
        <v>14.852493399202327</v>
      </c>
      <c r="L80">
        <v>17.798285362396985</v>
      </c>
      <c r="M80">
        <v>18.914289306354405</v>
      </c>
      <c r="N80">
        <v>18.530957124069136</v>
      </c>
      <c r="O80">
        <v>20.689524809436939</v>
      </c>
      <c r="P80">
        <v>20.474236252562537</v>
      </c>
      <c r="Q80">
        <v>22.278245800669968</v>
      </c>
      <c r="R80">
        <v>23.172990573989633</v>
      </c>
      <c r="S80">
        <v>24.48728067321851</v>
      </c>
      <c r="T80">
        <v>26.188550983109725</v>
      </c>
      <c r="U80">
        <v>27.292859942968054</v>
      </c>
      <c r="V80">
        <v>28.834451336964619</v>
      </c>
      <c r="W80">
        <v>29.76261205879959</v>
      </c>
      <c r="X80">
        <v>30.75687676313332</v>
      </c>
      <c r="Y80">
        <v>31.56140665379645</v>
      </c>
      <c r="Z80">
        <v>32.217329986896033</v>
      </c>
      <c r="AA80">
        <v>32.981817899844501</v>
      </c>
      <c r="AB80">
        <v>33.639714653493002</v>
      </c>
      <c r="AC80">
        <v>34.440501062571819</v>
      </c>
      <c r="AD80">
        <v>35.226693374880966</v>
      </c>
      <c r="AE80">
        <v>36.043166571892797</v>
      </c>
      <c r="AF80">
        <v>36.867895884900427</v>
      </c>
      <c r="AG80">
        <v>37.63095980608464</v>
      </c>
      <c r="AH80">
        <v>38.37497044540779</v>
      </c>
      <c r="AI80">
        <v>39.039941951262342</v>
      </c>
      <c r="AJ80">
        <v>39.662018459192318</v>
      </c>
      <c r="AK80">
        <v>40.235201879040929</v>
      </c>
      <c r="AL80">
        <v>40.770887146911654</v>
      </c>
      <c r="AM80">
        <v>41.292846238623696</v>
      </c>
      <c r="AN80">
        <v>41.798290767019857</v>
      </c>
      <c r="AO80">
        <v>42.305759378068693</v>
      </c>
      <c r="AP80">
        <v>42.809036284366151</v>
      </c>
      <c r="AQ80">
        <v>43.308553802129296</v>
      </c>
      <c r="AR80">
        <v>43.798895245685081</v>
      </c>
      <c r="AS80">
        <v>44.271078920162317</v>
      </c>
      <c r="AT80">
        <v>44.722912646143484</v>
      </c>
      <c r="AU80">
        <v>45.148904432753099</v>
      </c>
      <c r="AV80">
        <v>45.551001282409189</v>
      </c>
      <c r="AW80">
        <v>45.931120502784445</v>
      </c>
      <c r="AX80">
        <v>46.293259193168318</v>
      </c>
      <c r="AY80">
        <v>46.642277934635587</v>
      </c>
      <c r="BA80" s="1">
        <v>-1</v>
      </c>
      <c r="BB80" t="str">
        <f t="shared" si="1"/>
        <v>Rn - Central Potiguar</v>
      </c>
      <c r="BC80" s="3" t="s">
        <v>144</v>
      </c>
      <c r="BD80" s="3" t="s">
        <v>144</v>
      </c>
      <c r="BE80" s="3" t="s">
        <v>144</v>
      </c>
      <c r="BF80" s="3" t="s">
        <v>144</v>
      </c>
      <c r="BG80" s="3" t="s">
        <v>144</v>
      </c>
      <c r="BH80" s="3" t="s">
        <v>144</v>
      </c>
      <c r="BI80" s="3" t="s">
        <v>144</v>
      </c>
      <c r="BJ80" s="3" t="s">
        <v>144</v>
      </c>
      <c r="BK80" s="3" t="s">
        <v>144</v>
      </c>
      <c r="BL80" s="3" t="s">
        <v>144</v>
      </c>
      <c r="BM80" s="3" t="s">
        <v>144</v>
      </c>
      <c r="BN80" s="3" t="s">
        <v>144</v>
      </c>
      <c r="BO80" s="3" t="s">
        <v>144</v>
      </c>
      <c r="BP80" s="3" t="s">
        <v>144</v>
      </c>
      <c r="BQ80" s="3" t="s">
        <v>144</v>
      </c>
      <c r="BR80" s="3" t="s">
        <v>144</v>
      </c>
      <c r="BS80" s="3" t="s">
        <v>144</v>
      </c>
      <c r="BT80" s="3" t="s">
        <v>144</v>
      </c>
      <c r="BU80" s="3" t="s">
        <v>144</v>
      </c>
      <c r="BV80" s="3" t="s">
        <v>144</v>
      </c>
      <c r="BW80" s="3" t="s">
        <v>144</v>
      </c>
      <c r="BX80" s="3" t="s">
        <v>144</v>
      </c>
      <c r="BY80" s="3" t="s">
        <v>144</v>
      </c>
      <c r="BZ80" s="3" t="s">
        <v>144</v>
      </c>
      <c r="CA80" s="3" t="s">
        <v>144</v>
      </c>
      <c r="CB80" s="3" t="s">
        <v>144</v>
      </c>
      <c r="CC80" s="3" t="s">
        <v>144</v>
      </c>
      <c r="CD80" s="3" t="s">
        <v>144</v>
      </c>
      <c r="CE80" s="3" t="s">
        <v>144</v>
      </c>
      <c r="CF80" s="3" t="s">
        <v>144</v>
      </c>
      <c r="CG80" s="3" t="s">
        <v>144</v>
      </c>
      <c r="CH80" s="3" t="s">
        <v>144</v>
      </c>
      <c r="CI80" s="3" t="s">
        <v>144</v>
      </c>
      <c r="CJ80" s="3" t="s">
        <v>144</v>
      </c>
      <c r="CK80" s="3" t="s">
        <v>144</v>
      </c>
      <c r="CL80" s="3" t="s">
        <v>144</v>
      </c>
      <c r="CM80" s="3" t="s">
        <v>144</v>
      </c>
      <c r="CN80" s="3" t="s">
        <v>144</v>
      </c>
      <c r="CO80" s="3" t="s">
        <v>144</v>
      </c>
      <c r="CP80" s="3" t="s">
        <v>144</v>
      </c>
      <c r="CQ80" s="3" t="s">
        <v>144</v>
      </c>
      <c r="CR80" s="3" t="s">
        <v>144</v>
      </c>
      <c r="CS80" s="3" t="s">
        <v>144</v>
      </c>
      <c r="CT80" s="3" t="s">
        <v>144</v>
      </c>
      <c r="CU80" s="3" t="s">
        <v>144</v>
      </c>
      <c r="CV80" s="3" t="s">
        <v>144</v>
      </c>
      <c r="CW80" s="3" t="s">
        <v>144</v>
      </c>
      <c r="CX80" s="3" t="s">
        <v>144</v>
      </c>
      <c r="CY80" s="3" t="s">
        <v>144</v>
      </c>
    </row>
    <row r="81" spans="1:103" x14ac:dyDescent="0.25">
      <c r="A81" t="s">
        <v>43</v>
      </c>
      <c r="B81" t="s">
        <v>4</v>
      </c>
      <c r="C81">
        <v>37.734129072994897</v>
      </c>
      <c r="D81">
        <v>20.98525450636636</v>
      </c>
      <c r="E81">
        <v>18.56247707296432</v>
      </c>
      <c r="F81">
        <v>8.1296005451147515</v>
      </c>
      <c r="G81">
        <v>10.242267030160395</v>
      </c>
      <c r="H81">
        <v>18.215315642326633</v>
      </c>
      <c r="I81">
        <v>14.512880752159033</v>
      </c>
      <c r="J81">
        <v>17.601065558417869</v>
      </c>
      <c r="K81">
        <v>15.888842293983624</v>
      </c>
      <c r="L81">
        <v>17.53950554539993</v>
      </c>
      <c r="M81">
        <v>17.586146570741047</v>
      </c>
      <c r="N81">
        <v>15.824548729092907</v>
      </c>
      <c r="O81">
        <v>16.019624862745886</v>
      </c>
      <c r="P81">
        <v>14.928277732065178</v>
      </c>
      <c r="Q81">
        <v>15.542173410334376</v>
      </c>
      <c r="R81">
        <v>15.636508517560703</v>
      </c>
      <c r="S81">
        <v>15.996497410880927</v>
      </c>
      <c r="T81">
        <v>16.716273684702902</v>
      </c>
      <c r="U81">
        <v>17.036887417735365</v>
      </c>
      <c r="V81">
        <v>17.669126322888847</v>
      </c>
      <c r="W81">
        <v>17.834531248825229</v>
      </c>
      <c r="X81">
        <v>18.004280876990226</v>
      </c>
      <c r="Y81">
        <v>18.038599370951694</v>
      </c>
      <c r="Z81">
        <v>17.958151616161977</v>
      </c>
      <c r="AA81">
        <v>17.965364795838489</v>
      </c>
      <c r="AB81">
        <v>17.915757373173641</v>
      </c>
      <c r="AC81">
        <v>18.003752826992461</v>
      </c>
      <c r="AD81">
        <v>18.131630510031609</v>
      </c>
      <c r="AE81">
        <v>18.323544692319892</v>
      </c>
      <c r="AF81">
        <v>18.556379834584156</v>
      </c>
      <c r="AG81">
        <v>18.762721721855357</v>
      </c>
      <c r="AH81">
        <v>18.96103646534533</v>
      </c>
      <c r="AI81">
        <v>19.100380406720141</v>
      </c>
      <c r="AJ81">
        <v>19.203042238391834</v>
      </c>
      <c r="AK81">
        <v>19.269126832326318</v>
      </c>
      <c r="AL81">
        <v>19.312369183678328</v>
      </c>
      <c r="AM81">
        <v>19.35738361863763</v>
      </c>
      <c r="AN81">
        <v>19.407036681599337</v>
      </c>
      <c r="AO81">
        <v>19.476692150920204</v>
      </c>
      <c r="AP81">
        <v>19.561713874345049</v>
      </c>
      <c r="AQ81">
        <v>19.659866208980169</v>
      </c>
      <c r="AR81">
        <v>19.764361766584418</v>
      </c>
      <c r="AS81">
        <v>19.865449030617057</v>
      </c>
      <c r="AT81">
        <v>19.958978068836366</v>
      </c>
      <c r="AU81">
        <v>20.039317373075146</v>
      </c>
      <c r="AV81">
        <v>20.10707404851302</v>
      </c>
      <c r="AW81">
        <v>20.163859720602108</v>
      </c>
      <c r="AX81">
        <v>20.213325812044182</v>
      </c>
      <c r="AY81">
        <v>20.260157367985226</v>
      </c>
      <c r="BA81" s="1">
        <v>1</v>
      </c>
      <c r="BB81" t="str">
        <f t="shared" si="1"/>
        <v>Rn - Agreste Potiguar</v>
      </c>
      <c r="BC81" s="3">
        <v>21.061358385908946</v>
      </c>
      <c r="BD81" s="3">
        <v>9.5157241965099733</v>
      </c>
      <c r="BE81" s="3">
        <v>-0.4091376402455893</v>
      </c>
      <c r="BF81" s="3">
        <v>-2.6388796872631364</v>
      </c>
      <c r="BG81" s="3">
        <v>-2.8342924561217782</v>
      </c>
      <c r="BH81" s="3">
        <v>2.3383325021045298</v>
      </c>
      <c r="BI81" s="3">
        <v>-0.87163824518651545</v>
      </c>
      <c r="BJ81" s="3">
        <v>-0.3025969127110173</v>
      </c>
      <c r="BK81" s="3">
        <v>-7.2524330548668914E-2</v>
      </c>
      <c r="BL81" s="3">
        <v>0.16188596389167031</v>
      </c>
      <c r="BM81" s="3">
        <v>0.63834970076751674</v>
      </c>
      <c r="BN81" s="3">
        <v>-0.67235247246163254</v>
      </c>
      <c r="BO81" s="3">
        <v>-0.52250991032255101</v>
      </c>
      <c r="BP81" s="3">
        <v>-0.88655731707528496</v>
      </c>
      <c r="BQ81" s="3">
        <v>-0.82114203050281098</v>
      </c>
      <c r="BR81" s="3">
        <v>-0.80833651830533881</v>
      </c>
      <c r="BS81" s="3">
        <v>-1.0709706118686384</v>
      </c>
      <c r="BT81" s="3">
        <v>-0.98518251610539309</v>
      </c>
      <c r="BU81" s="3">
        <v>-1.1473107436089798</v>
      </c>
      <c r="BV81" s="3">
        <v>-1.1145436905497412</v>
      </c>
      <c r="BW81" s="3">
        <v>-1.1651395871313355</v>
      </c>
      <c r="BX81" s="3">
        <v>-1.221372760320218</v>
      </c>
      <c r="BY81" s="3">
        <v>-1.2280011560825912</v>
      </c>
      <c r="BZ81" s="3">
        <v>-1.3283024700018231</v>
      </c>
      <c r="CA81" s="3">
        <v>-1.3902531258641027</v>
      </c>
      <c r="CB81" s="3">
        <v>-1.5082281586213995</v>
      </c>
      <c r="CC81" s="3">
        <v>-1.6021703407417469</v>
      </c>
      <c r="CD81" s="3">
        <v>-1.6747440651903673</v>
      </c>
      <c r="CE81" s="3">
        <v>-1.7371460933557366</v>
      </c>
      <c r="CF81" s="3">
        <v>-1.7646037325669113</v>
      </c>
      <c r="CG81" s="3">
        <v>-1.7971343275867433</v>
      </c>
      <c r="CH81" s="3">
        <v>-1.8194792576182195</v>
      </c>
      <c r="CI81" s="3">
        <v>-1.8517176591518201</v>
      </c>
      <c r="CJ81" s="3">
        <v>-1.8925095388054984</v>
      </c>
      <c r="CK81" s="3">
        <v>-1.9368638624981855</v>
      </c>
      <c r="CL81" s="3">
        <v>-1.9879908188867965</v>
      </c>
      <c r="CM81" s="3">
        <v>-2.035199402389857</v>
      </c>
      <c r="CN81" s="3">
        <v>-2.0816947195070838</v>
      </c>
      <c r="CO81" s="3">
        <v>-2.1234164085096836</v>
      </c>
      <c r="CP81" s="3">
        <v>-2.1610410007902239</v>
      </c>
      <c r="CQ81" s="3">
        <v>-2.1956701891677604</v>
      </c>
      <c r="CR81" s="3">
        <v>-2.2262401501169009</v>
      </c>
      <c r="CS81" s="3">
        <v>-2.2550493280688748</v>
      </c>
      <c r="CT81" s="3">
        <v>-2.2816711540346617</v>
      </c>
      <c r="CU81" s="3">
        <v>-2.3077200023085354</v>
      </c>
      <c r="CV81" s="3">
        <v>-2.3338639721754717</v>
      </c>
      <c r="CW81" s="3">
        <v>-2.3604497759561838</v>
      </c>
      <c r="CX81" s="3">
        <v>-2.3878961619012742</v>
      </c>
      <c r="CY81" s="3">
        <v>-2.4154073190320133</v>
      </c>
    </row>
    <row r="82" spans="1:103" x14ac:dyDescent="0.25">
      <c r="A82" t="s">
        <v>43</v>
      </c>
      <c r="B82" t="s">
        <v>5</v>
      </c>
      <c r="C82">
        <v>16.672770687085951</v>
      </c>
      <c r="D82">
        <v>11.469530309856387</v>
      </c>
      <c r="E82">
        <v>18.97161471320991</v>
      </c>
      <c r="F82">
        <v>10.768480232377888</v>
      </c>
      <c r="G82">
        <v>13.076559486282173</v>
      </c>
      <c r="H82">
        <v>15.876983140222103</v>
      </c>
      <c r="I82">
        <v>15.384518997345548</v>
      </c>
      <c r="J82">
        <v>17.903662471128886</v>
      </c>
      <c r="K82">
        <v>15.961366624532292</v>
      </c>
      <c r="L82">
        <v>17.377619581508259</v>
      </c>
      <c r="M82">
        <v>16.94779686997353</v>
      </c>
      <c r="N82">
        <v>16.49690120155454</v>
      </c>
      <c r="O82">
        <v>16.542134773068437</v>
      </c>
      <c r="P82">
        <v>15.814835049140463</v>
      </c>
      <c r="Q82">
        <v>16.363315440837187</v>
      </c>
      <c r="R82">
        <v>16.444845035866042</v>
      </c>
      <c r="S82">
        <v>17.067468022749566</v>
      </c>
      <c r="T82">
        <v>17.701456200808295</v>
      </c>
      <c r="U82">
        <v>18.184198161344344</v>
      </c>
      <c r="V82">
        <v>18.783670013438588</v>
      </c>
      <c r="W82">
        <v>18.999670835956564</v>
      </c>
      <c r="X82">
        <v>19.225653637310444</v>
      </c>
      <c r="Y82">
        <v>19.266600527034285</v>
      </c>
      <c r="Z82">
        <v>19.286454086163801</v>
      </c>
      <c r="AA82">
        <v>19.355617921702592</v>
      </c>
      <c r="AB82">
        <v>19.42398553179504</v>
      </c>
      <c r="AC82">
        <v>19.605923167734208</v>
      </c>
      <c r="AD82">
        <v>19.806374575221977</v>
      </c>
      <c r="AE82">
        <v>20.060690785675629</v>
      </c>
      <c r="AF82">
        <v>20.320983567151067</v>
      </c>
      <c r="AG82">
        <v>20.5598560494421</v>
      </c>
      <c r="AH82">
        <v>20.78051572296355</v>
      </c>
      <c r="AI82">
        <v>20.952098065871962</v>
      </c>
      <c r="AJ82">
        <v>21.095551777197333</v>
      </c>
      <c r="AK82">
        <v>21.205990694824504</v>
      </c>
      <c r="AL82">
        <v>21.300360002565125</v>
      </c>
      <c r="AM82">
        <v>21.392583021027487</v>
      </c>
      <c r="AN82">
        <v>21.488731401106421</v>
      </c>
      <c r="AO82">
        <v>21.600108559429888</v>
      </c>
      <c r="AP82">
        <v>21.722754875135273</v>
      </c>
      <c r="AQ82">
        <v>21.85553639814793</v>
      </c>
      <c r="AR82">
        <v>21.990601916701319</v>
      </c>
      <c r="AS82">
        <v>22.120498358685932</v>
      </c>
      <c r="AT82">
        <v>22.240649222871028</v>
      </c>
      <c r="AU82">
        <v>22.347037375383682</v>
      </c>
      <c r="AV82">
        <v>22.440938020688492</v>
      </c>
      <c r="AW82">
        <v>22.524309496558292</v>
      </c>
      <c r="AX82">
        <v>22.601221973945457</v>
      </c>
      <c r="AY82">
        <v>22.675564687017239</v>
      </c>
      <c r="BA82" s="1">
        <v>-1</v>
      </c>
      <c r="BB82" t="str">
        <f t="shared" si="1"/>
        <v>Rn - Agreste Potiguar</v>
      </c>
      <c r="BC82" s="3" t="s">
        <v>144</v>
      </c>
      <c r="BD82" s="3" t="s">
        <v>144</v>
      </c>
      <c r="BE82" s="3" t="s">
        <v>144</v>
      </c>
      <c r="BF82" s="3" t="s">
        <v>144</v>
      </c>
      <c r="BG82" s="3" t="s">
        <v>144</v>
      </c>
      <c r="BH82" s="3" t="s">
        <v>144</v>
      </c>
      <c r="BI82" s="3" t="s">
        <v>144</v>
      </c>
      <c r="BJ82" s="3" t="s">
        <v>144</v>
      </c>
      <c r="BK82" s="3" t="s">
        <v>144</v>
      </c>
      <c r="BL82" s="3" t="s">
        <v>144</v>
      </c>
      <c r="BM82" s="3" t="s">
        <v>144</v>
      </c>
      <c r="BN82" s="3" t="s">
        <v>144</v>
      </c>
      <c r="BO82" s="3" t="s">
        <v>144</v>
      </c>
      <c r="BP82" s="3" t="s">
        <v>144</v>
      </c>
      <c r="BQ82" s="3" t="s">
        <v>144</v>
      </c>
      <c r="BR82" s="3" t="s">
        <v>144</v>
      </c>
      <c r="BS82" s="3" t="s">
        <v>144</v>
      </c>
      <c r="BT82" s="3" t="s">
        <v>144</v>
      </c>
      <c r="BU82" s="3" t="s">
        <v>144</v>
      </c>
      <c r="BV82" s="3" t="s">
        <v>144</v>
      </c>
      <c r="BW82" s="3" t="s">
        <v>144</v>
      </c>
      <c r="BX82" s="3" t="s">
        <v>144</v>
      </c>
      <c r="BY82" s="3" t="s">
        <v>144</v>
      </c>
      <c r="BZ82" s="3" t="s">
        <v>144</v>
      </c>
      <c r="CA82" s="3" t="s">
        <v>144</v>
      </c>
      <c r="CB82" s="3" t="s">
        <v>144</v>
      </c>
      <c r="CC82" s="3" t="s">
        <v>144</v>
      </c>
      <c r="CD82" s="3" t="s">
        <v>144</v>
      </c>
      <c r="CE82" s="3" t="s">
        <v>144</v>
      </c>
      <c r="CF82" s="3" t="s">
        <v>144</v>
      </c>
      <c r="CG82" s="3" t="s">
        <v>144</v>
      </c>
      <c r="CH82" s="3" t="s">
        <v>144</v>
      </c>
      <c r="CI82" s="3" t="s">
        <v>144</v>
      </c>
      <c r="CJ82" s="3" t="s">
        <v>144</v>
      </c>
      <c r="CK82" s="3" t="s">
        <v>144</v>
      </c>
      <c r="CL82" s="3" t="s">
        <v>144</v>
      </c>
      <c r="CM82" s="3" t="s">
        <v>144</v>
      </c>
      <c r="CN82" s="3" t="s">
        <v>144</v>
      </c>
      <c r="CO82" s="3" t="s">
        <v>144</v>
      </c>
      <c r="CP82" s="3" t="s">
        <v>144</v>
      </c>
      <c r="CQ82" s="3" t="s">
        <v>144</v>
      </c>
      <c r="CR82" s="3" t="s">
        <v>144</v>
      </c>
      <c r="CS82" s="3" t="s">
        <v>144</v>
      </c>
      <c r="CT82" s="3" t="s">
        <v>144</v>
      </c>
      <c r="CU82" s="3" t="s">
        <v>144</v>
      </c>
      <c r="CV82" s="3" t="s">
        <v>144</v>
      </c>
      <c r="CW82" s="3" t="s">
        <v>144</v>
      </c>
      <c r="CX82" s="3" t="s">
        <v>144</v>
      </c>
      <c r="CY82" s="3" t="s">
        <v>144</v>
      </c>
    </row>
    <row r="83" spans="1:103" x14ac:dyDescent="0.25">
      <c r="A83" t="s">
        <v>44</v>
      </c>
      <c r="B83" t="s">
        <v>4</v>
      </c>
      <c r="C83">
        <v>736.44979382361612</v>
      </c>
      <c r="D83">
        <v>780.57699111200668</v>
      </c>
      <c r="E83">
        <v>647.32846697779712</v>
      </c>
      <c r="F83">
        <v>679.67627581006025</v>
      </c>
      <c r="G83">
        <v>480.92273907829008</v>
      </c>
      <c r="H83">
        <v>669.90946177051933</v>
      </c>
      <c r="I83">
        <v>598.84804812471191</v>
      </c>
      <c r="J83">
        <v>597.20321300417936</v>
      </c>
      <c r="K83">
        <v>591.00850604380514</v>
      </c>
      <c r="L83">
        <v>546.90990297352198</v>
      </c>
      <c r="M83">
        <v>574.1103780767437</v>
      </c>
      <c r="N83">
        <v>516.95996716193702</v>
      </c>
      <c r="O83">
        <v>510.51858261338998</v>
      </c>
      <c r="P83">
        <v>491.0792126183805</v>
      </c>
      <c r="Q83">
        <v>485.09795147134503</v>
      </c>
      <c r="R83">
        <v>497.56289856880414</v>
      </c>
      <c r="S83">
        <v>494.28170773852366</v>
      </c>
      <c r="T83">
        <v>506.71483908532201</v>
      </c>
      <c r="U83">
        <v>505.03728256872819</v>
      </c>
      <c r="V83">
        <v>504.89286701483309</v>
      </c>
      <c r="W83">
        <v>500.53647407570628</v>
      </c>
      <c r="X83">
        <v>490.98383075150906</v>
      </c>
      <c r="Y83">
        <v>485.00991421163684</v>
      </c>
      <c r="Z83">
        <v>476.21791628647037</v>
      </c>
      <c r="AA83">
        <v>471.59300656982793</v>
      </c>
      <c r="AB83">
        <v>467.42438717956935</v>
      </c>
      <c r="AC83">
        <v>464.8389359260479</v>
      </c>
      <c r="AD83">
        <v>464.06003089270365</v>
      </c>
      <c r="AE83">
        <v>462.99882096850052</v>
      </c>
      <c r="AF83">
        <v>462.8951450686493</v>
      </c>
      <c r="AG83">
        <v>461.84536108493324</v>
      </c>
      <c r="AH83">
        <v>460.41932603717368</v>
      </c>
      <c r="AI83">
        <v>458.23668149636865</v>
      </c>
      <c r="AJ83">
        <v>455.26892481995941</v>
      </c>
      <c r="AK83">
        <v>452.15927659367486</v>
      </c>
      <c r="AL83">
        <v>448.8592604622155</v>
      </c>
      <c r="AM83">
        <v>446.02564717281081</v>
      </c>
      <c r="AN83">
        <v>443.66691742239698</v>
      </c>
      <c r="AO83">
        <v>441.88539015052135</v>
      </c>
      <c r="AP83">
        <v>440.60579155012448</v>
      </c>
      <c r="AQ83">
        <v>439.54699645139476</v>
      </c>
      <c r="AR83">
        <v>438.58959322764292</v>
      </c>
      <c r="AS83">
        <v>437.49252588867517</v>
      </c>
      <c r="AT83">
        <v>436.21454991468255</v>
      </c>
      <c r="AU83">
        <v>434.74050297475281</v>
      </c>
      <c r="AV83">
        <v>433.12484083761842</v>
      </c>
      <c r="AW83">
        <v>431.48048158287025</v>
      </c>
      <c r="AX83">
        <v>429.879412779284</v>
      </c>
      <c r="AY83">
        <v>428.4090038679791</v>
      </c>
      <c r="BA83" s="1">
        <v>1</v>
      </c>
      <c r="BB83" t="str">
        <f t="shared" si="1"/>
        <v>Rn - Leste Potiguar</v>
      </c>
      <c r="BC83" s="3">
        <v>492.08410149931677</v>
      </c>
      <c r="BD83" s="3">
        <v>813.42826830694355</v>
      </c>
      <c r="BE83" s="3">
        <v>374.15844177566385</v>
      </c>
      <c r="BF83" s="3">
        <v>510.05861657747448</v>
      </c>
      <c r="BG83" s="3">
        <v>268.02970303939009</v>
      </c>
      <c r="BH83" s="3">
        <v>335.30124814585884</v>
      </c>
      <c r="BI83" s="3">
        <v>329.78139872039145</v>
      </c>
      <c r="BJ83" s="3">
        <v>240.22871952102986</v>
      </c>
      <c r="BK83" s="3">
        <v>306.58803796725203</v>
      </c>
      <c r="BL83" s="3">
        <v>246.2641794283474</v>
      </c>
      <c r="BM83" s="3">
        <v>285.30930602922399</v>
      </c>
      <c r="BN83" s="3">
        <v>255.44379319092724</v>
      </c>
      <c r="BO83" s="3">
        <v>232.63436059095284</v>
      </c>
      <c r="BP83" s="3">
        <v>229.5574339074355</v>
      </c>
      <c r="BQ83" s="3">
        <v>196.17503660000932</v>
      </c>
      <c r="BR83" s="3">
        <v>193.62715590123247</v>
      </c>
      <c r="BS83" s="3">
        <v>165.91514783965562</v>
      </c>
      <c r="BT83" s="3">
        <v>151.4011129971999</v>
      </c>
      <c r="BU83" s="3">
        <v>136.35870883325219</v>
      </c>
      <c r="BV83" s="3">
        <v>119.80046742491106</v>
      </c>
      <c r="BW83" s="3">
        <v>113.08717304875529</v>
      </c>
      <c r="BX83" s="3">
        <v>101.06369115074182</v>
      </c>
      <c r="BY83" s="3">
        <v>95.491910133384522</v>
      </c>
      <c r="BZ83" s="3">
        <v>86.894178422689151</v>
      </c>
      <c r="CA83" s="3">
        <v>77.754378997681101</v>
      </c>
      <c r="CB83" s="3">
        <v>68.219327559159524</v>
      </c>
      <c r="CC83" s="3">
        <v>56.046402835416075</v>
      </c>
      <c r="CD83" s="3">
        <v>45.33838521929232</v>
      </c>
      <c r="CE83" s="3">
        <v>33.920317171501893</v>
      </c>
      <c r="CF83" s="3">
        <v>24.125730331967077</v>
      </c>
      <c r="CG83" s="3">
        <v>15.325671276758271</v>
      </c>
      <c r="CH83" s="3">
        <v>7.2869574311466181</v>
      </c>
      <c r="CI83" s="3">
        <v>0.34811029984689412</v>
      </c>
      <c r="CJ83" s="3">
        <v>-6.5588753335842966</v>
      </c>
      <c r="CK83" s="3">
        <v>-13.013285184368215</v>
      </c>
      <c r="CL83" s="3">
        <v>-19.581697400713722</v>
      </c>
      <c r="CM83" s="3">
        <v>-26.147916993488252</v>
      </c>
      <c r="CN83" s="3">
        <v>-32.67864678363253</v>
      </c>
      <c r="CO83" s="3">
        <v>-39.269256436929652</v>
      </c>
      <c r="CP83" s="3">
        <v>-45.67013037014442</v>
      </c>
      <c r="CQ83" s="3">
        <v>-51.942572148950887</v>
      </c>
      <c r="CR83" s="3">
        <v>-57.904868424436927</v>
      </c>
      <c r="CS83" s="3">
        <v>-63.533652236395312</v>
      </c>
      <c r="CT83" s="3">
        <v>-68.814298665882404</v>
      </c>
      <c r="CU83" s="3">
        <v>-73.737894141002926</v>
      </c>
      <c r="CV83" s="3">
        <v>-78.405546661160713</v>
      </c>
      <c r="CW83" s="3">
        <v>-82.861718720894316</v>
      </c>
      <c r="CX83" s="3">
        <v>-87.201197363053723</v>
      </c>
      <c r="CY83" s="3">
        <v>-91.463992401107134</v>
      </c>
    </row>
    <row r="84" spans="1:103" x14ac:dyDescent="0.25">
      <c r="A84" t="s">
        <v>44</v>
      </c>
      <c r="B84" t="s">
        <v>5</v>
      </c>
      <c r="C84">
        <v>244.36569232429935</v>
      </c>
      <c r="D84">
        <v>-32.851277194936898</v>
      </c>
      <c r="E84">
        <v>273.17002520213327</v>
      </c>
      <c r="F84">
        <v>169.61765923258574</v>
      </c>
      <c r="G84">
        <v>212.89303603889999</v>
      </c>
      <c r="H84">
        <v>334.60821362466049</v>
      </c>
      <c r="I84">
        <v>269.06664940432046</v>
      </c>
      <c r="J84">
        <v>356.9744934831495</v>
      </c>
      <c r="K84">
        <v>284.42046807655311</v>
      </c>
      <c r="L84">
        <v>300.64572354517458</v>
      </c>
      <c r="M84">
        <v>288.80107204751971</v>
      </c>
      <c r="N84">
        <v>261.51617397100978</v>
      </c>
      <c r="O84">
        <v>277.88422202243714</v>
      </c>
      <c r="P84">
        <v>261.521778710945</v>
      </c>
      <c r="Q84">
        <v>288.92291487133571</v>
      </c>
      <c r="R84">
        <v>303.93574266757167</v>
      </c>
      <c r="S84">
        <v>328.36655989886805</v>
      </c>
      <c r="T84">
        <v>355.31372608812211</v>
      </c>
      <c r="U84">
        <v>368.67857373547599</v>
      </c>
      <c r="V84">
        <v>385.09239958992202</v>
      </c>
      <c r="W84">
        <v>387.44930102695099</v>
      </c>
      <c r="X84">
        <v>389.92013960076724</v>
      </c>
      <c r="Y84">
        <v>389.51800407825232</v>
      </c>
      <c r="Z84">
        <v>389.32373786378122</v>
      </c>
      <c r="AA84">
        <v>393.83862757214683</v>
      </c>
      <c r="AB84">
        <v>399.20505962040983</v>
      </c>
      <c r="AC84">
        <v>408.79253309063182</v>
      </c>
      <c r="AD84">
        <v>418.72164567341133</v>
      </c>
      <c r="AE84">
        <v>429.07850379699863</v>
      </c>
      <c r="AF84">
        <v>438.76941473668222</v>
      </c>
      <c r="AG84">
        <v>446.51968980817497</v>
      </c>
      <c r="AH84">
        <v>453.13236860602706</v>
      </c>
      <c r="AI84">
        <v>457.88857119652175</v>
      </c>
      <c r="AJ84">
        <v>461.82780015354371</v>
      </c>
      <c r="AK84">
        <v>465.17256177804308</v>
      </c>
      <c r="AL84">
        <v>468.44095786292922</v>
      </c>
      <c r="AM84">
        <v>472.17356416629906</v>
      </c>
      <c r="AN84">
        <v>476.34556420602951</v>
      </c>
      <c r="AO84">
        <v>481.154646587451</v>
      </c>
      <c r="AP84">
        <v>486.2759219202689</v>
      </c>
      <c r="AQ84">
        <v>491.48956860034565</v>
      </c>
      <c r="AR84">
        <v>496.49446165207985</v>
      </c>
      <c r="AS84">
        <v>501.02617812507049</v>
      </c>
      <c r="AT84">
        <v>505.02884858056495</v>
      </c>
      <c r="AU84">
        <v>508.47839711575574</v>
      </c>
      <c r="AV84">
        <v>511.53038749877913</v>
      </c>
      <c r="AW84">
        <v>514.34220030376457</v>
      </c>
      <c r="AX84">
        <v>517.08061014233772</v>
      </c>
      <c r="AY84">
        <v>519.87299626908623</v>
      </c>
      <c r="BA84" s="1">
        <v>-1</v>
      </c>
      <c r="BB84" t="str">
        <f t="shared" si="1"/>
        <v>Rn - Leste Potiguar</v>
      </c>
      <c r="BC84" s="3" t="s">
        <v>144</v>
      </c>
      <c r="BD84" s="3" t="s">
        <v>144</v>
      </c>
      <c r="BE84" s="3" t="s">
        <v>144</v>
      </c>
      <c r="BF84" s="3" t="s">
        <v>144</v>
      </c>
      <c r="BG84" s="3" t="s">
        <v>144</v>
      </c>
      <c r="BH84" s="3" t="s">
        <v>144</v>
      </c>
      <c r="BI84" s="3" t="s">
        <v>144</v>
      </c>
      <c r="BJ84" s="3" t="s">
        <v>144</v>
      </c>
      <c r="BK84" s="3" t="s">
        <v>144</v>
      </c>
      <c r="BL84" s="3" t="s">
        <v>144</v>
      </c>
      <c r="BM84" s="3" t="s">
        <v>144</v>
      </c>
      <c r="BN84" s="3" t="s">
        <v>144</v>
      </c>
      <c r="BO84" s="3" t="s">
        <v>144</v>
      </c>
      <c r="BP84" s="3" t="s">
        <v>144</v>
      </c>
      <c r="BQ84" s="3" t="s">
        <v>144</v>
      </c>
      <c r="BR84" s="3" t="s">
        <v>144</v>
      </c>
      <c r="BS84" s="3" t="s">
        <v>144</v>
      </c>
      <c r="BT84" s="3" t="s">
        <v>144</v>
      </c>
      <c r="BU84" s="3" t="s">
        <v>144</v>
      </c>
      <c r="BV84" s="3" t="s">
        <v>144</v>
      </c>
      <c r="BW84" s="3" t="s">
        <v>144</v>
      </c>
      <c r="BX84" s="3" t="s">
        <v>144</v>
      </c>
      <c r="BY84" s="3" t="s">
        <v>144</v>
      </c>
      <c r="BZ84" s="3" t="s">
        <v>144</v>
      </c>
      <c r="CA84" s="3" t="s">
        <v>144</v>
      </c>
      <c r="CB84" s="3" t="s">
        <v>144</v>
      </c>
      <c r="CC84" s="3" t="s">
        <v>144</v>
      </c>
      <c r="CD84" s="3" t="s">
        <v>144</v>
      </c>
      <c r="CE84" s="3" t="s">
        <v>144</v>
      </c>
      <c r="CF84" s="3" t="s">
        <v>144</v>
      </c>
      <c r="CG84" s="3" t="s">
        <v>144</v>
      </c>
      <c r="CH84" s="3" t="s">
        <v>144</v>
      </c>
      <c r="CI84" s="3" t="s">
        <v>144</v>
      </c>
      <c r="CJ84" s="3" t="s">
        <v>144</v>
      </c>
      <c r="CK84" s="3" t="s">
        <v>144</v>
      </c>
      <c r="CL84" s="3" t="s">
        <v>144</v>
      </c>
      <c r="CM84" s="3" t="s">
        <v>144</v>
      </c>
      <c r="CN84" s="3" t="s">
        <v>144</v>
      </c>
      <c r="CO84" s="3" t="s">
        <v>144</v>
      </c>
      <c r="CP84" s="3" t="s">
        <v>144</v>
      </c>
      <c r="CQ84" s="3" t="s">
        <v>144</v>
      </c>
      <c r="CR84" s="3" t="s">
        <v>144</v>
      </c>
      <c r="CS84" s="3" t="s">
        <v>144</v>
      </c>
      <c r="CT84" s="3" t="s">
        <v>144</v>
      </c>
      <c r="CU84" s="3" t="s">
        <v>144</v>
      </c>
      <c r="CV84" s="3" t="s">
        <v>144</v>
      </c>
      <c r="CW84" s="3" t="s">
        <v>144</v>
      </c>
      <c r="CX84" s="3" t="s">
        <v>144</v>
      </c>
      <c r="CY84" s="3" t="s">
        <v>144</v>
      </c>
    </row>
    <row r="85" spans="1:103" x14ac:dyDescent="0.25">
      <c r="A85" t="s">
        <v>45</v>
      </c>
      <c r="B85" t="s">
        <v>4</v>
      </c>
      <c r="C85">
        <v>67.714881791163137</v>
      </c>
      <c r="D85">
        <v>31.231108628174272</v>
      </c>
      <c r="E85">
        <v>41.805891675994069</v>
      </c>
      <c r="F85">
        <v>34.349329155015177</v>
      </c>
      <c r="G85">
        <v>31.176469863251874</v>
      </c>
      <c r="H85">
        <v>56.113011474996966</v>
      </c>
      <c r="I85">
        <v>43.804170063464305</v>
      </c>
      <c r="J85">
        <v>57.666256709096523</v>
      </c>
      <c r="K85">
        <v>55.894074902960234</v>
      </c>
      <c r="L85">
        <v>60.55094294636713</v>
      </c>
      <c r="M85">
        <v>64.519059455147215</v>
      </c>
      <c r="N85">
        <v>60.662606128000334</v>
      </c>
      <c r="O85">
        <v>63.981601782713845</v>
      </c>
      <c r="P85">
        <v>61.685276970562853</v>
      </c>
      <c r="Q85">
        <v>63.716077056969546</v>
      </c>
      <c r="R85">
        <v>64.650775351894637</v>
      </c>
      <c r="S85">
        <v>65.613922959285873</v>
      </c>
      <c r="T85">
        <v>68.342896629265567</v>
      </c>
      <c r="U85">
        <v>69.486047596304843</v>
      </c>
      <c r="V85">
        <v>71.835376549610814</v>
      </c>
      <c r="W85">
        <v>72.956876818925139</v>
      </c>
      <c r="X85">
        <v>74.041915585695406</v>
      </c>
      <c r="Y85">
        <v>74.926499691449692</v>
      </c>
      <c r="Z85">
        <v>75.285343808440572</v>
      </c>
      <c r="AA85">
        <v>75.937611300166623</v>
      </c>
      <c r="AB85">
        <v>76.287547484245508</v>
      </c>
      <c r="AC85">
        <v>76.931371461178756</v>
      </c>
      <c r="AD85">
        <v>77.629146593366016</v>
      </c>
      <c r="AE85">
        <v>78.414679782167966</v>
      </c>
      <c r="AF85">
        <v>79.34049365580529</v>
      </c>
      <c r="AG85">
        <v>80.186144592632203</v>
      </c>
      <c r="AH85">
        <v>81.057768894144047</v>
      </c>
      <c r="AI85">
        <v>81.798115490042804</v>
      </c>
      <c r="AJ85">
        <v>82.450703797299468</v>
      </c>
      <c r="AK85">
        <v>83.011215209165783</v>
      </c>
      <c r="AL85">
        <v>83.481154095334446</v>
      </c>
      <c r="AM85">
        <v>83.930923592213915</v>
      </c>
      <c r="AN85">
        <v>84.355477661134415</v>
      </c>
      <c r="AO85">
        <v>84.804209286796407</v>
      </c>
      <c r="AP85">
        <v>85.273446376410874</v>
      </c>
      <c r="AQ85">
        <v>85.762911555321637</v>
      </c>
      <c r="AR85">
        <v>86.266128609264925</v>
      </c>
      <c r="AS85">
        <v>86.758423486804659</v>
      </c>
      <c r="AT85">
        <v>87.232918664302034</v>
      </c>
      <c r="AU85">
        <v>87.672958398519739</v>
      </c>
      <c r="AV85">
        <v>88.077473423470451</v>
      </c>
      <c r="AW85">
        <v>88.448083804999158</v>
      </c>
      <c r="AX85">
        <v>88.790210574377241</v>
      </c>
      <c r="AY85">
        <v>89.114623807722751</v>
      </c>
      <c r="BA85" s="1">
        <v>1</v>
      </c>
      <c r="BB85" t="str">
        <f t="shared" si="1"/>
        <v>Pb - Sertao Paraibano</v>
      </c>
      <c r="BC85" s="3">
        <v>59.290809644909196</v>
      </c>
      <c r="BD85" s="3">
        <v>64.40065335038183</v>
      </c>
      <c r="BE85" s="3">
        <v>39.157804775931297</v>
      </c>
      <c r="BF85" s="3">
        <v>48.385025736022961</v>
      </c>
      <c r="BG85" s="3">
        <v>25.061968658761806</v>
      </c>
      <c r="BH85" s="3">
        <v>50.103620887310598</v>
      </c>
      <c r="BI85" s="3">
        <v>40.817444951486806</v>
      </c>
      <c r="BJ85" s="3">
        <v>38.369233162018048</v>
      </c>
      <c r="BK85" s="3">
        <v>40.207713786774576</v>
      </c>
      <c r="BL85" s="3">
        <v>34.653627314574962</v>
      </c>
      <c r="BM85" s="3">
        <v>39.63196726569798</v>
      </c>
      <c r="BN85" s="3">
        <v>32.642443894538914</v>
      </c>
      <c r="BO85" s="3">
        <v>31.915655235586826</v>
      </c>
      <c r="BP85" s="3">
        <v>29.818772171211236</v>
      </c>
      <c r="BQ85" s="3">
        <v>28.090270445665368</v>
      </c>
      <c r="BR85" s="3">
        <v>28.845369699613506</v>
      </c>
      <c r="BS85" s="3">
        <v>27.047778612663059</v>
      </c>
      <c r="BT85" s="3">
        <v>27.685956493580697</v>
      </c>
      <c r="BU85" s="3">
        <v>26.919574210004157</v>
      </c>
      <c r="BV85" s="3">
        <v>26.535205734550694</v>
      </c>
      <c r="BW85" s="3">
        <v>26.017529408915607</v>
      </c>
      <c r="BX85" s="3">
        <v>24.814739238344274</v>
      </c>
      <c r="BY85" s="3">
        <v>24.17607843998303</v>
      </c>
      <c r="BZ85" s="3">
        <v>23.051036255958977</v>
      </c>
      <c r="CA85" s="3">
        <v>22.322317399239935</v>
      </c>
      <c r="CB85" s="3">
        <v>21.565412473069436</v>
      </c>
      <c r="CC85" s="3">
        <v>20.891019044360881</v>
      </c>
      <c r="CD85" s="3">
        <v>20.443059442919903</v>
      </c>
      <c r="CE85" s="3">
        <v>19.93682676726452</v>
      </c>
      <c r="CF85" s="3">
        <v>19.593842813026285</v>
      </c>
      <c r="CG85" s="3">
        <v>19.187668731338519</v>
      </c>
      <c r="CH85" s="3">
        <v>18.792955247408287</v>
      </c>
      <c r="CI85" s="3">
        <v>18.373378039582896</v>
      </c>
      <c r="CJ85" s="3">
        <v>17.891733564961427</v>
      </c>
      <c r="CK85" s="3">
        <v>17.41865941484258</v>
      </c>
      <c r="CL85" s="3">
        <v>16.916018711359158</v>
      </c>
      <c r="CM85" s="3">
        <v>16.449907598248814</v>
      </c>
      <c r="CN85" s="3">
        <v>16.014512758216355</v>
      </c>
      <c r="CO85" s="3">
        <v>15.621758062501186</v>
      </c>
      <c r="CP85" s="3">
        <v>15.277535295512379</v>
      </c>
      <c r="CQ85" s="3">
        <v>14.958740426676101</v>
      </c>
      <c r="CR85" s="3">
        <v>14.666025890246473</v>
      </c>
      <c r="CS85" s="3">
        <v>14.377444671165421</v>
      </c>
      <c r="CT85" s="3">
        <v>14.089795949380175</v>
      </c>
      <c r="CU85" s="3">
        <v>13.798713456080435</v>
      </c>
      <c r="CV85" s="3">
        <v>13.503353910911045</v>
      </c>
      <c r="CW85" s="3">
        <v>13.210898045658382</v>
      </c>
      <c r="CX85" s="3">
        <v>12.923535295493011</v>
      </c>
      <c r="CY85" s="3">
        <v>12.648383952612747</v>
      </c>
    </row>
    <row r="86" spans="1:103" x14ac:dyDescent="0.25">
      <c r="A86" t="s">
        <v>45</v>
      </c>
      <c r="B86" t="s">
        <v>5</v>
      </c>
      <c r="C86">
        <v>8.4240721462539412</v>
      </c>
      <c r="D86">
        <v>-33.169544722207561</v>
      </c>
      <c r="E86">
        <v>2.6480869000627734</v>
      </c>
      <c r="F86">
        <v>-14.035696581007782</v>
      </c>
      <c r="G86">
        <v>6.1145012044900682</v>
      </c>
      <c r="H86">
        <v>6.0093905876863687</v>
      </c>
      <c r="I86">
        <v>2.9867251119775018</v>
      </c>
      <c r="J86">
        <v>19.297023547078471</v>
      </c>
      <c r="K86">
        <v>15.686361116185662</v>
      </c>
      <c r="L86">
        <v>25.897315631792164</v>
      </c>
      <c r="M86">
        <v>24.887092189449238</v>
      </c>
      <c r="N86">
        <v>28.020162233461416</v>
      </c>
      <c r="O86">
        <v>32.06594654712702</v>
      </c>
      <c r="P86">
        <v>31.866504799351617</v>
      </c>
      <c r="Q86">
        <v>35.625806611304178</v>
      </c>
      <c r="R86">
        <v>35.805405652281131</v>
      </c>
      <c r="S86">
        <v>38.566144346622814</v>
      </c>
      <c r="T86">
        <v>40.65694013568487</v>
      </c>
      <c r="U86">
        <v>42.566473386300686</v>
      </c>
      <c r="V86">
        <v>45.30017081506012</v>
      </c>
      <c r="W86">
        <v>46.939347410009532</v>
      </c>
      <c r="X86">
        <v>49.227176347351133</v>
      </c>
      <c r="Y86">
        <v>50.750421251466662</v>
      </c>
      <c r="Z86">
        <v>52.234307552481596</v>
      </c>
      <c r="AA86">
        <v>53.615293900926687</v>
      </c>
      <c r="AB86">
        <v>54.722135011176071</v>
      </c>
      <c r="AC86">
        <v>56.040352416817875</v>
      </c>
      <c r="AD86">
        <v>57.186087150446113</v>
      </c>
      <c r="AE86">
        <v>58.477853014903445</v>
      </c>
      <c r="AF86">
        <v>59.746650842779005</v>
      </c>
      <c r="AG86">
        <v>60.998475861293684</v>
      </c>
      <c r="AH86">
        <v>62.26481364673576</v>
      </c>
      <c r="AI86">
        <v>63.424737450459908</v>
      </c>
      <c r="AJ86">
        <v>64.558970232338041</v>
      </c>
      <c r="AK86">
        <v>65.592555794323204</v>
      </c>
      <c r="AL86">
        <v>66.565135383975289</v>
      </c>
      <c r="AM86">
        <v>67.481015993965102</v>
      </c>
      <c r="AN86">
        <v>68.34096490291806</v>
      </c>
      <c r="AO86">
        <v>69.182451224295221</v>
      </c>
      <c r="AP86">
        <v>69.995911080898495</v>
      </c>
      <c r="AQ86">
        <v>70.804171128645535</v>
      </c>
      <c r="AR86">
        <v>71.600102719018452</v>
      </c>
      <c r="AS86">
        <v>72.380978815639239</v>
      </c>
      <c r="AT86">
        <v>73.143122714921859</v>
      </c>
      <c r="AU86">
        <v>73.874244942439304</v>
      </c>
      <c r="AV86">
        <v>74.574119512559406</v>
      </c>
      <c r="AW86">
        <v>75.237185759340775</v>
      </c>
      <c r="AX86">
        <v>75.86667527888423</v>
      </c>
      <c r="AY86">
        <v>76.466239855110004</v>
      </c>
      <c r="BA86" s="1">
        <v>-1</v>
      </c>
      <c r="BB86" t="str">
        <f t="shared" si="1"/>
        <v>Pb - Sertao Paraibano</v>
      </c>
      <c r="BC86" s="3" t="s">
        <v>144</v>
      </c>
      <c r="BD86" s="3" t="s">
        <v>144</v>
      </c>
      <c r="BE86" s="3" t="s">
        <v>144</v>
      </c>
      <c r="BF86" s="3" t="s">
        <v>144</v>
      </c>
      <c r="BG86" s="3" t="s">
        <v>144</v>
      </c>
      <c r="BH86" s="3" t="s">
        <v>144</v>
      </c>
      <c r="BI86" s="3" t="s">
        <v>144</v>
      </c>
      <c r="BJ86" s="3" t="s">
        <v>144</v>
      </c>
      <c r="BK86" s="3" t="s">
        <v>144</v>
      </c>
      <c r="BL86" s="3" t="s">
        <v>144</v>
      </c>
      <c r="BM86" s="3" t="s">
        <v>144</v>
      </c>
      <c r="BN86" s="3" t="s">
        <v>144</v>
      </c>
      <c r="BO86" s="3" t="s">
        <v>144</v>
      </c>
      <c r="BP86" s="3" t="s">
        <v>144</v>
      </c>
      <c r="BQ86" s="3" t="s">
        <v>144</v>
      </c>
      <c r="BR86" s="3" t="s">
        <v>144</v>
      </c>
      <c r="BS86" s="3" t="s">
        <v>144</v>
      </c>
      <c r="BT86" s="3" t="s">
        <v>144</v>
      </c>
      <c r="BU86" s="3" t="s">
        <v>144</v>
      </c>
      <c r="BV86" s="3" t="s">
        <v>144</v>
      </c>
      <c r="BW86" s="3" t="s">
        <v>144</v>
      </c>
      <c r="BX86" s="3" t="s">
        <v>144</v>
      </c>
      <c r="BY86" s="3" t="s">
        <v>144</v>
      </c>
      <c r="BZ86" s="3" t="s">
        <v>144</v>
      </c>
      <c r="CA86" s="3" t="s">
        <v>144</v>
      </c>
      <c r="CB86" s="3" t="s">
        <v>144</v>
      </c>
      <c r="CC86" s="3" t="s">
        <v>144</v>
      </c>
      <c r="CD86" s="3" t="s">
        <v>144</v>
      </c>
      <c r="CE86" s="3" t="s">
        <v>144</v>
      </c>
      <c r="CF86" s="3" t="s">
        <v>144</v>
      </c>
      <c r="CG86" s="3" t="s">
        <v>144</v>
      </c>
      <c r="CH86" s="3" t="s">
        <v>144</v>
      </c>
      <c r="CI86" s="3" t="s">
        <v>144</v>
      </c>
      <c r="CJ86" s="3" t="s">
        <v>144</v>
      </c>
      <c r="CK86" s="3" t="s">
        <v>144</v>
      </c>
      <c r="CL86" s="3" t="s">
        <v>144</v>
      </c>
      <c r="CM86" s="3" t="s">
        <v>144</v>
      </c>
      <c r="CN86" s="3" t="s">
        <v>144</v>
      </c>
      <c r="CO86" s="3" t="s">
        <v>144</v>
      </c>
      <c r="CP86" s="3" t="s">
        <v>144</v>
      </c>
      <c r="CQ86" s="3" t="s">
        <v>144</v>
      </c>
      <c r="CR86" s="3" t="s">
        <v>144</v>
      </c>
      <c r="CS86" s="3" t="s">
        <v>144</v>
      </c>
      <c r="CT86" s="3" t="s">
        <v>144</v>
      </c>
      <c r="CU86" s="3" t="s">
        <v>144</v>
      </c>
      <c r="CV86" s="3" t="s">
        <v>144</v>
      </c>
      <c r="CW86" s="3" t="s">
        <v>144</v>
      </c>
      <c r="CX86" s="3" t="s">
        <v>144</v>
      </c>
      <c r="CY86" s="3" t="s">
        <v>144</v>
      </c>
    </row>
    <row r="87" spans="1:103" x14ac:dyDescent="0.25">
      <c r="A87" t="s">
        <v>46</v>
      </c>
      <c r="B87" t="s">
        <v>4</v>
      </c>
      <c r="C87">
        <v>13.446177757712572</v>
      </c>
      <c r="D87">
        <v>7.5527729163069361</v>
      </c>
      <c r="E87">
        <v>9.8624696458522401</v>
      </c>
      <c r="F87">
        <v>6.8554448944036599</v>
      </c>
      <c r="G87">
        <v>7.5807401108806962</v>
      </c>
      <c r="H87">
        <v>10.2140271755301</v>
      </c>
      <c r="I87">
        <v>8.6324219413013221</v>
      </c>
      <c r="J87">
        <v>10.279694349860874</v>
      </c>
      <c r="K87">
        <v>9.6500160420603081</v>
      </c>
      <c r="L87">
        <v>10.600067048645293</v>
      </c>
      <c r="M87">
        <v>10.77730254416479</v>
      </c>
      <c r="N87">
        <v>10.351486611626262</v>
      </c>
      <c r="O87">
        <v>10.668090755263908</v>
      </c>
      <c r="P87">
        <v>10.312374910654958</v>
      </c>
      <c r="Q87">
        <v>10.608732129739495</v>
      </c>
      <c r="R87">
        <v>10.595372198828258</v>
      </c>
      <c r="S87">
        <v>10.715283634670994</v>
      </c>
      <c r="T87">
        <v>10.954973696232907</v>
      </c>
      <c r="U87">
        <v>11.028099510221065</v>
      </c>
      <c r="V87">
        <v>11.246990572363972</v>
      </c>
      <c r="W87">
        <v>11.288538857689185</v>
      </c>
      <c r="X87">
        <v>11.372785386298847</v>
      </c>
      <c r="Y87">
        <v>11.413805400732514</v>
      </c>
      <c r="Z87">
        <v>11.420869633499887</v>
      </c>
      <c r="AA87">
        <v>11.460555845743098</v>
      </c>
      <c r="AB87">
        <v>11.462414385280074</v>
      </c>
      <c r="AC87">
        <v>11.504587603018573</v>
      </c>
      <c r="AD87">
        <v>11.541624707604202</v>
      </c>
      <c r="AE87">
        <v>11.593990594122936</v>
      </c>
      <c r="AF87">
        <v>11.658033676816933</v>
      </c>
      <c r="AG87">
        <v>11.715063431168236</v>
      </c>
      <c r="AH87">
        <v>11.77781137545032</v>
      </c>
      <c r="AI87">
        <v>11.825700249192934</v>
      </c>
      <c r="AJ87">
        <v>11.867592624725768</v>
      </c>
      <c r="AK87">
        <v>11.899212454829275</v>
      </c>
      <c r="AL87">
        <v>11.923123560891403</v>
      </c>
      <c r="AM87">
        <v>11.946083203488522</v>
      </c>
      <c r="AN87">
        <v>11.967314348237855</v>
      </c>
      <c r="AO87">
        <v>11.992781744085859</v>
      </c>
      <c r="AP87">
        <v>12.020787282063045</v>
      </c>
      <c r="AQ87">
        <v>12.051847446565507</v>
      </c>
      <c r="AR87">
        <v>12.084550987086471</v>
      </c>
      <c r="AS87">
        <v>12.116436213250104</v>
      </c>
      <c r="AT87">
        <v>12.146959360636183</v>
      </c>
      <c r="AU87">
        <v>12.17434712435916</v>
      </c>
      <c r="AV87">
        <v>12.19889334517657</v>
      </c>
      <c r="AW87">
        <v>12.220659032379663</v>
      </c>
      <c r="AX87">
        <v>12.240313387099569</v>
      </c>
      <c r="AY87">
        <v>12.25885538842177</v>
      </c>
      <c r="BA87" s="1">
        <v>1</v>
      </c>
      <c r="BB87" t="str">
        <f t="shared" si="1"/>
        <v>Pb - Borborema</v>
      </c>
      <c r="BC87" s="3">
        <v>15.188888975060282</v>
      </c>
      <c r="BD87" s="3">
        <v>8.2463869673126471</v>
      </c>
      <c r="BE87" s="3">
        <v>10.110677934215104</v>
      </c>
      <c r="BF87" s="3">
        <v>6.9071327713217503</v>
      </c>
      <c r="BG87" s="3">
        <v>8.199494274980994</v>
      </c>
      <c r="BH87" s="3">
        <v>9.2127026878452458</v>
      </c>
      <c r="BI87" s="3">
        <v>6.9791028787016973</v>
      </c>
      <c r="BJ87" s="3">
        <v>7.3952988953877492</v>
      </c>
      <c r="BK87" s="3">
        <v>6.5166185262257379</v>
      </c>
      <c r="BL87" s="3">
        <v>7.0123019279910528</v>
      </c>
      <c r="BM87" s="3">
        <v>6.6624871393215903</v>
      </c>
      <c r="BN87" s="3">
        <v>5.9623415762029532</v>
      </c>
      <c r="BO87" s="3">
        <v>5.8805229640939984</v>
      </c>
      <c r="BP87" s="3">
        <v>5.3463668249306764</v>
      </c>
      <c r="BQ87" s="3">
        <v>5.3207843530524492</v>
      </c>
      <c r="BR87" s="3">
        <v>4.9971818605263172</v>
      </c>
      <c r="BS87" s="3">
        <v>4.8057662000016359</v>
      </c>
      <c r="BT87" s="3">
        <v>4.6806890230993652</v>
      </c>
      <c r="BU87" s="3">
        <v>4.4423112732202368</v>
      </c>
      <c r="BV87" s="3">
        <v>4.3213901000410795</v>
      </c>
      <c r="BW87" s="3">
        <v>4.0839258414044028</v>
      </c>
      <c r="BX87" s="3">
        <v>3.9213467443754375</v>
      </c>
      <c r="BY87" s="3">
        <v>3.7490822134768198</v>
      </c>
      <c r="BZ87" s="3">
        <v>3.5773421283731137</v>
      </c>
      <c r="CA87" s="3">
        <v>3.4364490147236086</v>
      </c>
      <c r="CB87" s="3">
        <v>3.2678770445943588</v>
      </c>
      <c r="CC87" s="3">
        <v>3.1281056001396994</v>
      </c>
      <c r="CD87" s="3">
        <v>2.9790423178345939</v>
      </c>
      <c r="CE87" s="3">
        <v>2.8426386958896437</v>
      </c>
      <c r="CF87" s="3">
        <v>2.7168258481285523</v>
      </c>
      <c r="CG87" s="3">
        <v>2.5929131620223576</v>
      </c>
      <c r="CH87" s="3">
        <v>2.4820082245602624</v>
      </c>
      <c r="CI87" s="3">
        <v>2.3688617400358645</v>
      </c>
      <c r="CJ87" s="3">
        <v>2.2605870998541828</v>
      </c>
      <c r="CK87" s="3">
        <v>2.1521225744300096</v>
      </c>
      <c r="CL87" s="3">
        <v>2.0449093522783794</v>
      </c>
      <c r="CM87" s="3">
        <v>1.9422445355622919</v>
      </c>
      <c r="CN87" s="3">
        <v>1.8423118654266144</v>
      </c>
      <c r="CO87" s="3">
        <v>1.7485585898246736</v>
      </c>
      <c r="CP87" s="3">
        <v>1.6588173422132115</v>
      </c>
      <c r="CQ87" s="3">
        <v>1.5735365389464615</v>
      </c>
      <c r="CR87" s="3">
        <v>1.4918564089023025</v>
      </c>
      <c r="CS87" s="3">
        <v>1.4127258689123874</v>
      </c>
      <c r="CT87" s="3">
        <v>1.336479030515207</v>
      </c>
      <c r="CU87" s="3">
        <v>1.2623216188189073</v>
      </c>
      <c r="CV87" s="3">
        <v>1.1906946400495162</v>
      </c>
      <c r="CW87" s="3">
        <v>1.1213616622956053</v>
      </c>
      <c r="CX87" s="3">
        <v>1.0543309201326245</v>
      </c>
      <c r="CY87" s="3">
        <v>0.98968441651331318</v>
      </c>
    </row>
    <row r="88" spans="1:103" x14ac:dyDescent="0.25">
      <c r="A88" t="s">
        <v>46</v>
      </c>
      <c r="B88" t="s">
        <v>5</v>
      </c>
      <c r="C88">
        <v>-1.7427112173477088</v>
      </c>
      <c r="D88">
        <v>-0.69361405100571116</v>
      </c>
      <c r="E88">
        <v>-0.24820828836286382</v>
      </c>
      <c r="F88">
        <v>-5.1687876918090243E-2</v>
      </c>
      <c r="G88">
        <v>-0.61875416410029749</v>
      </c>
      <c r="H88">
        <v>1.0013244876848548</v>
      </c>
      <c r="I88">
        <v>1.653319062599625</v>
      </c>
      <c r="J88">
        <v>2.8843954544731245</v>
      </c>
      <c r="K88">
        <v>3.1333975158345702</v>
      </c>
      <c r="L88">
        <v>3.5877651206542405</v>
      </c>
      <c r="M88">
        <v>4.1148154048432</v>
      </c>
      <c r="N88">
        <v>4.3891450354233088</v>
      </c>
      <c r="O88">
        <v>4.7875677911699093</v>
      </c>
      <c r="P88">
        <v>4.9660080857242814</v>
      </c>
      <c r="Q88">
        <v>5.2879477766870462</v>
      </c>
      <c r="R88">
        <v>5.5981903383019409</v>
      </c>
      <c r="S88">
        <v>5.9095174346693584</v>
      </c>
      <c r="T88">
        <v>6.2742846731335415</v>
      </c>
      <c r="U88">
        <v>6.5857882370008278</v>
      </c>
      <c r="V88">
        <v>6.9256004723228921</v>
      </c>
      <c r="W88">
        <v>7.2046130162847817</v>
      </c>
      <c r="X88">
        <v>7.45143864192341</v>
      </c>
      <c r="Y88">
        <v>7.664723187255694</v>
      </c>
      <c r="Z88">
        <v>7.8435275051267732</v>
      </c>
      <c r="AA88">
        <v>8.0241068310194894</v>
      </c>
      <c r="AB88">
        <v>8.1945373406857147</v>
      </c>
      <c r="AC88">
        <v>8.3764820028788733</v>
      </c>
      <c r="AD88">
        <v>8.5625823897696076</v>
      </c>
      <c r="AE88">
        <v>8.7513518982332918</v>
      </c>
      <c r="AF88">
        <v>8.9412078286883805</v>
      </c>
      <c r="AG88">
        <v>9.1221502691458785</v>
      </c>
      <c r="AH88">
        <v>9.2958031508900572</v>
      </c>
      <c r="AI88">
        <v>9.4568385091570697</v>
      </c>
      <c r="AJ88">
        <v>9.6070055248715853</v>
      </c>
      <c r="AK88">
        <v>9.7470898803992654</v>
      </c>
      <c r="AL88">
        <v>9.8782142086130236</v>
      </c>
      <c r="AM88">
        <v>10.00383866792623</v>
      </c>
      <c r="AN88">
        <v>10.12500248281124</v>
      </c>
      <c r="AO88">
        <v>10.244223154261185</v>
      </c>
      <c r="AP88">
        <v>10.361969939849834</v>
      </c>
      <c r="AQ88">
        <v>10.478310907619045</v>
      </c>
      <c r="AR88">
        <v>10.592694578184169</v>
      </c>
      <c r="AS88">
        <v>10.703710344337717</v>
      </c>
      <c r="AT88">
        <v>10.810480330120976</v>
      </c>
      <c r="AU88">
        <v>10.912025505540253</v>
      </c>
      <c r="AV88">
        <v>11.008198705127054</v>
      </c>
      <c r="AW88">
        <v>11.099297370084058</v>
      </c>
      <c r="AX88">
        <v>11.185982466966944</v>
      </c>
      <c r="AY88">
        <v>11.269170971908457</v>
      </c>
      <c r="BA88" s="1">
        <v>-1</v>
      </c>
      <c r="BB88" t="str">
        <f t="shared" si="1"/>
        <v>Pb - Borborema</v>
      </c>
      <c r="BC88" s="3" t="s">
        <v>144</v>
      </c>
      <c r="BD88" s="3" t="s">
        <v>144</v>
      </c>
      <c r="BE88" s="3" t="s">
        <v>144</v>
      </c>
      <c r="BF88" s="3" t="s">
        <v>144</v>
      </c>
      <c r="BG88" s="3" t="s">
        <v>144</v>
      </c>
      <c r="BH88" s="3" t="s">
        <v>144</v>
      </c>
      <c r="BI88" s="3" t="s">
        <v>144</v>
      </c>
      <c r="BJ88" s="3" t="s">
        <v>144</v>
      </c>
      <c r="BK88" s="3" t="s">
        <v>144</v>
      </c>
      <c r="BL88" s="3" t="s">
        <v>144</v>
      </c>
      <c r="BM88" s="3" t="s">
        <v>144</v>
      </c>
      <c r="BN88" s="3" t="s">
        <v>144</v>
      </c>
      <c r="BO88" s="3" t="s">
        <v>144</v>
      </c>
      <c r="BP88" s="3" t="s">
        <v>144</v>
      </c>
      <c r="BQ88" s="3" t="s">
        <v>144</v>
      </c>
      <c r="BR88" s="3" t="s">
        <v>144</v>
      </c>
      <c r="BS88" s="3" t="s">
        <v>144</v>
      </c>
      <c r="BT88" s="3" t="s">
        <v>144</v>
      </c>
      <c r="BU88" s="3" t="s">
        <v>144</v>
      </c>
      <c r="BV88" s="3" t="s">
        <v>144</v>
      </c>
      <c r="BW88" s="3" t="s">
        <v>144</v>
      </c>
      <c r="BX88" s="3" t="s">
        <v>144</v>
      </c>
      <c r="BY88" s="3" t="s">
        <v>144</v>
      </c>
      <c r="BZ88" s="3" t="s">
        <v>144</v>
      </c>
      <c r="CA88" s="3" t="s">
        <v>144</v>
      </c>
      <c r="CB88" s="3" t="s">
        <v>144</v>
      </c>
      <c r="CC88" s="3" t="s">
        <v>144</v>
      </c>
      <c r="CD88" s="3" t="s">
        <v>144</v>
      </c>
      <c r="CE88" s="3" t="s">
        <v>144</v>
      </c>
      <c r="CF88" s="3" t="s">
        <v>144</v>
      </c>
      <c r="CG88" s="3" t="s">
        <v>144</v>
      </c>
      <c r="CH88" s="3" t="s">
        <v>144</v>
      </c>
      <c r="CI88" s="3" t="s">
        <v>144</v>
      </c>
      <c r="CJ88" s="3" t="s">
        <v>144</v>
      </c>
      <c r="CK88" s="3" t="s">
        <v>144</v>
      </c>
      <c r="CL88" s="3" t="s">
        <v>144</v>
      </c>
      <c r="CM88" s="3" t="s">
        <v>144</v>
      </c>
      <c r="CN88" s="3" t="s">
        <v>144</v>
      </c>
      <c r="CO88" s="3" t="s">
        <v>144</v>
      </c>
      <c r="CP88" s="3" t="s">
        <v>144</v>
      </c>
      <c r="CQ88" s="3" t="s">
        <v>144</v>
      </c>
      <c r="CR88" s="3" t="s">
        <v>144</v>
      </c>
      <c r="CS88" s="3" t="s">
        <v>144</v>
      </c>
      <c r="CT88" s="3" t="s">
        <v>144</v>
      </c>
      <c r="CU88" s="3" t="s">
        <v>144</v>
      </c>
      <c r="CV88" s="3" t="s">
        <v>144</v>
      </c>
      <c r="CW88" s="3" t="s">
        <v>144</v>
      </c>
      <c r="CX88" s="3" t="s">
        <v>144</v>
      </c>
      <c r="CY88" s="3" t="s">
        <v>144</v>
      </c>
    </row>
    <row r="89" spans="1:103" x14ac:dyDescent="0.25">
      <c r="A89" t="s">
        <v>47</v>
      </c>
      <c r="B89" t="s">
        <v>4</v>
      </c>
      <c r="C89">
        <v>219.96277262146378</v>
      </c>
      <c r="D89">
        <v>140.79991582436236</v>
      </c>
      <c r="E89">
        <v>150.12453259194754</v>
      </c>
      <c r="F89">
        <v>155.13637065561346</v>
      </c>
      <c r="G89">
        <v>135.33886138688629</v>
      </c>
      <c r="H89">
        <v>201.79946923641415</v>
      </c>
      <c r="I89">
        <v>164.09043674101301</v>
      </c>
      <c r="J89">
        <v>190.22095540804793</v>
      </c>
      <c r="K89">
        <v>187.2716277242759</v>
      </c>
      <c r="L89">
        <v>191.30561392497711</v>
      </c>
      <c r="M89">
        <v>199.69298021346825</v>
      </c>
      <c r="N89">
        <v>183.30447036863745</v>
      </c>
      <c r="O89">
        <v>186.83637844838211</v>
      </c>
      <c r="P89">
        <v>177.88345149714385</v>
      </c>
      <c r="Q89">
        <v>178.40607696066724</v>
      </c>
      <c r="R89">
        <v>178.57537757170692</v>
      </c>
      <c r="S89">
        <v>177.38570510201592</v>
      </c>
      <c r="T89">
        <v>181.82251428518484</v>
      </c>
      <c r="U89">
        <v>181.96267655441196</v>
      </c>
      <c r="V89">
        <v>184.83259962206003</v>
      </c>
      <c r="W89">
        <v>184.98319243416276</v>
      </c>
      <c r="X89">
        <v>184.59874100121326</v>
      </c>
      <c r="Y89">
        <v>184.21799057139634</v>
      </c>
      <c r="Z89">
        <v>182.43332038439314</v>
      </c>
      <c r="AA89">
        <v>181.59071222649254</v>
      </c>
      <c r="AB89">
        <v>180.15768458647022</v>
      </c>
      <c r="AC89">
        <v>179.47752639983759</v>
      </c>
      <c r="AD89">
        <v>179.14843000783094</v>
      </c>
      <c r="AE89">
        <v>179.04583341875988</v>
      </c>
      <c r="AF89">
        <v>179.42998108986262</v>
      </c>
      <c r="AG89">
        <v>179.66865826913465</v>
      </c>
      <c r="AH89">
        <v>180.01885262966653</v>
      </c>
      <c r="AI89">
        <v>180.10570766946705</v>
      </c>
      <c r="AJ89">
        <v>179.98343636105662</v>
      </c>
      <c r="AK89">
        <v>179.68973243248521</v>
      </c>
      <c r="AL89">
        <v>179.2075865593178</v>
      </c>
      <c r="AM89">
        <v>178.74120614664326</v>
      </c>
      <c r="AN89">
        <v>178.2857178449145</v>
      </c>
      <c r="AO89">
        <v>177.95938343541951</v>
      </c>
      <c r="AP89">
        <v>177.75930675368943</v>
      </c>
      <c r="AQ89">
        <v>177.6651630888432</v>
      </c>
      <c r="AR89">
        <v>177.65744818867481</v>
      </c>
      <c r="AS89">
        <v>177.66242552266996</v>
      </c>
      <c r="AT89">
        <v>177.65812626783378</v>
      </c>
      <c r="AU89">
        <v>177.60314695337283</v>
      </c>
      <c r="AV89">
        <v>177.4932080662694</v>
      </c>
      <c r="AW89">
        <v>177.33659468311785</v>
      </c>
      <c r="AX89">
        <v>177.14692813618714</v>
      </c>
      <c r="AY89">
        <v>176.95278057394557</v>
      </c>
      <c r="BA89" s="1">
        <v>1</v>
      </c>
      <c r="BB89" t="str">
        <f t="shared" si="1"/>
        <v>Pb - Agreste Paraibano</v>
      </c>
      <c r="BC89" s="3">
        <v>187.77379221958444</v>
      </c>
      <c r="BD89" s="3">
        <v>157.02856455073785</v>
      </c>
      <c r="BE89" s="3">
        <v>102.72975734968075</v>
      </c>
      <c r="BF89" s="3">
        <v>171.03221998232044</v>
      </c>
      <c r="BG89" s="3">
        <v>96.295307914278979</v>
      </c>
      <c r="BH89" s="3">
        <v>153.75453513599911</v>
      </c>
      <c r="BI89" s="3">
        <v>112.78880374360119</v>
      </c>
      <c r="BJ89" s="3">
        <v>119.98744929689018</v>
      </c>
      <c r="BK89" s="3">
        <v>131.55013589750854</v>
      </c>
      <c r="BL89" s="3">
        <v>117.2540258595244</v>
      </c>
      <c r="BM89" s="3">
        <v>133.44015035188463</v>
      </c>
      <c r="BN89" s="3">
        <v>114.28398773136686</v>
      </c>
      <c r="BO89" s="3">
        <v>115.05031695268131</v>
      </c>
      <c r="BP89" s="3">
        <v>106.63902838538708</v>
      </c>
      <c r="BQ89" s="3">
        <v>98.956342941301273</v>
      </c>
      <c r="BR89" s="3">
        <v>97.853969122107372</v>
      </c>
      <c r="BS89" s="3">
        <v>89.735628122785272</v>
      </c>
      <c r="BT89" s="3">
        <v>89.935899859467014</v>
      </c>
      <c r="BU89" s="3">
        <v>86.245407605503999</v>
      </c>
      <c r="BV89" s="3">
        <v>85.132673619994577</v>
      </c>
      <c r="BW89" s="3">
        <v>84.046476219501599</v>
      </c>
      <c r="BX89" s="3">
        <v>81.343845744975752</v>
      </c>
      <c r="BY89" s="3">
        <v>80.085505950014692</v>
      </c>
      <c r="BZ89" s="3">
        <v>76.760364998513722</v>
      </c>
      <c r="CA89" s="3">
        <v>74.157410341471319</v>
      </c>
      <c r="CB89" s="3">
        <v>70.891913477480912</v>
      </c>
      <c r="CC89" s="3">
        <v>67.677754770369717</v>
      </c>
      <c r="CD89" s="3">
        <v>65.054005106095886</v>
      </c>
      <c r="CE89" s="3">
        <v>62.398775744979289</v>
      </c>
      <c r="CF89" s="3">
        <v>60.510234940185754</v>
      </c>
      <c r="CG89" s="3">
        <v>58.692959422229336</v>
      </c>
      <c r="CH89" s="3">
        <v>57.177504615372442</v>
      </c>
      <c r="CI89" s="3">
        <v>55.727103121421209</v>
      </c>
      <c r="CJ89" s="3">
        <v>54.158998175964555</v>
      </c>
      <c r="CK89" s="3">
        <v>52.589664727189458</v>
      </c>
      <c r="CL89" s="3">
        <v>50.839734001356561</v>
      </c>
      <c r="CM89" s="3">
        <v>49.090509774657477</v>
      </c>
      <c r="CN89" s="3">
        <v>47.320654654225024</v>
      </c>
      <c r="CO89" s="3">
        <v>45.611241141687373</v>
      </c>
      <c r="CP89" s="3">
        <v>44.024614502059904</v>
      </c>
      <c r="CQ89" s="3">
        <v>42.543855759899913</v>
      </c>
      <c r="CR89" s="3">
        <v>41.209503473037273</v>
      </c>
      <c r="CS89" s="3">
        <v>39.970698453650925</v>
      </c>
      <c r="CT89" s="3">
        <v>38.816232020734105</v>
      </c>
      <c r="CU89" s="3">
        <v>37.709598230450837</v>
      </c>
      <c r="CV89" s="3">
        <v>36.620004565527864</v>
      </c>
      <c r="CW89" s="3">
        <v>35.539975438691499</v>
      </c>
      <c r="CX89" s="3">
        <v>34.455542890295419</v>
      </c>
      <c r="CY89" s="3">
        <v>33.380055946733961</v>
      </c>
    </row>
    <row r="90" spans="1:103" x14ac:dyDescent="0.25">
      <c r="A90" t="s">
        <v>47</v>
      </c>
      <c r="B90" t="s">
        <v>5</v>
      </c>
      <c r="C90">
        <v>32.188980401879334</v>
      </c>
      <c r="D90">
        <v>-16.228648726375503</v>
      </c>
      <c r="E90">
        <v>47.394775242266789</v>
      </c>
      <c r="F90">
        <v>-15.895849326706969</v>
      </c>
      <c r="G90">
        <v>39.043553472607314</v>
      </c>
      <c r="H90">
        <v>48.044934100415041</v>
      </c>
      <c r="I90">
        <v>51.301632997411815</v>
      </c>
      <c r="J90">
        <v>70.233506111157752</v>
      </c>
      <c r="K90">
        <v>55.721491826767362</v>
      </c>
      <c r="L90">
        <v>74.051588065452705</v>
      </c>
      <c r="M90">
        <v>66.252829861583621</v>
      </c>
      <c r="N90">
        <v>69.02048263727059</v>
      </c>
      <c r="O90">
        <v>71.786061495700793</v>
      </c>
      <c r="P90">
        <v>71.244423111756774</v>
      </c>
      <c r="Q90">
        <v>79.449734019365962</v>
      </c>
      <c r="R90">
        <v>80.721408449599551</v>
      </c>
      <c r="S90">
        <v>87.650076979230647</v>
      </c>
      <c r="T90">
        <v>91.886614425717823</v>
      </c>
      <c r="U90">
        <v>95.717268948907957</v>
      </c>
      <c r="V90">
        <v>99.699926002065453</v>
      </c>
      <c r="W90">
        <v>100.93671621466116</v>
      </c>
      <c r="X90">
        <v>103.2548952562375</v>
      </c>
      <c r="Y90">
        <v>104.13248462138165</v>
      </c>
      <c r="Z90">
        <v>105.67295538587942</v>
      </c>
      <c r="AA90">
        <v>107.43330188502122</v>
      </c>
      <c r="AB90">
        <v>109.26577110898931</v>
      </c>
      <c r="AC90">
        <v>111.79977162946787</v>
      </c>
      <c r="AD90">
        <v>114.09442490173505</v>
      </c>
      <c r="AE90">
        <v>116.64705767378059</v>
      </c>
      <c r="AF90">
        <v>118.91974614967687</v>
      </c>
      <c r="AG90">
        <v>120.97569884690532</v>
      </c>
      <c r="AH90">
        <v>122.84134801429408</v>
      </c>
      <c r="AI90">
        <v>124.37860454804584</v>
      </c>
      <c r="AJ90">
        <v>125.82443818509206</v>
      </c>
      <c r="AK90">
        <v>127.10006770529576</v>
      </c>
      <c r="AL90">
        <v>128.36785255796124</v>
      </c>
      <c r="AM90">
        <v>129.65069637198579</v>
      </c>
      <c r="AN90">
        <v>130.96506319068948</v>
      </c>
      <c r="AO90">
        <v>132.34814229373214</v>
      </c>
      <c r="AP90">
        <v>133.73469225162953</v>
      </c>
      <c r="AQ90">
        <v>135.12130732894329</v>
      </c>
      <c r="AR90">
        <v>136.44794471563753</v>
      </c>
      <c r="AS90">
        <v>137.69172706901904</v>
      </c>
      <c r="AT90">
        <v>138.84189424709967</v>
      </c>
      <c r="AU90">
        <v>139.89354872292199</v>
      </c>
      <c r="AV90">
        <v>140.87320350074154</v>
      </c>
      <c r="AW90">
        <v>141.79661924442635</v>
      </c>
      <c r="AX90">
        <v>142.69138524589172</v>
      </c>
      <c r="AY90">
        <v>143.57272462721161</v>
      </c>
      <c r="BA90" s="1">
        <v>-1</v>
      </c>
      <c r="BB90" t="str">
        <f t="shared" si="1"/>
        <v>Pb - Agreste Paraibano</v>
      </c>
      <c r="BC90" s="3" t="s">
        <v>144</v>
      </c>
      <c r="BD90" s="3" t="s">
        <v>144</v>
      </c>
      <c r="BE90" s="3" t="s">
        <v>144</v>
      </c>
      <c r="BF90" s="3" t="s">
        <v>144</v>
      </c>
      <c r="BG90" s="3" t="s">
        <v>144</v>
      </c>
      <c r="BH90" s="3" t="s">
        <v>144</v>
      </c>
      <c r="BI90" s="3" t="s">
        <v>144</v>
      </c>
      <c r="BJ90" s="3" t="s">
        <v>144</v>
      </c>
      <c r="BK90" s="3" t="s">
        <v>144</v>
      </c>
      <c r="BL90" s="3" t="s">
        <v>144</v>
      </c>
      <c r="BM90" s="3" t="s">
        <v>144</v>
      </c>
      <c r="BN90" s="3" t="s">
        <v>144</v>
      </c>
      <c r="BO90" s="3" t="s">
        <v>144</v>
      </c>
      <c r="BP90" s="3" t="s">
        <v>144</v>
      </c>
      <c r="BQ90" s="3" t="s">
        <v>144</v>
      </c>
      <c r="BR90" s="3" t="s">
        <v>144</v>
      </c>
      <c r="BS90" s="3" t="s">
        <v>144</v>
      </c>
      <c r="BT90" s="3" t="s">
        <v>144</v>
      </c>
      <c r="BU90" s="3" t="s">
        <v>144</v>
      </c>
      <c r="BV90" s="3" t="s">
        <v>144</v>
      </c>
      <c r="BW90" s="3" t="s">
        <v>144</v>
      </c>
      <c r="BX90" s="3" t="s">
        <v>144</v>
      </c>
      <c r="BY90" s="3" t="s">
        <v>144</v>
      </c>
      <c r="BZ90" s="3" t="s">
        <v>144</v>
      </c>
      <c r="CA90" s="3" t="s">
        <v>144</v>
      </c>
      <c r="CB90" s="3" t="s">
        <v>144</v>
      </c>
      <c r="CC90" s="3" t="s">
        <v>144</v>
      </c>
      <c r="CD90" s="3" t="s">
        <v>144</v>
      </c>
      <c r="CE90" s="3" t="s">
        <v>144</v>
      </c>
      <c r="CF90" s="3" t="s">
        <v>144</v>
      </c>
      <c r="CG90" s="3" t="s">
        <v>144</v>
      </c>
      <c r="CH90" s="3" t="s">
        <v>144</v>
      </c>
      <c r="CI90" s="3" t="s">
        <v>144</v>
      </c>
      <c r="CJ90" s="3" t="s">
        <v>144</v>
      </c>
      <c r="CK90" s="3" t="s">
        <v>144</v>
      </c>
      <c r="CL90" s="3" t="s">
        <v>144</v>
      </c>
      <c r="CM90" s="3" t="s">
        <v>144</v>
      </c>
      <c r="CN90" s="3" t="s">
        <v>144</v>
      </c>
      <c r="CO90" s="3" t="s">
        <v>144</v>
      </c>
      <c r="CP90" s="3" t="s">
        <v>144</v>
      </c>
      <c r="CQ90" s="3" t="s">
        <v>144</v>
      </c>
      <c r="CR90" s="3" t="s">
        <v>144</v>
      </c>
      <c r="CS90" s="3" t="s">
        <v>144</v>
      </c>
      <c r="CT90" s="3" t="s">
        <v>144</v>
      </c>
      <c r="CU90" s="3" t="s">
        <v>144</v>
      </c>
      <c r="CV90" s="3" t="s">
        <v>144</v>
      </c>
      <c r="CW90" s="3" t="s">
        <v>144</v>
      </c>
      <c r="CX90" s="3" t="s">
        <v>144</v>
      </c>
      <c r="CY90" s="3" t="s">
        <v>144</v>
      </c>
    </row>
    <row r="91" spans="1:103" x14ac:dyDescent="0.25">
      <c r="A91" t="s">
        <v>48</v>
      </c>
      <c r="B91" t="s">
        <v>4</v>
      </c>
      <c r="C91">
        <v>991.60691821839987</v>
      </c>
      <c r="D91">
        <v>817.91144697382867</v>
      </c>
      <c r="E91">
        <v>569.62141679161357</v>
      </c>
      <c r="F91">
        <v>581.28076157065868</v>
      </c>
      <c r="G91">
        <v>402.32333714822056</v>
      </c>
      <c r="H91">
        <v>682.70160112129497</v>
      </c>
      <c r="I91">
        <v>518.53413971244026</v>
      </c>
      <c r="J91">
        <v>553.8168375662442</v>
      </c>
      <c r="K91">
        <v>575.90494674181582</v>
      </c>
      <c r="L91">
        <v>567.88104485587269</v>
      </c>
      <c r="M91">
        <v>618.2705021000811</v>
      </c>
      <c r="N91">
        <v>551.73509439931001</v>
      </c>
      <c r="O91">
        <v>577.89074963131634</v>
      </c>
      <c r="P91">
        <v>573.08144990757376</v>
      </c>
      <c r="Q91">
        <v>583.3175131829272</v>
      </c>
      <c r="R91">
        <v>598.00732280778175</v>
      </c>
      <c r="S91">
        <v>590.00481160159075</v>
      </c>
      <c r="T91">
        <v>605.25814715872582</v>
      </c>
      <c r="U91">
        <v>600.99504702044021</v>
      </c>
      <c r="V91">
        <v>604.39870389345583</v>
      </c>
      <c r="W91">
        <v>603.22860639871021</v>
      </c>
      <c r="X91">
        <v>600.38721129952341</v>
      </c>
      <c r="Y91">
        <v>603.71602855908725</v>
      </c>
      <c r="Z91">
        <v>602.7603656397597</v>
      </c>
      <c r="AA91">
        <v>606.3284477146035</v>
      </c>
      <c r="AB91">
        <v>607.7198167436037</v>
      </c>
      <c r="AC91">
        <v>609.86477338288773</v>
      </c>
      <c r="AD91">
        <v>612.45477773328776</v>
      </c>
      <c r="AE91">
        <v>613.70996943390537</v>
      </c>
      <c r="AF91">
        <v>615.8842929055113</v>
      </c>
      <c r="AG91">
        <v>616.8526386406653</v>
      </c>
      <c r="AH91">
        <v>618.09364470026685</v>
      </c>
      <c r="AI91">
        <v>618.94936921866667</v>
      </c>
      <c r="AJ91">
        <v>619.51838606374656</v>
      </c>
      <c r="AK91">
        <v>620.30285452606154</v>
      </c>
      <c r="AL91">
        <v>620.90054377077468</v>
      </c>
      <c r="AM91">
        <v>621.87559348767923</v>
      </c>
      <c r="AN91">
        <v>622.89949918604384</v>
      </c>
      <c r="AO91">
        <v>624.0644443097342</v>
      </c>
      <c r="AP91">
        <v>625.27232785810043</v>
      </c>
      <c r="AQ91">
        <v>626.34390451290903</v>
      </c>
      <c r="AR91">
        <v>627.34097719292924</v>
      </c>
      <c r="AS91">
        <v>628.13767130466101</v>
      </c>
      <c r="AT91">
        <v>628.83402267692838</v>
      </c>
      <c r="AU91">
        <v>629.44300556838618</v>
      </c>
      <c r="AV91">
        <v>630.0146718283172</v>
      </c>
      <c r="AW91">
        <v>630.60649475764808</v>
      </c>
      <c r="AX91">
        <v>631.209087278379</v>
      </c>
      <c r="AY91">
        <v>631.84900307851763</v>
      </c>
      <c r="BA91" s="1">
        <v>1</v>
      </c>
      <c r="BB91" t="str">
        <f t="shared" si="1"/>
        <v>Pb - Mata Paraibana</v>
      </c>
      <c r="BC91" s="3">
        <v>799.28178788831565</v>
      </c>
      <c r="BD91" s="3">
        <v>1055.3307677701259</v>
      </c>
      <c r="BE91" s="3">
        <v>742.70539828765311</v>
      </c>
      <c r="BF91" s="3">
        <v>932.15992195751551</v>
      </c>
      <c r="BG91" s="3">
        <v>446.58975520446347</v>
      </c>
      <c r="BH91" s="3">
        <v>533.43050326459729</v>
      </c>
      <c r="BI91" s="3">
        <v>399.00762328082612</v>
      </c>
      <c r="BJ91" s="3">
        <v>385.19327501319981</v>
      </c>
      <c r="BK91" s="3">
        <v>451.6593590087582</v>
      </c>
      <c r="BL91" s="3">
        <v>367.89765323730444</v>
      </c>
      <c r="BM91" s="3">
        <v>431.90312531500882</v>
      </c>
      <c r="BN91" s="3">
        <v>383.72842619532901</v>
      </c>
      <c r="BO91" s="3">
        <v>398.35241656355117</v>
      </c>
      <c r="BP91" s="3">
        <v>390.31109245999761</v>
      </c>
      <c r="BQ91" s="3">
        <v>358.2900380280438</v>
      </c>
      <c r="BR91" s="3">
        <v>354.7140199857555</v>
      </c>
      <c r="BS91" s="3">
        <v>314.41317877830079</v>
      </c>
      <c r="BT91" s="3">
        <v>299.35469297892342</v>
      </c>
      <c r="BU91" s="3">
        <v>271.46107782531124</v>
      </c>
      <c r="BV91" s="3">
        <v>251.55661377680372</v>
      </c>
      <c r="BW91" s="3">
        <v>241.47649545231258</v>
      </c>
      <c r="BX91" s="3">
        <v>228.88387089644925</v>
      </c>
      <c r="BY91" s="3">
        <v>226.99754296792764</v>
      </c>
      <c r="BZ91" s="3">
        <v>219.62024803166565</v>
      </c>
      <c r="CA91" s="3">
        <v>214.06905165289999</v>
      </c>
      <c r="CB91" s="3">
        <v>205.37382635544151</v>
      </c>
      <c r="CC91" s="3">
        <v>193.42182697925648</v>
      </c>
      <c r="CD91" s="3">
        <v>181.69564846496087</v>
      </c>
      <c r="CE91" s="3">
        <v>167.79997481222932</v>
      </c>
      <c r="CF91" s="3">
        <v>155.89892975181044</v>
      </c>
      <c r="CG91" s="3">
        <v>144.56478351404479</v>
      </c>
      <c r="CH91" s="3">
        <v>134.92742880646114</v>
      </c>
      <c r="CI91" s="3">
        <v>126.92197948721935</v>
      </c>
      <c r="CJ91" s="3">
        <v>119.60489493182968</v>
      </c>
      <c r="CK91" s="3">
        <v>113.37654207408559</v>
      </c>
      <c r="CL91" s="3">
        <v>107.1239964219053</v>
      </c>
      <c r="CM91" s="3">
        <v>100.99695053873575</v>
      </c>
      <c r="CN91" s="3">
        <v>94.59023604751917</v>
      </c>
      <c r="CO91" s="3">
        <v>87.825898364189811</v>
      </c>
      <c r="CP91" s="3">
        <v>80.918675716420125</v>
      </c>
      <c r="CQ91" s="3">
        <v>73.857164671176292</v>
      </c>
      <c r="CR91" s="3">
        <v>67.026103275062269</v>
      </c>
      <c r="CS91" s="3">
        <v>60.524835830672373</v>
      </c>
      <c r="CT91" s="3">
        <v>54.534249369771828</v>
      </c>
      <c r="CU91" s="3">
        <v>49.093968296463913</v>
      </c>
      <c r="CV91" s="3">
        <v>44.109704280586129</v>
      </c>
      <c r="CW91" s="3">
        <v>39.49739836486799</v>
      </c>
      <c r="CX91" s="3">
        <v>35.073258842437554</v>
      </c>
      <c r="CY91" s="3">
        <v>30.737196153428044</v>
      </c>
    </row>
    <row r="92" spans="1:103" x14ac:dyDescent="0.25">
      <c r="A92" t="s">
        <v>48</v>
      </c>
      <c r="B92" t="s">
        <v>5</v>
      </c>
      <c r="C92">
        <v>192.32513033008422</v>
      </c>
      <c r="D92">
        <v>-237.41932079629734</v>
      </c>
      <c r="E92">
        <v>-173.08398149603954</v>
      </c>
      <c r="F92">
        <v>-350.87916038685677</v>
      </c>
      <c r="G92">
        <v>-44.266418056242934</v>
      </c>
      <c r="H92">
        <v>149.27109785669774</v>
      </c>
      <c r="I92">
        <v>119.52651643161413</v>
      </c>
      <c r="J92">
        <v>168.62356255304437</v>
      </c>
      <c r="K92">
        <v>124.24558773305759</v>
      </c>
      <c r="L92">
        <v>199.98339161856822</v>
      </c>
      <c r="M92">
        <v>186.36737678507228</v>
      </c>
      <c r="N92">
        <v>168.00666820398098</v>
      </c>
      <c r="O92">
        <v>179.53833306776517</v>
      </c>
      <c r="P92">
        <v>182.77035744757615</v>
      </c>
      <c r="Q92">
        <v>225.02747515488338</v>
      </c>
      <c r="R92">
        <v>243.29330282202628</v>
      </c>
      <c r="S92">
        <v>275.59163282328996</v>
      </c>
      <c r="T92">
        <v>305.9034541798024</v>
      </c>
      <c r="U92">
        <v>329.53396919512898</v>
      </c>
      <c r="V92">
        <v>352.84209011665212</v>
      </c>
      <c r="W92">
        <v>361.75211094639764</v>
      </c>
      <c r="X92">
        <v>371.50334040307416</v>
      </c>
      <c r="Y92">
        <v>376.71848559115961</v>
      </c>
      <c r="Z92">
        <v>383.14011760809404</v>
      </c>
      <c r="AA92">
        <v>392.25939606170351</v>
      </c>
      <c r="AB92">
        <v>402.34599038816219</v>
      </c>
      <c r="AC92">
        <v>416.44294640363125</v>
      </c>
      <c r="AD92">
        <v>430.75912926832689</v>
      </c>
      <c r="AE92">
        <v>445.90999462167605</v>
      </c>
      <c r="AF92">
        <v>459.98536315370086</v>
      </c>
      <c r="AG92">
        <v>472.28785512662051</v>
      </c>
      <c r="AH92">
        <v>483.16621589380571</v>
      </c>
      <c r="AI92">
        <v>492.02738973144733</v>
      </c>
      <c r="AJ92">
        <v>499.91349113191689</v>
      </c>
      <c r="AK92">
        <v>506.92631245197595</v>
      </c>
      <c r="AL92">
        <v>513.77654734886937</v>
      </c>
      <c r="AM92">
        <v>520.87864294894348</v>
      </c>
      <c r="AN92">
        <v>528.30926313852467</v>
      </c>
      <c r="AO92">
        <v>536.23854594554439</v>
      </c>
      <c r="AP92">
        <v>544.3536521416803</v>
      </c>
      <c r="AQ92">
        <v>552.48673984173274</v>
      </c>
      <c r="AR92">
        <v>560.31487391786698</v>
      </c>
      <c r="AS92">
        <v>567.61283547398864</v>
      </c>
      <c r="AT92">
        <v>574.29977330715656</v>
      </c>
      <c r="AU92">
        <v>580.34903727192227</v>
      </c>
      <c r="AV92">
        <v>585.90496754773108</v>
      </c>
      <c r="AW92">
        <v>591.10909639278009</v>
      </c>
      <c r="AX92">
        <v>596.13582843594145</v>
      </c>
      <c r="AY92">
        <v>601.11180692508958</v>
      </c>
      <c r="BA92" s="1">
        <v>-1</v>
      </c>
      <c r="BB92" t="str">
        <f t="shared" si="1"/>
        <v>Pb - Mata Paraibana</v>
      </c>
      <c r="BC92" s="3" t="s">
        <v>144</v>
      </c>
      <c r="BD92" s="3" t="s">
        <v>144</v>
      </c>
      <c r="BE92" s="3" t="s">
        <v>144</v>
      </c>
      <c r="BF92" s="3" t="s">
        <v>144</v>
      </c>
      <c r="BG92" s="3" t="s">
        <v>144</v>
      </c>
      <c r="BH92" s="3" t="s">
        <v>144</v>
      </c>
      <c r="BI92" s="3" t="s">
        <v>144</v>
      </c>
      <c r="BJ92" s="3" t="s">
        <v>144</v>
      </c>
      <c r="BK92" s="3" t="s">
        <v>144</v>
      </c>
      <c r="BL92" s="3" t="s">
        <v>144</v>
      </c>
      <c r="BM92" s="3" t="s">
        <v>144</v>
      </c>
      <c r="BN92" s="3" t="s">
        <v>144</v>
      </c>
      <c r="BO92" s="3" t="s">
        <v>144</v>
      </c>
      <c r="BP92" s="3" t="s">
        <v>144</v>
      </c>
      <c r="BQ92" s="3" t="s">
        <v>144</v>
      </c>
      <c r="BR92" s="3" t="s">
        <v>144</v>
      </c>
      <c r="BS92" s="3" t="s">
        <v>144</v>
      </c>
      <c r="BT92" s="3" t="s">
        <v>144</v>
      </c>
      <c r="BU92" s="3" t="s">
        <v>144</v>
      </c>
      <c r="BV92" s="3" t="s">
        <v>144</v>
      </c>
      <c r="BW92" s="3" t="s">
        <v>144</v>
      </c>
      <c r="BX92" s="3" t="s">
        <v>144</v>
      </c>
      <c r="BY92" s="3" t="s">
        <v>144</v>
      </c>
      <c r="BZ92" s="3" t="s">
        <v>144</v>
      </c>
      <c r="CA92" s="3" t="s">
        <v>144</v>
      </c>
      <c r="CB92" s="3" t="s">
        <v>144</v>
      </c>
      <c r="CC92" s="3" t="s">
        <v>144</v>
      </c>
      <c r="CD92" s="3" t="s">
        <v>144</v>
      </c>
      <c r="CE92" s="3" t="s">
        <v>144</v>
      </c>
      <c r="CF92" s="3" t="s">
        <v>144</v>
      </c>
      <c r="CG92" s="3" t="s">
        <v>144</v>
      </c>
      <c r="CH92" s="3" t="s">
        <v>144</v>
      </c>
      <c r="CI92" s="3" t="s">
        <v>144</v>
      </c>
      <c r="CJ92" s="3" t="s">
        <v>144</v>
      </c>
      <c r="CK92" s="3" t="s">
        <v>144</v>
      </c>
      <c r="CL92" s="3" t="s">
        <v>144</v>
      </c>
      <c r="CM92" s="3" t="s">
        <v>144</v>
      </c>
      <c r="CN92" s="3" t="s">
        <v>144</v>
      </c>
      <c r="CO92" s="3" t="s">
        <v>144</v>
      </c>
      <c r="CP92" s="3" t="s">
        <v>144</v>
      </c>
      <c r="CQ92" s="3" t="s">
        <v>144</v>
      </c>
      <c r="CR92" s="3" t="s">
        <v>144</v>
      </c>
      <c r="CS92" s="3" t="s">
        <v>144</v>
      </c>
      <c r="CT92" s="3" t="s">
        <v>144</v>
      </c>
      <c r="CU92" s="3" t="s">
        <v>144</v>
      </c>
      <c r="CV92" s="3" t="s">
        <v>144</v>
      </c>
      <c r="CW92" s="3" t="s">
        <v>144</v>
      </c>
      <c r="CX92" s="3" t="s">
        <v>144</v>
      </c>
      <c r="CY92" s="3" t="s">
        <v>144</v>
      </c>
    </row>
    <row r="93" spans="1:103" x14ac:dyDescent="0.25">
      <c r="A93" t="s">
        <v>49</v>
      </c>
      <c r="B93" t="s">
        <v>4</v>
      </c>
      <c r="C93">
        <v>108.76344584822478</v>
      </c>
      <c r="D93">
        <v>61.818360877922274</v>
      </c>
      <c r="E93">
        <v>93.604545132503162</v>
      </c>
      <c r="F93">
        <v>69.839375891118664</v>
      </c>
      <c r="G93">
        <v>79.624269583638139</v>
      </c>
      <c r="H93">
        <v>96.143619729132155</v>
      </c>
      <c r="I93">
        <v>82.730523493831825</v>
      </c>
      <c r="J93">
        <v>98.816734698724972</v>
      </c>
      <c r="K93">
        <v>91.733870439631218</v>
      </c>
      <c r="L93">
        <v>99.227738007672301</v>
      </c>
      <c r="M93">
        <v>97.542910004742083</v>
      </c>
      <c r="N93">
        <v>92.273789028361421</v>
      </c>
      <c r="O93">
        <v>92.430533678799492</v>
      </c>
      <c r="P93">
        <v>86.862614332414879</v>
      </c>
      <c r="Q93">
        <v>88.030917783132423</v>
      </c>
      <c r="R93">
        <v>86.719766662276115</v>
      </c>
      <c r="S93">
        <v>87.601300586132993</v>
      </c>
      <c r="T93">
        <v>89.340669282244633</v>
      </c>
      <c r="U93">
        <v>89.787616148035625</v>
      </c>
      <c r="V93">
        <v>91.343755666622641</v>
      </c>
      <c r="W93">
        <v>91.032870176281989</v>
      </c>
      <c r="X93">
        <v>90.987712331625701</v>
      </c>
      <c r="Y93">
        <v>90.285752425994588</v>
      </c>
      <c r="Z93">
        <v>89.327102833586139</v>
      </c>
      <c r="AA93">
        <v>88.67228813042847</v>
      </c>
      <c r="AB93">
        <v>87.816418415430704</v>
      </c>
      <c r="AC93">
        <v>87.486609248159155</v>
      </c>
      <c r="AD93">
        <v>87.229569763491398</v>
      </c>
      <c r="AE93">
        <v>87.248470757397371</v>
      </c>
      <c r="AF93">
        <v>87.417064663492994</v>
      </c>
      <c r="AG93">
        <v>87.550163762704429</v>
      </c>
      <c r="AH93">
        <v>87.709328306375028</v>
      </c>
      <c r="AI93">
        <v>87.688490087167708</v>
      </c>
      <c r="AJ93">
        <v>87.573852555506292</v>
      </c>
      <c r="AK93">
        <v>87.328821025424944</v>
      </c>
      <c r="AL93">
        <v>87.010322503078001</v>
      </c>
      <c r="AM93">
        <v>86.697429071312627</v>
      </c>
      <c r="AN93">
        <v>86.40710613630668</v>
      </c>
      <c r="AO93">
        <v>86.204325479344234</v>
      </c>
      <c r="AP93">
        <v>86.072301727709814</v>
      </c>
      <c r="AQ93">
        <v>86.009842045078344</v>
      </c>
      <c r="AR93">
        <v>85.988130569553661</v>
      </c>
      <c r="AS93">
        <v>85.97220167611718</v>
      </c>
      <c r="AT93">
        <v>85.944960233909228</v>
      </c>
      <c r="AU93">
        <v>85.884114887128746</v>
      </c>
      <c r="AV93">
        <v>85.79201571349877</v>
      </c>
      <c r="AW93">
        <v>85.672319494601567</v>
      </c>
      <c r="AX93">
        <v>85.537824847324458</v>
      </c>
      <c r="AY93">
        <v>85.403716393230198</v>
      </c>
      <c r="BA93" s="1">
        <v>1</v>
      </c>
      <c r="BB93" t="str">
        <f t="shared" si="1"/>
        <v>Pe - Sertao Pernambucano</v>
      </c>
      <c r="BC93" s="3">
        <v>63.94530518519219</v>
      </c>
      <c r="BD93" s="3">
        <v>48.833681461082307</v>
      </c>
      <c r="BE93" s="3">
        <v>41.326885800380083</v>
      </c>
      <c r="BF93" s="3">
        <v>36.232656842854411</v>
      </c>
      <c r="BG93" s="3">
        <v>19.605623916478642</v>
      </c>
      <c r="BH93" s="3">
        <v>19.698329668596742</v>
      </c>
      <c r="BI93" s="3">
        <v>3.0866224281770371</v>
      </c>
      <c r="BJ93" s="3">
        <v>2.5180103673485377</v>
      </c>
      <c r="BK93" s="3">
        <v>-1.9124242753399159</v>
      </c>
      <c r="BL93" s="3">
        <v>-5.9393098172534593</v>
      </c>
      <c r="BM93" s="3">
        <v>-7.8102840845789956</v>
      </c>
      <c r="BN93" s="3">
        <v>-13.24289853989174</v>
      </c>
      <c r="BO93" s="3">
        <v>-13.647628238370444</v>
      </c>
      <c r="BP93" s="3">
        <v>-15.890591145536845</v>
      </c>
      <c r="BQ93" s="3">
        <v>-16.459138015111137</v>
      </c>
      <c r="BR93" s="3">
        <v>-17.263880686884519</v>
      </c>
      <c r="BS93" s="3">
        <v>-19.067570633194677</v>
      </c>
      <c r="BT93" s="3">
        <v>-20.395833984494573</v>
      </c>
      <c r="BU93" s="3">
        <v>-23.009085619612833</v>
      </c>
      <c r="BV93" s="3">
        <v>-25.166499005510886</v>
      </c>
      <c r="BW93" s="3">
        <v>-27.500117841993188</v>
      </c>
      <c r="BX93" s="3">
        <v>-29.470108851580292</v>
      </c>
      <c r="BY93" s="3">
        <v>-30.891338476571704</v>
      </c>
      <c r="BZ93" s="3">
        <v>-32.193285683536089</v>
      </c>
      <c r="CA93" s="3">
        <v>-33.084741862293342</v>
      </c>
      <c r="CB93" s="3">
        <v>-34.037064020275807</v>
      </c>
      <c r="CC93" s="3">
        <v>-34.937633433264097</v>
      </c>
      <c r="CD93" s="3">
        <v>-35.911779854107607</v>
      </c>
      <c r="CE93" s="3">
        <v>-37.000384310550402</v>
      </c>
      <c r="CF93" s="3">
        <v>-38.101400520953646</v>
      </c>
      <c r="CG93" s="3">
        <v>-39.276959969127759</v>
      </c>
      <c r="CH93" s="3">
        <v>-40.411458185795283</v>
      </c>
      <c r="CI93" s="3">
        <v>-41.517296827708606</v>
      </c>
      <c r="CJ93" s="3">
        <v>-42.550454239904511</v>
      </c>
      <c r="CK93" s="3">
        <v>-43.486847442951543</v>
      </c>
      <c r="CL93" s="3">
        <v>-44.34285365157443</v>
      </c>
      <c r="CM93" s="3">
        <v>-45.108274682122726</v>
      </c>
      <c r="CN93" s="3">
        <v>-45.823695875084638</v>
      </c>
      <c r="CO93" s="3">
        <v>-46.505609503313806</v>
      </c>
      <c r="CP93" s="3">
        <v>-47.181366405496149</v>
      </c>
      <c r="CQ93" s="3">
        <v>-47.867010540382225</v>
      </c>
      <c r="CR93" s="3">
        <v>-48.560587347843139</v>
      </c>
      <c r="CS93" s="3">
        <v>-49.259243406843268</v>
      </c>
      <c r="CT93" s="3">
        <v>-49.945132821709535</v>
      </c>
      <c r="CU93" s="3">
        <v>-50.606300428276356</v>
      </c>
      <c r="CV93" s="3">
        <v>-51.231447794279759</v>
      </c>
      <c r="CW93" s="3">
        <v>-51.815806576388837</v>
      </c>
      <c r="CX93" s="3">
        <v>-52.362123022749074</v>
      </c>
      <c r="CY93" s="3">
        <v>-52.875315054051256</v>
      </c>
    </row>
    <row r="94" spans="1:103" x14ac:dyDescent="0.25">
      <c r="A94" t="s">
        <v>49</v>
      </c>
      <c r="B94" t="s">
        <v>5</v>
      </c>
      <c r="C94">
        <v>44.818140663032587</v>
      </c>
      <c r="D94">
        <v>12.984679416839965</v>
      </c>
      <c r="E94">
        <v>52.277659332123079</v>
      </c>
      <c r="F94">
        <v>33.606719048264253</v>
      </c>
      <c r="G94">
        <v>60.018645667159497</v>
      </c>
      <c r="H94">
        <v>76.445290060535413</v>
      </c>
      <c r="I94">
        <v>79.643901065654788</v>
      </c>
      <c r="J94">
        <v>96.298724331376434</v>
      </c>
      <c r="K94">
        <v>93.646294714971134</v>
      </c>
      <c r="L94">
        <v>105.16704782492576</v>
      </c>
      <c r="M94">
        <v>105.35319408932108</v>
      </c>
      <c r="N94">
        <v>105.51668756825316</v>
      </c>
      <c r="O94">
        <v>106.07816191716994</v>
      </c>
      <c r="P94">
        <v>102.75320547795172</v>
      </c>
      <c r="Q94">
        <v>104.49005579824356</v>
      </c>
      <c r="R94">
        <v>103.98364734916063</v>
      </c>
      <c r="S94">
        <v>106.66887121932767</v>
      </c>
      <c r="T94">
        <v>109.73650326673921</v>
      </c>
      <c r="U94">
        <v>112.79670176764846</v>
      </c>
      <c r="V94">
        <v>116.51025467213353</v>
      </c>
      <c r="W94">
        <v>118.53298801827518</v>
      </c>
      <c r="X94">
        <v>120.45782118320599</v>
      </c>
      <c r="Y94">
        <v>121.17709090256629</v>
      </c>
      <c r="Z94">
        <v>121.52038851712223</v>
      </c>
      <c r="AA94">
        <v>121.75702999272181</v>
      </c>
      <c r="AB94">
        <v>121.85348243570651</v>
      </c>
      <c r="AC94">
        <v>122.42424268142325</v>
      </c>
      <c r="AD94">
        <v>123.141349617599</v>
      </c>
      <c r="AE94">
        <v>124.24885506794777</v>
      </c>
      <c r="AF94">
        <v>125.51846518444664</v>
      </c>
      <c r="AG94">
        <v>126.82712373183219</v>
      </c>
      <c r="AH94">
        <v>128.12078649217031</v>
      </c>
      <c r="AI94">
        <v>129.20578691487631</v>
      </c>
      <c r="AJ94">
        <v>130.1243067954108</v>
      </c>
      <c r="AK94">
        <v>130.81566846837649</v>
      </c>
      <c r="AL94">
        <v>131.35317615465243</v>
      </c>
      <c r="AM94">
        <v>131.80570375343535</v>
      </c>
      <c r="AN94">
        <v>132.23080201139132</v>
      </c>
      <c r="AO94">
        <v>132.70993498265804</v>
      </c>
      <c r="AP94">
        <v>133.25366813320596</v>
      </c>
      <c r="AQ94">
        <v>133.87685258546057</v>
      </c>
      <c r="AR94">
        <v>134.5487179173968</v>
      </c>
      <c r="AS94">
        <v>135.23144508296045</v>
      </c>
      <c r="AT94">
        <v>135.89009305561876</v>
      </c>
      <c r="AU94">
        <v>136.4904153154051</v>
      </c>
      <c r="AV94">
        <v>137.02346350777853</v>
      </c>
      <c r="AW94">
        <v>137.4881260709904</v>
      </c>
      <c r="AX94">
        <v>137.89994787007353</v>
      </c>
      <c r="AY94">
        <v>138.27903144728145</v>
      </c>
      <c r="BA94" s="1">
        <v>-1</v>
      </c>
      <c r="BB94" t="str">
        <f t="shared" si="1"/>
        <v>Pe - Sertao Pernambucano</v>
      </c>
      <c r="BC94" s="3" t="s">
        <v>144</v>
      </c>
      <c r="BD94" s="3" t="s">
        <v>144</v>
      </c>
      <c r="BE94" s="3" t="s">
        <v>144</v>
      </c>
      <c r="BF94" s="3" t="s">
        <v>144</v>
      </c>
      <c r="BG94" s="3" t="s">
        <v>144</v>
      </c>
      <c r="BH94" s="3" t="s">
        <v>144</v>
      </c>
      <c r="BI94" s="3" t="s">
        <v>144</v>
      </c>
      <c r="BJ94" s="3" t="s">
        <v>144</v>
      </c>
      <c r="BK94" s="3" t="s">
        <v>144</v>
      </c>
      <c r="BL94" s="3" t="s">
        <v>144</v>
      </c>
      <c r="BM94" s="3" t="s">
        <v>144</v>
      </c>
      <c r="BN94" s="3" t="s">
        <v>144</v>
      </c>
      <c r="BO94" s="3" t="s">
        <v>144</v>
      </c>
      <c r="BP94" s="3" t="s">
        <v>144</v>
      </c>
      <c r="BQ94" s="3" t="s">
        <v>144</v>
      </c>
      <c r="BR94" s="3" t="s">
        <v>144</v>
      </c>
      <c r="BS94" s="3" t="s">
        <v>144</v>
      </c>
      <c r="BT94" s="3" t="s">
        <v>144</v>
      </c>
      <c r="BU94" s="3" t="s">
        <v>144</v>
      </c>
      <c r="BV94" s="3" t="s">
        <v>144</v>
      </c>
      <c r="BW94" s="3" t="s">
        <v>144</v>
      </c>
      <c r="BX94" s="3" t="s">
        <v>144</v>
      </c>
      <c r="BY94" s="3" t="s">
        <v>144</v>
      </c>
      <c r="BZ94" s="3" t="s">
        <v>144</v>
      </c>
      <c r="CA94" s="3" t="s">
        <v>144</v>
      </c>
      <c r="CB94" s="3" t="s">
        <v>144</v>
      </c>
      <c r="CC94" s="3" t="s">
        <v>144</v>
      </c>
      <c r="CD94" s="3" t="s">
        <v>144</v>
      </c>
      <c r="CE94" s="3" t="s">
        <v>144</v>
      </c>
      <c r="CF94" s="3" t="s">
        <v>144</v>
      </c>
      <c r="CG94" s="3" t="s">
        <v>144</v>
      </c>
      <c r="CH94" s="3" t="s">
        <v>144</v>
      </c>
      <c r="CI94" s="3" t="s">
        <v>144</v>
      </c>
      <c r="CJ94" s="3" t="s">
        <v>144</v>
      </c>
      <c r="CK94" s="3" t="s">
        <v>144</v>
      </c>
      <c r="CL94" s="3" t="s">
        <v>144</v>
      </c>
      <c r="CM94" s="3" t="s">
        <v>144</v>
      </c>
      <c r="CN94" s="3" t="s">
        <v>144</v>
      </c>
      <c r="CO94" s="3" t="s">
        <v>144</v>
      </c>
      <c r="CP94" s="3" t="s">
        <v>144</v>
      </c>
      <c r="CQ94" s="3" t="s">
        <v>144</v>
      </c>
      <c r="CR94" s="3" t="s">
        <v>144</v>
      </c>
      <c r="CS94" s="3" t="s">
        <v>144</v>
      </c>
      <c r="CT94" s="3" t="s">
        <v>144</v>
      </c>
      <c r="CU94" s="3" t="s">
        <v>144</v>
      </c>
      <c r="CV94" s="3" t="s">
        <v>144</v>
      </c>
      <c r="CW94" s="3" t="s">
        <v>144</v>
      </c>
      <c r="CX94" s="3" t="s">
        <v>144</v>
      </c>
      <c r="CY94" s="3" t="s">
        <v>144</v>
      </c>
    </row>
    <row r="95" spans="1:103" x14ac:dyDescent="0.25">
      <c r="A95" t="s">
        <v>50</v>
      </c>
      <c r="B95" t="s">
        <v>4</v>
      </c>
      <c r="C95">
        <v>118.63443605533539</v>
      </c>
      <c r="D95">
        <v>267.26859887438678</v>
      </c>
      <c r="E95">
        <v>320.72580132377578</v>
      </c>
      <c r="F95">
        <v>434.73907751567265</v>
      </c>
      <c r="G95">
        <v>312.0004881120928</v>
      </c>
      <c r="H95">
        <v>215.2051711466126</v>
      </c>
      <c r="I95">
        <v>149.30226809644594</v>
      </c>
      <c r="J95">
        <v>155.70499180655366</v>
      </c>
      <c r="K95">
        <v>212.28396229215136</v>
      </c>
      <c r="L95">
        <v>230.85749455741015</v>
      </c>
      <c r="M95">
        <v>255.59475708657928</v>
      </c>
      <c r="N95">
        <v>253.00286308195447</v>
      </c>
      <c r="O95">
        <v>247.22124615720776</v>
      </c>
      <c r="P95">
        <v>236.90639774100725</v>
      </c>
      <c r="Q95">
        <v>223.23663744977918</v>
      </c>
      <c r="R95">
        <v>223.63088289666544</v>
      </c>
      <c r="S95">
        <v>226.97103970071535</v>
      </c>
      <c r="T95">
        <v>238.19277778554167</v>
      </c>
      <c r="U95">
        <v>248.04730075932906</v>
      </c>
      <c r="V95">
        <v>254.98842715365831</v>
      </c>
      <c r="W95">
        <v>259.62153825087017</v>
      </c>
      <c r="X95">
        <v>259.64681226446066</v>
      </c>
      <c r="Y95">
        <v>258.68375645348505</v>
      </c>
      <c r="Z95">
        <v>256.01959221821335</v>
      </c>
      <c r="AA95">
        <v>253.95587364580055</v>
      </c>
      <c r="AB95">
        <v>253.03958188181818</v>
      </c>
      <c r="AC95">
        <v>253.19380552374452</v>
      </c>
      <c r="AD95">
        <v>254.87086468343833</v>
      </c>
      <c r="AE95">
        <v>257.09673088190186</v>
      </c>
      <c r="AF95">
        <v>259.87039402126805</v>
      </c>
      <c r="AG95">
        <v>262.49193429100438</v>
      </c>
      <c r="AH95">
        <v>264.64411128354919</v>
      </c>
      <c r="AI95">
        <v>266.19436818625792</v>
      </c>
      <c r="AJ95">
        <v>266.98318556801524</v>
      </c>
      <c r="AK95">
        <v>267.29197428033649</v>
      </c>
      <c r="AL95">
        <v>267.26168930531406</v>
      </c>
      <c r="AM95">
        <v>267.21556481873688</v>
      </c>
      <c r="AN95">
        <v>267.36283270435138</v>
      </c>
      <c r="AO95">
        <v>267.8093881595625</v>
      </c>
      <c r="AP95">
        <v>268.59903066781698</v>
      </c>
      <c r="AQ95">
        <v>269.61830882576999</v>
      </c>
      <c r="AR95">
        <v>270.7558037272222</v>
      </c>
      <c r="AS95">
        <v>271.8580520793264</v>
      </c>
      <c r="AT95">
        <v>272.8183684201461</v>
      </c>
      <c r="AU95">
        <v>273.58475826845245</v>
      </c>
      <c r="AV95">
        <v>274.14913811779383</v>
      </c>
      <c r="AW95">
        <v>274.56149544624208</v>
      </c>
      <c r="AX95">
        <v>274.88299966971891</v>
      </c>
      <c r="AY95">
        <v>275.18565313704278</v>
      </c>
      <c r="BA95" s="1">
        <v>1</v>
      </c>
      <c r="BB95" t="str">
        <f t="shared" si="1"/>
        <v>Pe - Sao Francisco PE</v>
      </c>
      <c r="BC95" s="3">
        <v>212.15299539408898</v>
      </c>
      <c r="BD95" s="3">
        <v>306.82496971912337</v>
      </c>
      <c r="BE95" s="3">
        <v>131.43930817072882</v>
      </c>
      <c r="BF95" s="3">
        <v>230.54174834641617</v>
      </c>
      <c r="BG95" s="3">
        <v>-13.373650297497022</v>
      </c>
      <c r="BH95" s="3">
        <v>-176.24204387987731</v>
      </c>
      <c r="BI95" s="3">
        <v>-269.37439046524219</v>
      </c>
      <c r="BJ95" s="3">
        <v>-244.75378488714358</v>
      </c>
      <c r="BK95" s="3">
        <v>-126.17745451833983</v>
      </c>
      <c r="BL95" s="3">
        <v>-113.92764856588204</v>
      </c>
      <c r="BM95" s="3">
        <v>-102.69810191329091</v>
      </c>
      <c r="BN95" s="3">
        <v>-136.60754442985686</v>
      </c>
      <c r="BO95" s="3">
        <v>-155.62363863689689</v>
      </c>
      <c r="BP95" s="3">
        <v>-158.00636808692786</v>
      </c>
      <c r="BQ95" s="3">
        <v>-159.65080234815056</v>
      </c>
      <c r="BR95" s="3">
        <v>-133.82134389311184</v>
      </c>
      <c r="BS95" s="3">
        <v>-111.15008837860827</v>
      </c>
      <c r="BT95" s="3">
        <v>-83.956228741053707</v>
      </c>
      <c r="BU95" s="3">
        <v>-68.53774863082964</v>
      </c>
      <c r="BV95" s="3">
        <v>-65.660826197410159</v>
      </c>
      <c r="BW95" s="3">
        <v>-67.902363927239094</v>
      </c>
      <c r="BX95" s="3">
        <v>-76.610998930658752</v>
      </c>
      <c r="BY95" s="3">
        <v>-82.103340489792231</v>
      </c>
      <c r="BZ95" s="3">
        <v>-85.802780208912679</v>
      </c>
      <c r="CA95" s="3">
        <v>-84.676135839385239</v>
      </c>
      <c r="CB95" s="3">
        <v>-79.157176293048821</v>
      </c>
      <c r="CC95" s="3">
        <v>-71.517023927008665</v>
      </c>
      <c r="CD95" s="3">
        <v>-62.081220824214512</v>
      </c>
      <c r="CE95" s="3">
        <v>-53.698634991571851</v>
      </c>
      <c r="CF95" s="3">
        <v>-46.527202528226439</v>
      </c>
      <c r="CG95" s="3">
        <v>-41.514714606605708</v>
      </c>
      <c r="CH95" s="3">
        <v>-38.635130186718413</v>
      </c>
      <c r="CI95" s="3">
        <v>-37.239352429451515</v>
      </c>
      <c r="CJ95" s="3">
        <v>-36.935279923249652</v>
      </c>
      <c r="CK95" s="3">
        <v>-36.630979501860963</v>
      </c>
      <c r="CL95" s="3">
        <v>-35.862544927161935</v>
      </c>
      <c r="CM95" s="3">
        <v>-34.138441632033391</v>
      </c>
      <c r="CN95" s="3">
        <v>-31.399865375554327</v>
      </c>
      <c r="CO95" s="3">
        <v>-27.925263979061754</v>
      </c>
      <c r="CP95" s="3">
        <v>-24.049591651753701</v>
      </c>
      <c r="CQ95" s="3">
        <v>-20.289784577761793</v>
      </c>
      <c r="CR95" s="3">
        <v>-16.961104232798675</v>
      </c>
      <c r="CS95" s="3">
        <v>-14.279479972757088</v>
      </c>
      <c r="CT95" s="3">
        <v>-12.252622570652022</v>
      </c>
      <c r="CU95" s="3">
        <v>-10.728489186569561</v>
      </c>
      <c r="CV95" s="3">
        <v>-9.5033445739541662</v>
      </c>
      <c r="CW95" s="3">
        <v>-8.3339483823984892</v>
      </c>
      <c r="CX95" s="3">
        <v>-7.0536908860801759</v>
      </c>
      <c r="CY95" s="3">
        <v>-5.562782300726667</v>
      </c>
    </row>
    <row r="96" spans="1:103" x14ac:dyDescent="0.25">
      <c r="A96" t="s">
        <v>50</v>
      </c>
      <c r="B96" t="s">
        <v>5</v>
      </c>
      <c r="C96">
        <v>-93.518559338753576</v>
      </c>
      <c r="D96">
        <v>-39.556370844736577</v>
      </c>
      <c r="E96">
        <v>189.28649315304696</v>
      </c>
      <c r="F96">
        <v>204.19732916925648</v>
      </c>
      <c r="G96">
        <v>325.37413840958982</v>
      </c>
      <c r="H96">
        <v>391.44721502648991</v>
      </c>
      <c r="I96">
        <v>418.6766585616881</v>
      </c>
      <c r="J96">
        <v>400.45877669369725</v>
      </c>
      <c r="K96">
        <v>338.46141681049119</v>
      </c>
      <c r="L96">
        <v>344.78514312329219</v>
      </c>
      <c r="M96">
        <v>358.29285899987019</v>
      </c>
      <c r="N96">
        <v>389.61040751181133</v>
      </c>
      <c r="O96">
        <v>402.84488479410464</v>
      </c>
      <c r="P96">
        <v>394.91276582793512</v>
      </c>
      <c r="Q96">
        <v>382.88743979792974</v>
      </c>
      <c r="R96">
        <v>357.45222678977728</v>
      </c>
      <c r="S96">
        <v>338.12112807932363</v>
      </c>
      <c r="T96">
        <v>322.14900652659537</v>
      </c>
      <c r="U96">
        <v>316.5850493901587</v>
      </c>
      <c r="V96">
        <v>320.64925335106847</v>
      </c>
      <c r="W96">
        <v>327.52390217810927</v>
      </c>
      <c r="X96">
        <v>336.25781119511942</v>
      </c>
      <c r="Y96">
        <v>340.78709694327728</v>
      </c>
      <c r="Z96">
        <v>341.82237242712603</v>
      </c>
      <c r="AA96">
        <v>338.63200948518579</v>
      </c>
      <c r="AB96">
        <v>332.196758174867</v>
      </c>
      <c r="AC96">
        <v>324.71082945075318</v>
      </c>
      <c r="AD96">
        <v>316.95208550765284</v>
      </c>
      <c r="AE96">
        <v>310.79536587347371</v>
      </c>
      <c r="AF96">
        <v>306.39759654949449</v>
      </c>
      <c r="AG96">
        <v>304.00664889761009</v>
      </c>
      <c r="AH96">
        <v>303.27924147026761</v>
      </c>
      <c r="AI96">
        <v>303.43372061570943</v>
      </c>
      <c r="AJ96">
        <v>303.9184654912649</v>
      </c>
      <c r="AK96">
        <v>303.92295378219745</v>
      </c>
      <c r="AL96">
        <v>303.124234232476</v>
      </c>
      <c r="AM96">
        <v>301.35400645077027</v>
      </c>
      <c r="AN96">
        <v>298.7626980799057</v>
      </c>
      <c r="AO96">
        <v>295.73465213862426</v>
      </c>
      <c r="AP96">
        <v>292.64862231957068</v>
      </c>
      <c r="AQ96">
        <v>289.90809340353178</v>
      </c>
      <c r="AR96">
        <v>287.71690796002088</v>
      </c>
      <c r="AS96">
        <v>286.13753205208349</v>
      </c>
      <c r="AT96">
        <v>285.07099099079812</v>
      </c>
      <c r="AU96">
        <v>284.31324745502201</v>
      </c>
      <c r="AV96">
        <v>283.65248269174799</v>
      </c>
      <c r="AW96">
        <v>282.89544382864057</v>
      </c>
      <c r="AX96">
        <v>281.93669055579909</v>
      </c>
      <c r="AY96">
        <v>280.74843543776944</v>
      </c>
      <c r="BA96" s="1">
        <v>-1</v>
      </c>
      <c r="BB96" t="str">
        <f t="shared" si="1"/>
        <v>Pe - Sao Francisco PE</v>
      </c>
      <c r="BC96" s="3" t="s">
        <v>144</v>
      </c>
      <c r="BD96" s="3" t="s">
        <v>144</v>
      </c>
      <c r="BE96" s="3" t="s">
        <v>144</v>
      </c>
      <c r="BF96" s="3" t="s">
        <v>144</v>
      </c>
      <c r="BG96" s="3" t="s">
        <v>144</v>
      </c>
      <c r="BH96" s="3" t="s">
        <v>144</v>
      </c>
      <c r="BI96" s="3" t="s">
        <v>144</v>
      </c>
      <c r="BJ96" s="3" t="s">
        <v>144</v>
      </c>
      <c r="BK96" s="3" t="s">
        <v>144</v>
      </c>
      <c r="BL96" s="3" t="s">
        <v>144</v>
      </c>
      <c r="BM96" s="3" t="s">
        <v>144</v>
      </c>
      <c r="BN96" s="3" t="s">
        <v>144</v>
      </c>
      <c r="BO96" s="3" t="s">
        <v>144</v>
      </c>
      <c r="BP96" s="3" t="s">
        <v>144</v>
      </c>
      <c r="BQ96" s="3" t="s">
        <v>144</v>
      </c>
      <c r="BR96" s="3" t="s">
        <v>144</v>
      </c>
      <c r="BS96" s="3" t="s">
        <v>144</v>
      </c>
      <c r="BT96" s="3" t="s">
        <v>144</v>
      </c>
      <c r="BU96" s="3" t="s">
        <v>144</v>
      </c>
      <c r="BV96" s="3" t="s">
        <v>144</v>
      </c>
      <c r="BW96" s="3" t="s">
        <v>144</v>
      </c>
      <c r="BX96" s="3" t="s">
        <v>144</v>
      </c>
      <c r="BY96" s="3" t="s">
        <v>144</v>
      </c>
      <c r="BZ96" s="3" t="s">
        <v>144</v>
      </c>
      <c r="CA96" s="3" t="s">
        <v>144</v>
      </c>
      <c r="CB96" s="3" t="s">
        <v>144</v>
      </c>
      <c r="CC96" s="3" t="s">
        <v>144</v>
      </c>
      <c r="CD96" s="3" t="s">
        <v>144</v>
      </c>
      <c r="CE96" s="3" t="s">
        <v>144</v>
      </c>
      <c r="CF96" s="3" t="s">
        <v>144</v>
      </c>
      <c r="CG96" s="3" t="s">
        <v>144</v>
      </c>
      <c r="CH96" s="3" t="s">
        <v>144</v>
      </c>
      <c r="CI96" s="3" t="s">
        <v>144</v>
      </c>
      <c r="CJ96" s="3" t="s">
        <v>144</v>
      </c>
      <c r="CK96" s="3" t="s">
        <v>144</v>
      </c>
      <c r="CL96" s="3" t="s">
        <v>144</v>
      </c>
      <c r="CM96" s="3" t="s">
        <v>144</v>
      </c>
      <c r="CN96" s="3" t="s">
        <v>144</v>
      </c>
      <c r="CO96" s="3" t="s">
        <v>144</v>
      </c>
      <c r="CP96" s="3" t="s">
        <v>144</v>
      </c>
      <c r="CQ96" s="3" t="s">
        <v>144</v>
      </c>
      <c r="CR96" s="3" t="s">
        <v>144</v>
      </c>
      <c r="CS96" s="3" t="s">
        <v>144</v>
      </c>
      <c r="CT96" s="3" t="s">
        <v>144</v>
      </c>
      <c r="CU96" s="3" t="s">
        <v>144</v>
      </c>
      <c r="CV96" s="3" t="s">
        <v>144</v>
      </c>
      <c r="CW96" s="3" t="s">
        <v>144</v>
      </c>
      <c r="CX96" s="3" t="s">
        <v>144</v>
      </c>
      <c r="CY96" s="3" t="s">
        <v>144</v>
      </c>
    </row>
    <row r="97" spans="1:103" x14ac:dyDescent="0.25">
      <c r="A97" t="s">
        <v>51</v>
      </c>
      <c r="B97" t="s">
        <v>4</v>
      </c>
      <c r="C97">
        <v>279.87837061137998</v>
      </c>
      <c r="D97">
        <v>233.10421701342656</v>
      </c>
      <c r="E97">
        <v>259.87034714835505</v>
      </c>
      <c r="F97">
        <v>238.40136425484451</v>
      </c>
      <c r="G97">
        <v>244.41959928055198</v>
      </c>
      <c r="H97">
        <v>295.24965635602319</v>
      </c>
      <c r="I97">
        <v>291.47704078542063</v>
      </c>
      <c r="J97">
        <v>328.50973598955215</v>
      </c>
      <c r="K97">
        <v>338.40466941632423</v>
      </c>
      <c r="L97">
        <v>357.16410823430067</v>
      </c>
      <c r="M97">
        <v>366.59842001535571</v>
      </c>
      <c r="N97">
        <v>360.39032549127489</v>
      </c>
      <c r="O97">
        <v>362.1321842562844</v>
      </c>
      <c r="P97">
        <v>354.90180955442656</v>
      </c>
      <c r="Q97">
        <v>355.82057662201419</v>
      </c>
      <c r="R97">
        <v>355.92555794995224</v>
      </c>
      <c r="S97">
        <v>358.2869026967719</v>
      </c>
      <c r="T97">
        <v>364.44142536785859</v>
      </c>
      <c r="U97">
        <v>369.00524198792192</v>
      </c>
      <c r="V97">
        <v>375.38595369019322</v>
      </c>
      <c r="W97">
        <v>379.10127335979467</v>
      </c>
      <c r="X97">
        <v>381.96291823272929</v>
      </c>
      <c r="Y97">
        <v>383.42887697737069</v>
      </c>
      <c r="Z97">
        <v>383.36403541474056</v>
      </c>
      <c r="AA97">
        <v>383.22532153128844</v>
      </c>
      <c r="AB97">
        <v>382.47795273289017</v>
      </c>
      <c r="AC97">
        <v>382.40326994836659</v>
      </c>
      <c r="AD97">
        <v>382.79163348139082</v>
      </c>
      <c r="AE97">
        <v>383.83123089376812</v>
      </c>
      <c r="AF97">
        <v>385.49763701054582</v>
      </c>
      <c r="AG97">
        <v>387.31795047232629</v>
      </c>
      <c r="AH97">
        <v>389.25232744106171</v>
      </c>
      <c r="AI97">
        <v>390.86830683906675</v>
      </c>
      <c r="AJ97">
        <v>392.1257261247992</v>
      </c>
      <c r="AK97">
        <v>392.96569266607185</v>
      </c>
      <c r="AL97">
        <v>393.43951389602347</v>
      </c>
      <c r="AM97">
        <v>393.74071112354432</v>
      </c>
      <c r="AN97">
        <v>393.97052403564845</v>
      </c>
      <c r="AO97">
        <v>394.30100878582374</v>
      </c>
      <c r="AP97">
        <v>394.7826686115655</v>
      </c>
      <c r="AQ97">
        <v>395.43533068003615</v>
      </c>
      <c r="AR97">
        <v>396.22642282041426</v>
      </c>
      <c r="AS97">
        <v>397.07456876680072</v>
      </c>
      <c r="AT97">
        <v>397.9162013935794</v>
      </c>
      <c r="AU97">
        <v>398.67882484438979</v>
      </c>
      <c r="AV97">
        <v>399.33126894178008</v>
      </c>
      <c r="AW97">
        <v>399.86511330373372</v>
      </c>
      <c r="AX97">
        <v>400.29749245711514</v>
      </c>
      <c r="AY97">
        <v>400.66583418595673</v>
      </c>
      <c r="BA97" s="1">
        <v>1</v>
      </c>
      <c r="BB97" t="str">
        <f t="shared" si="1"/>
        <v>Pe - Agreste Pernambucano</v>
      </c>
      <c r="BC97" s="3">
        <v>224.64177375162382</v>
      </c>
      <c r="BD97" s="3">
        <v>304.8005003731156</v>
      </c>
      <c r="BE97" s="3">
        <v>218.40958526688505</v>
      </c>
      <c r="BF97" s="3">
        <v>272.12489927779416</v>
      </c>
      <c r="BG97" s="3">
        <v>195.70008120009857</v>
      </c>
      <c r="BH97" s="3">
        <v>199.57942435612506</v>
      </c>
      <c r="BI97" s="3">
        <v>174.68998826588808</v>
      </c>
      <c r="BJ97" s="3">
        <v>157.00488315265946</v>
      </c>
      <c r="BK97" s="3">
        <v>171.2959058079571</v>
      </c>
      <c r="BL97" s="3">
        <v>150.21430247166776</v>
      </c>
      <c r="BM97" s="3">
        <v>153.62238473770057</v>
      </c>
      <c r="BN97" s="3">
        <v>136.44652248903881</v>
      </c>
      <c r="BO97" s="3">
        <v>127.13900108014164</v>
      </c>
      <c r="BP97" s="3">
        <v>119.88903641616338</v>
      </c>
      <c r="BQ97" s="3">
        <v>107.52087956883463</v>
      </c>
      <c r="BR97" s="3">
        <v>103.58964880530471</v>
      </c>
      <c r="BS97" s="3">
        <v>94.012951484608038</v>
      </c>
      <c r="BT97" s="3">
        <v>89.343402079866678</v>
      </c>
      <c r="BU97" s="3">
        <v>83.364148473088335</v>
      </c>
      <c r="BV97" s="3">
        <v>77.338975528467643</v>
      </c>
      <c r="BW97" s="3">
        <v>72.946600181608346</v>
      </c>
      <c r="BX97" s="3">
        <v>67.070581926297848</v>
      </c>
      <c r="BY97" s="3">
        <v>62.83933622121333</v>
      </c>
      <c r="BZ97" s="3">
        <v>57.665123808045507</v>
      </c>
      <c r="CA97" s="3">
        <v>52.790170096365273</v>
      </c>
      <c r="CB97" s="3">
        <v>47.925620350644351</v>
      </c>
      <c r="CC97" s="3">
        <v>42.792770756559946</v>
      </c>
      <c r="CD97" s="3">
        <v>38.253367973075115</v>
      </c>
      <c r="CE97" s="3">
        <v>33.686290054583651</v>
      </c>
      <c r="CF97" s="3">
        <v>29.694108208906187</v>
      </c>
      <c r="CG97" s="3">
        <v>25.947674019107922</v>
      </c>
      <c r="CH97" s="3">
        <v>22.428925276458131</v>
      </c>
      <c r="CI97" s="3">
        <v>19.12614617297686</v>
      </c>
      <c r="CJ97" s="3">
        <v>15.792231005301915</v>
      </c>
      <c r="CK97" s="3">
        <v>12.556315655402273</v>
      </c>
      <c r="CL97" s="3">
        <v>9.2954221242700896</v>
      </c>
      <c r="CM97" s="3">
        <v>6.1062389856614345</v>
      </c>
      <c r="CN97" s="3">
        <v>3.0100900656296403</v>
      </c>
      <c r="CO97" s="3">
        <v>1.4696210855106528E-2</v>
      </c>
      <c r="CP97" s="3">
        <v>-2.825867610357534</v>
      </c>
      <c r="CQ97" s="3">
        <v>-5.546786478465151</v>
      </c>
      <c r="CR97" s="3">
        <v>-8.1255820362383702</v>
      </c>
      <c r="CS97" s="3">
        <v>-10.58891052928891</v>
      </c>
      <c r="CT97" s="3">
        <v>-12.947403496496008</v>
      </c>
      <c r="CU97" s="3">
        <v>-15.210590849210632</v>
      </c>
      <c r="CV97" s="3">
        <v>-17.401065992986389</v>
      </c>
      <c r="CW97" s="3">
        <v>-19.521526550809426</v>
      </c>
      <c r="CX97" s="3">
        <v>-21.585757270509077</v>
      </c>
      <c r="CY97" s="3">
        <v>-23.592430783549219</v>
      </c>
    </row>
    <row r="98" spans="1:103" x14ac:dyDescent="0.25">
      <c r="A98" t="s">
        <v>51</v>
      </c>
      <c r="B98" t="s">
        <v>5</v>
      </c>
      <c r="C98">
        <v>55.236596859756155</v>
      </c>
      <c r="D98">
        <v>-71.696283359689019</v>
      </c>
      <c r="E98">
        <v>41.460761881470013</v>
      </c>
      <c r="F98">
        <v>-33.723535022949662</v>
      </c>
      <c r="G98">
        <v>48.719518080453405</v>
      </c>
      <c r="H98">
        <v>95.670231999898121</v>
      </c>
      <c r="I98">
        <v>116.78705251953257</v>
      </c>
      <c r="J98">
        <v>171.5048528368927</v>
      </c>
      <c r="K98">
        <v>167.10876360836713</v>
      </c>
      <c r="L98">
        <v>206.94980576263291</v>
      </c>
      <c r="M98">
        <v>212.97603527765514</v>
      </c>
      <c r="N98">
        <v>223.94380300223608</v>
      </c>
      <c r="O98">
        <v>234.99318317614276</v>
      </c>
      <c r="P98">
        <v>235.01277313826319</v>
      </c>
      <c r="Q98">
        <v>248.29969705317956</v>
      </c>
      <c r="R98">
        <v>252.33590914464753</v>
      </c>
      <c r="S98">
        <v>264.27395121216387</v>
      </c>
      <c r="T98">
        <v>275.09802328799191</v>
      </c>
      <c r="U98">
        <v>285.64109351483359</v>
      </c>
      <c r="V98">
        <v>298.04697816172558</v>
      </c>
      <c r="W98">
        <v>306.15467317818633</v>
      </c>
      <c r="X98">
        <v>314.89233630643145</v>
      </c>
      <c r="Y98">
        <v>320.58954075615736</v>
      </c>
      <c r="Z98">
        <v>325.69891160669505</v>
      </c>
      <c r="AA98">
        <v>330.43515143492317</v>
      </c>
      <c r="AB98">
        <v>334.55233238224582</v>
      </c>
      <c r="AC98">
        <v>339.61049919180664</v>
      </c>
      <c r="AD98">
        <v>344.5382655083157</v>
      </c>
      <c r="AE98">
        <v>350.14494083918447</v>
      </c>
      <c r="AF98">
        <v>355.80352880163963</v>
      </c>
      <c r="AG98">
        <v>361.37027645321837</v>
      </c>
      <c r="AH98">
        <v>366.82340216460358</v>
      </c>
      <c r="AI98">
        <v>371.74216066608989</v>
      </c>
      <c r="AJ98">
        <v>376.33349511949729</v>
      </c>
      <c r="AK98">
        <v>380.40937701066957</v>
      </c>
      <c r="AL98">
        <v>384.14409177175338</v>
      </c>
      <c r="AM98">
        <v>387.63447213788288</v>
      </c>
      <c r="AN98">
        <v>390.96043397001881</v>
      </c>
      <c r="AO98">
        <v>394.28631257496863</v>
      </c>
      <c r="AP98">
        <v>397.60853622192303</v>
      </c>
      <c r="AQ98">
        <v>400.9821171585013</v>
      </c>
      <c r="AR98">
        <v>404.35200485665263</v>
      </c>
      <c r="AS98">
        <v>407.66347929608963</v>
      </c>
      <c r="AT98">
        <v>410.86360489007541</v>
      </c>
      <c r="AU98">
        <v>413.88941569360043</v>
      </c>
      <c r="AV98">
        <v>416.73233493476647</v>
      </c>
      <c r="AW98">
        <v>419.38663985454315</v>
      </c>
      <c r="AX98">
        <v>421.88324972762422</v>
      </c>
      <c r="AY98">
        <v>424.25826496950594</v>
      </c>
      <c r="BA98" s="1">
        <v>-1</v>
      </c>
      <c r="BB98" t="str">
        <f t="shared" si="1"/>
        <v>Pe - Agreste Pernambucano</v>
      </c>
      <c r="BC98" s="3" t="s">
        <v>144</v>
      </c>
      <c r="BD98" s="3" t="s">
        <v>144</v>
      </c>
      <c r="BE98" s="3" t="s">
        <v>144</v>
      </c>
      <c r="BF98" s="3" t="s">
        <v>144</v>
      </c>
      <c r="BG98" s="3" t="s">
        <v>144</v>
      </c>
      <c r="BH98" s="3" t="s">
        <v>144</v>
      </c>
      <c r="BI98" s="3" t="s">
        <v>144</v>
      </c>
      <c r="BJ98" s="3" t="s">
        <v>144</v>
      </c>
      <c r="BK98" s="3" t="s">
        <v>144</v>
      </c>
      <c r="BL98" s="3" t="s">
        <v>144</v>
      </c>
      <c r="BM98" s="3" t="s">
        <v>144</v>
      </c>
      <c r="BN98" s="3" t="s">
        <v>144</v>
      </c>
      <c r="BO98" s="3" t="s">
        <v>144</v>
      </c>
      <c r="BP98" s="3" t="s">
        <v>144</v>
      </c>
      <c r="BQ98" s="3" t="s">
        <v>144</v>
      </c>
      <c r="BR98" s="3" t="s">
        <v>144</v>
      </c>
      <c r="BS98" s="3" t="s">
        <v>144</v>
      </c>
      <c r="BT98" s="3" t="s">
        <v>144</v>
      </c>
      <c r="BU98" s="3" t="s">
        <v>144</v>
      </c>
      <c r="BV98" s="3" t="s">
        <v>144</v>
      </c>
      <c r="BW98" s="3" t="s">
        <v>144</v>
      </c>
      <c r="BX98" s="3" t="s">
        <v>144</v>
      </c>
      <c r="BY98" s="3" t="s">
        <v>144</v>
      </c>
      <c r="BZ98" s="3" t="s">
        <v>144</v>
      </c>
      <c r="CA98" s="3" t="s">
        <v>144</v>
      </c>
      <c r="CB98" s="3" t="s">
        <v>144</v>
      </c>
      <c r="CC98" s="3" t="s">
        <v>144</v>
      </c>
      <c r="CD98" s="3" t="s">
        <v>144</v>
      </c>
      <c r="CE98" s="3" t="s">
        <v>144</v>
      </c>
      <c r="CF98" s="3" t="s">
        <v>144</v>
      </c>
      <c r="CG98" s="3" t="s">
        <v>144</v>
      </c>
      <c r="CH98" s="3" t="s">
        <v>144</v>
      </c>
      <c r="CI98" s="3" t="s">
        <v>144</v>
      </c>
      <c r="CJ98" s="3" t="s">
        <v>144</v>
      </c>
      <c r="CK98" s="3" t="s">
        <v>144</v>
      </c>
      <c r="CL98" s="3" t="s">
        <v>144</v>
      </c>
      <c r="CM98" s="3" t="s">
        <v>144</v>
      </c>
      <c r="CN98" s="3" t="s">
        <v>144</v>
      </c>
      <c r="CO98" s="3" t="s">
        <v>144</v>
      </c>
      <c r="CP98" s="3" t="s">
        <v>144</v>
      </c>
      <c r="CQ98" s="3" t="s">
        <v>144</v>
      </c>
      <c r="CR98" s="3" t="s">
        <v>144</v>
      </c>
      <c r="CS98" s="3" t="s">
        <v>144</v>
      </c>
      <c r="CT98" s="3" t="s">
        <v>144</v>
      </c>
      <c r="CU98" s="3" t="s">
        <v>144</v>
      </c>
      <c r="CV98" s="3" t="s">
        <v>144</v>
      </c>
      <c r="CW98" s="3" t="s">
        <v>144</v>
      </c>
      <c r="CX98" s="3" t="s">
        <v>144</v>
      </c>
      <c r="CY98" s="3" t="s">
        <v>144</v>
      </c>
    </row>
    <row r="99" spans="1:103" x14ac:dyDescent="0.25">
      <c r="A99" t="s">
        <v>52</v>
      </c>
      <c r="B99" t="s">
        <v>4</v>
      </c>
      <c r="C99">
        <v>461.61151800231471</v>
      </c>
      <c r="D99">
        <v>1467.7703381492206</v>
      </c>
      <c r="E99">
        <v>881.76956300282268</v>
      </c>
      <c r="F99">
        <v>1050.7929636621059</v>
      </c>
      <c r="G99">
        <v>1181.9057310613366</v>
      </c>
      <c r="H99">
        <v>773.1610052708395</v>
      </c>
      <c r="I99">
        <v>713.68872590744502</v>
      </c>
      <c r="J99">
        <v>475.33220576410446</v>
      </c>
      <c r="K99">
        <v>642.33179717214796</v>
      </c>
      <c r="L99">
        <v>648.80070250100789</v>
      </c>
      <c r="M99">
        <v>568.00899511682985</v>
      </c>
      <c r="N99">
        <v>546.16863518221385</v>
      </c>
      <c r="O99">
        <v>473.12583629895954</v>
      </c>
      <c r="P99">
        <v>515.22304981776108</v>
      </c>
      <c r="Q99">
        <v>495.513209997731</v>
      </c>
      <c r="R99">
        <v>491.5836383213674</v>
      </c>
      <c r="S99">
        <v>484.0635441882394</v>
      </c>
      <c r="T99">
        <v>459.20063258642176</v>
      </c>
      <c r="U99">
        <v>450.67532887476375</v>
      </c>
      <c r="V99">
        <v>416.52096542301484</v>
      </c>
      <c r="W99">
        <v>394.98475063788362</v>
      </c>
      <c r="X99">
        <v>371.83317290931325</v>
      </c>
      <c r="Y99">
        <v>353.85708666798581</v>
      </c>
      <c r="Z99">
        <v>342.92633124215968</v>
      </c>
      <c r="AA99">
        <v>328.50569800333693</v>
      </c>
      <c r="AB99">
        <v>319.23710609439053</v>
      </c>
      <c r="AC99">
        <v>307.214637516202</v>
      </c>
      <c r="AD99">
        <v>296.43260502747142</v>
      </c>
      <c r="AE99">
        <v>285.37372145796644</v>
      </c>
      <c r="AF99">
        <v>273.16777041959881</v>
      </c>
      <c r="AG99">
        <v>261.92394950854037</v>
      </c>
      <c r="AH99">
        <v>249.54865896297815</v>
      </c>
      <c r="AI99">
        <v>237.85957287383337</v>
      </c>
      <c r="AJ99">
        <v>226.1235798764493</v>
      </c>
      <c r="AK99">
        <v>214.98133880073968</v>
      </c>
      <c r="AL99">
        <v>204.94110197648504</v>
      </c>
      <c r="AM99">
        <v>195.64363779979504</v>
      </c>
      <c r="AN99">
        <v>187.45861121293061</v>
      </c>
      <c r="AO99">
        <v>179.71392052576348</v>
      </c>
      <c r="AP99">
        <v>172.30500314268215</v>
      </c>
      <c r="AQ99">
        <v>164.90940096070966</v>
      </c>
      <c r="AR99">
        <v>157.35489171670585</v>
      </c>
      <c r="AS99">
        <v>149.77173089466052</v>
      </c>
      <c r="AT99">
        <v>142.17417393324729</v>
      </c>
      <c r="AU99">
        <v>134.81185073378762</v>
      </c>
      <c r="AV99">
        <v>127.76767712133352</v>
      </c>
      <c r="AW99">
        <v>121.12633787876528</v>
      </c>
      <c r="AX99">
        <v>114.90499666470471</v>
      </c>
      <c r="AY99">
        <v>109.03688189381316</v>
      </c>
      <c r="BA99" s="1">
        <v>1</v>
      </c>
      <c r="BB99" t="str">
        <f t="shared" si="1"/>
        <v>Pe - Mata Pernambucana</v>
      </c>
      <c r="BC99" s="3">
        <v>616.03446674718225</v>
      </c>
      <c r="BD99" s="3">
        <v>2005.1941421257668</v>
      </c>
      <c r="BE99" s="3">
        <v>1631.5292777473733</v>
      </c>
      <c r="BF99" s="3">
        <v>2011.8954718441446</v>
      </c>
      <c r="BG99" s="3">
        <v>1743.913471403459</v>
      </c>
      <c r="BH99" s="3">
        <v>932.98616573064271</v>
      </c>
      <c r="BI99" s="3">
        <v>840.3522911682071</v>
      </c>
      <c r="BJ99" s="3">
        <v>623.5498594174062</v>
      </c>
      <c r="BK99" s="3">
        <v>850.42184432547583</v>
      </c>
      <c r="BL99" s="3">
        <v>803.32470030884178</v>
      </c>
      <c r="BM99" s="3">
        <v>735.73581190176048</v>
      </c>
      <c r="BN99" s="3">
        <v>767.74133408117768</v>
      </c>
      <c r="BO99" s="3">
        <v>721.05986465378021</v>
      </c>
      <c r="BP99" s="3">
        <v>777.96770104702796</v>
      </c>
      <c r="BQ99" s="3">
        <v>731.45021099496978</v>
      </c>
      <c r="BR99" s="3">
        <v>709.23311528988916</v>
      </c>
      <c r="BS99" s="3">
        <v>672.42528930460833</v>
      </c>
      <c r="BT99" s="3">
        <v>613.9313743840986</v>
      </c>
      <c r="BU99" s="3">
        <v>577.25502048932822</v>
      </c>
      <c r="BV99" s="3">
        <v>518.86091737982645</v>
      </c>
      <c r="BW99" s="3">
        <v>489.58799057774911</v>
      </c>
      <c r="BX99" s="3">
        <v>464.39369132077707</v>
      </c>
      <c r="BY99" s="3">
        <v>450.26691511776312</v>
      </c>
      <c r="BZ99" s="3">
        <v>443.66214348214135</v>
      </c>
      <c r="CA99" s="3">
        <v>430.31561981356919</v>
      </c>
      <c r="CB99" s="3">
        <v>419.16041592412336</v>
      </c>
      <c r="CC99" s="3">
        <v>399.50607239638788</v>
      </c>
      <c r="CD99" s="3">
        <v>378.11896559935519</v>
      </c>
      <c r="CE99" s="3">
        <v>354.25593914515491</v>
      </c>
      <c r="CF99" s="3">
        <v>329.32278219035334</v>
      </c>
      <c r="CG99" s="3">
        <v>307.10551579633534</v>
      </c>
      <c r="CH99" s="3">
        <v>285.82888126303504</v>
      </c>
      <c r="CI99" s="3">
        <v>267.99991250912262</v>
      </c>
      <c r="CJ99" s="3">
        <v>252.09508015696153</v>
      </c>
      <c r="CK99" s="3">
        <v>238.24863307704979</v>
      </c>
      <c r="CL99" s="3">
        <v>225.9989906235495</v>
      </c>
      <c r="CM99" s="3">
        <v>214.13157954242433</v>
      </c>
      <c r="CN99" s="3">
        <v>202.58934889364573</v>
      </c>
      <c r="CO99" s="3">
        <v>190.38838524909136</v>
      </c>
      <c r="CP99" s="3">
        <v>177.65739827662043</v>
      </c>
      <c r="CQ99" s="3">
        <v>164.39822571385275</v>
      </c>
      <c r="CR99" s="3">
        <v>150.93992612577543</v>
      </c>
      <c r="CS99" s="3">
        <v>137.87283876124366</v>
      </c>
      <c r="CT99" s="3">
        <v>125.48525816918144</v>
      </c>
      <c r="CU99" s="3">
        <v>114.15215607712851</v>
      </c>
      <c r="CV99" s="3">
        <v>103.84251166334505</v>
      </c>
      <c r="CW99" s="3">
        <v>94.431166623762024</v>
      </c>
      <c r="CX99" s="3">
        <v>85.662237446246394</v>
      </c>
      <c r="CY99" s="3">
        <v>77.227148955714824</v>
      </c>
    </row>
    <row r="100" spans="1:103" x14ac:dyDescent="0.25">
      <c r="A100" t="s">
        <v>52</v>
      </c>
      <c r="B100" t="s">
        <v>5</v>
      </c>
      <c r="C100">
        <v>-154.42294874486751</v>
      </c>
      <c r="D100">
        <v>-537.4238039765462</v>
      </c>
      <c r="E100">
        <v>-749.75971474455059</v>
      </c>
      <c r="F100">
        <v>-961.10250818203883</v>
      </c>
      <c r="G100">
        <v>-562.00774034212247</v>
      </c>
      <c r="H100">
        <v>-159.82516045980324</v>
      </c>
      <c r="I100">
        <v>-126.66356526076213</v>
      </c>
      <c r="J100">
        <v>-148.21765365330174</v>
      </c>
      <c r="K100">
        <v>-208.09004715332793</v>
      </c>
      <c r="L100">
        <v>-154.52399780783384</v>
      </c>
      <c r="M100">
        <v>-167.72681678493066</v>
      </c>
      <c r="N100">
        <v>-221.57269889896386</v>
      </c>
      <c r="O100">
        <v>-247.93402835482067</v>
      </c>
      <c r="P100">
        <v>-262.74465122926688</v>
      </c>
      <c r="Q100">
        <v>-235.93700099723875</v>
      </c>
      <c r="R100">
        <v>-217.6494769685217</v>
      </c>
      <c r="S100">
        <v>-188.36174511636892</v>
      </c>
      <c r="T100">
        <v>-154.73074179767681</v>
      </c>
      <c r="U100">
        <v>-126.57969161456442</v>
      </c>
      <c r="V100">
        <v>-102.33995195681157</v>
      </c>
      <c r="W100">
        <v>-94.603239939865475</v>
      </c>
      <c r="X100">
        <v>-92.560518411463804</v>
      </c>
      <c r="Y100">
        <v>-96.409828449777336</v>
      </c>
      <c r="Z100">
        <v>-100.73581223998167</v>
      </c>
      <c r="AA100">
        <v>-101.80992181023225</v>
      </c>
      <c r="AB100">
        <v>-99.92330982973283</v>
      </c>
      <c r="AC100">
        <v>-92.291434880185861</v>
      </c>
      <c r="AD100">
        <v>-81.686360571883796</v>
      </c>
      <c r="AE100">
        <v>-68.882217687188458</v>
      </c>
      <c r="AF100">
        <v>-56.15501177075452</v>
      </c>
      <c r="AG100">
        <v>-45.181566287794951</v>
      </c>
      <c r="AH100">
        <v>-36.28022230005687</v>
      </c>
      <c r="AI100">
        <v>-30.140339635289262</v>
      </c>
      <c r="AJ100">
        <v>-25.971500280512231</v>
      </c>
      <c r="AK100">
        <v>-23.2672942763101</v>
      </c>
      <c r="AL100">
        <v>-21.057888647064448</v>
      </c>
      <c r="AM100">
        <v>-18.487941742629285</v>
      </c>
      <c r="AN100">
        <v>-15.130737680715118</v>
      </c>
      <c r="AO100">
        <v>-10.67446472332788</v>
      </c>
      <c r="AP100">
        <v>-5.3523951339382823</v>
      </c>
      <c r="AQ100">
        <v>0.5111752468569063</v>
      </c>
      <c r="AR100">
        <v>6.4149655909304153</v>
      </c>
      <c r="AS100">
        <v>11.898892133416876</v>
      </c>
      <c r="AT100">
        <v>16.68891576406585</v>
      </c>
      <c r="AU100">
        <v>20.659694656659116</v>
      </c>
      <c r="AV100">
        <v>23.925165457988463</v>
      </c>
      <c r="AW100">
        <v>26.69517125500326</v>
      </c>
      <c r="AX100">
        <v>29.242759218458318</v>
      </c>
      <c r="AY100">
        <v>31.809732938098332</v>
      </c>
      <c r="BA100" s="1">
        <v>-1</v>
      </c>
      <c r="BB100" t="str">
        <f t="shared" si="1"/>
        <v>Pe - Mata Pernambucana</v>
      </c>
      <c r="BC100" s="3" t="s">
        <v>144</v>
      </c>
      <c r="BD100" s="3" t="s">
        <v>144</v>
      </c>
      <c r="BE100" s="3" t="s">
        <v>144</v>
      </c>
      <c r="BF100" s="3" t="s">
        <v>144</v>
      </c>
      <c r="BG100" s="3" t="s">
        <v>144</v>
      </c>
      <c r="BH100" s="3" t="s">
        <v>144</v>
      </c>
      <c r="BI100" s="3" t="s">
        <v>144</v>
      </c>
      <c r="BJ100" s="3" t="s">
        <v>144</v>
      </c>
      <c r="BK100" s="3" t="s">
        <v>144</v>
      </c>
      <c r="BL100" s="3" t="s">
        <v>144</v>
      </c>
      <c r="BM100" s="3" t="s">
        <v>144</v>
      </c>
      <c r="BN100" s="3" t="s">
        <v>144</v>
      </c>
      <c r="BO100" s="3" t="s">
        <v>144</v>
      </c>
      <c r="BP100" s="3" t="s">
        <v>144</v>
      </c>
      <c r="BQ100" s="3" t="s">
        <v>144</v>
      </c>
      <c r="BR100" s="3" t="s">
        <v>144</v>
      </c>
      <c r="BS100" s="3" t="s">
        <v>144</v>
      </c>
      <c r="BT100" s="3" t="s">
        <v>144</v>
      </c>
      <c r="BU100" s="3" t="s">
        <v>144</v>
      </c>
      <c r="BV100" s="3" t="s">
        <v>144</v>
      </c>
      <c r="BW100" s="3" t="s">
        <v>144</v>
      </c>
      <c r="BX100" s="3" t="s">
        <v>144</v>
      </c>
      <c r="BY100" s="3" t="s">
        <v>144</v>
      </c>
      <c r="BZ100" s="3" t="s">
        <v>144</v>
      </c>
      <c r="CA100" s="3" t="s">
        <v>144</v>
      </c>
      <c r="CB100" s="3" t="s">
        <v>144</v>
      </c>
      <c r="CC100" s="3" t="s">
        <v>144</v>
      </c>
      <c r="CD100" s="3" t="s">
        <v>144</v>
      </c>
      <c r="CE100" s="3" t="s">
        <v>144</v>
      </c>
      <c r="CF100" s="3" t="s">
        <v>144</v>
      </c>
      <c r="CG100" s="3" t="s">
        <v>144</v>
      </c>
      <c r="CH100" s="3" t="s">
        <v>144</v>
      </c>
      <c r="CI100" s="3" t="s">
        <v>144</v>
      </c>
      <c r="CJ100" s="3" t="s">
        <v>144</v>
      </c>
      <c r="CK100" s="3" t="s">
        <v>144</v>
      </c>
      <c r="CL100" s="3" t="s">
        <v>144</v>
      </c>
      <c r="CM100" s="3" t="s">
        <v>144</v>
      </c>
      <c r="CN100" s="3" t="s">
        <v>144</v>
      </c>
      <c r="CO100" s="3" t="s">
        <v>144</v>
      </c>
      <c r="CP100" s="3" t="s">
        <v>144</v>
      </c>
      <c r="CQ100" s="3" t="s">
        <v>144</v>
      </c>
      <c r="CR100" s="3" t="s">
        <v>144</v>
      </c>
      <c r="CS100" s="3" t="s">
        <v>144</v>
      </c>
      <c r="CT100" s="3" t="s">
        <v>144</v>
      </c>
      <c r="CU100" s="3" t="s">
        <v>144</v>
      </c>
      <c r="CV100" s="3" t="s">
        <v>144</v>
      </c>
      <c r="CW100" s="3" t="s">
        <v>144</v>
      </c>
      <c r="CX100" s="3" t="s">
        <v>144</v>
      </c>
      <c r="CY100" s="3" t="s">
        <v>144</v>
      </c>
    </row>
    <row r="101" spans="1:103" x14ac:dyDescent="0.25">
      <c r="A101" t="s">
        <v>53</v>
      </c>
      <c r="B101" t="s">
        <v>4</v>
      </c>
      <c r="C101">
        <v>1739.5290533914783</v>
      </c>
      <c r="D101">
        <v>2057.5284393721395</v>
      </c>
      <c r="E101">
        <v>2245.0060825751216</v>
      </c>
      <c r="F101">
        <v>2515.9251311563116</v>
      </c>
      <c r="G101">
        <v>2442.3245262438099</v>
      </c>
      <c r="H101">
        <v>3003.9859501222518</v>
      </c>
      <c r="I101">
        <v>2956.9648095840962</v>
      </c>
      <c r="J101">
        <v>3160.0334039617442</v>
      </c>
      <c r="K101">
        <v>3258.3124124037072</v>
      </c>
      <c r="L101">
        <v>3307.4236012589799</v>
      </c>
      <c r="M101">
        <v>3385.9086892503819</v>
      </c>
      <c r="N101">
        <v>3251.6076667642083</v>
      </c>
      <c r="O101">
        <v>3201.272700094948</v>
      </c>
      <c r="P101">
        <v>3094.0709215419774</v>
      </c>
      <c r="Q101">
        <v>3041.2825405149388</v>
      </c>
      <c r="R101">
        <v>3027.3458375593932</v>
      </c>
      <c r="S101">
        <v>3018.0503011307305</v>
      </c>
      <c r="T101">
        <v>3061.9223021766015</v>
      </c>
      <c r="U101">
        <v>3088.162097057063</v>
      </c>
      <c r="V101">
        <v>3123.2523458303626</v>
      </c>
      <c r="W101">
        <v>3136.5818931585991</v>
      </c>
      <c r="X101">
        <v>3130.4567132070456</v>
      </c>
      <c r="Y101">
        <v>3115.7895814474182</v>
      </c>
      <c r="Z101">
        <v>3084.9985676496208</v>
      </c>
      <c r="AA101">
        <v>3056.8527049999166</v>
      </c>
      <c r="AB101">
        <v>3027.3856535856021</v>
      </c>
      <c r="AC101">
        <v>3005.406802824994</v>
      </c>
      <c r="AD101">
        <v>2991.8586314266049</v>
      </c>
      <c r="AE101">
        <v>2984.6121379868227</v>
      </c>
      <c r="AF101">
        <v>2984.7056874648115</v>
      </c>
      <c r="AG101">
        <v>2986.3723794026341</v>
      </c>
      <c r="AH101">
        <v>2988.7485191672554</v>
      </c>
      <c r="AI101">
        <v>2988.2830402553359</v>
      </c>
      <c r="AJ101">
        <v>2983.7831497905931</v>
      </c>
      <c r="AK101">
        <v>2975.5830587676287</v>
      </c>
      <c r="AL101">
        <v>2964.0328526223561</v>
      </c>
      <c r="AM101">
        <v>2951.4938518681247</v>
      </c>
      <c r="AN101">
        <v>2939.2631285243251</v>
      </c>
      <c r="AO101">
        <v>2928.9617320185653</v>
      </c>
      <c r="AP101">
        <v>2921.2268465722041</v>
      </c>
      <c r="AQ101">
        <v>2915.896390613791</v>
      </c>
      <c r="AR101">
        <v>2912.4916651380186</v>
      </c>
      <c r="AS101">
        <v>2909.9396242947819</v>
      </c>
      <c r="AT101">
        <v>2907.4437000394387</v>
      </c>
      <c r="AU101">
        <v>2904.2823579272031</v>
      </c>
      <c r="AV101">
        <v>2900.1494707893808</v>
      </c>
      <c r="AW101">
        <v>2895.1015876503025</v>
      </c>
      <c r="AX101">
        <v>2889.3969285511976</v>
      </c>
      <c r="AY101">
        <v>2883.4963460734207</v>
      </c>
      <c r="BA101" s="1">
        <v>1</v>
      </c>
      <c r="BB101" t="str">
        <f t="shared" si="1"/>
        <v>Pe - Metropol de Recife</v>
      </c>
      <c r="BC101" s="3">
        <v>872.86134740952207</v>
      </c>
      <c r="BD101" s="3">
        <v>2006.674979344986</v>
      </c>
      <c r="BE101" s="3">
        <v>1279.6986452241902</v>
      </c>
      <c r="BF101" s="3">
        <v>2039.6308842373128</v>
      </c>
      <c r="BG101" s="3">
        <v>1592.601854168727</v>
      </c>
      <c r="BH101" s="3">
        <v>1655.0745340778935</v>
      </c>
      <c r="BI101" s="3">
        <v>1526.1025102019144</v>
      </c>
      <c r="BJ101" s="3">
        <v>1346.9163524317421</v>
      </c>
      <c r="BK101" s="3">
        <v>1551.0765596362248</v>
      </c>
      <c r="BL101" s="3">
        <v>1392.8087456354599</v>
      </c>
      <c r="BM101" s="3">
        <v>1428.8598880069362</v>
      </c>
      <c r="BN101" s="3">
        <v>1281.9686144144987</v>
      </c>
      <c r="BO101" s="3">
        <v>1164.2686816597409</v>
      </c>
      <c r="BP101" s="3">
        <v>1088.4422434421399</v>
      </c>
      <c r="BQ101" s="3">
        <v>950.90408501750926</v>
      </c>
      <c r="BR101" s="3">
        <v>906.29671478733417</v>
      </c>
      <c r="BS101" s="3">
        <v>823.49258150408559</v>
      </c>
      <c r="BT101" s="3">
        <v>790.44471577515787</v>
      </c>
      <c r="BU101" s="3">
        <v>758.56075423437733</v>
      </c>
      <c r="BV101" s="3">
        <v>720.19393171534239</v>
      </c>
      <c r="BW101" s="3">
        <v>696.28346789211855</v>
      </c>
      <c r="BX101" s="3">
        <v>650.5821847604866</v>
      </c>
      <c r="BY101" s="3">
        <v>612.85792158396953</v>
      </c>
      <c r="BZ101" s="3">
        <v>562.72462014533357</v>
      </c>
      <c r="CA101" s="3">
        <v>511.00813284652804</v>
      </c>
      <c r="CB101" s="3">
        <v>460.66394393234896</v>
      </c>
      <c r="CC101" s="3">
        <v>408.76288728216832</v>
      </c>
      <c r="CD101" s="3">
        <v>365.40349422361123</v>
      </c>
      <c r="CE101" s="3">
        <v>324.72646103383568</v>
      </c>
      <c r="CF101" s="3">
        <v>291.26688049781978</v>
      </c>
      <c r="CG101" s="3">
        <v>261.73938424454354</v>
      </c>
      <c r="CH101" s="3">
        <v>234.19664049632001</v>
      </c>
      <c r="CI101" s="3">
        <v>208.10234629222577</v>
      </c>
      <c r="CJ101" s="3">
        <v>180.28808958920035</v>
      </c>
      <c r="CK101" s="3">
        <v>151.77757937359911</v>
      </c>
      <c r="CL101" s="3">
        <v>121.72831547204987</v>
      </c>
      <c r="CM101" s="3">
        <v>91.35494297546893</v>
      </c>
      <c r="CN101" s="3">
        <v>61.636334757376517</v>
      </c>
      <c r="CO101" s="3">
        <v>33.104300245453487</v>
      </c>
      <c r="CP101" s="3">
        <v>6.7077250326756257</v>
      </c>
      <c r="CQ101" s="3">
        <v>-17.755371266597194</v>
      </c>
      <c r="CR101" s="3">
        <v>-40.217037908477778</v>
      </c>
      <c r="CS101" s="3">
        <v>-61.171048575638451</v>
      </c>
      <c r="CT101" s="3">
        <v>-81.098312383164284</v>
      </c>
      <c r="CU101" s="3">
        <v>-100.36260675776339</v>
      </c>
      <c r="CV101" s="3">
        <v>-119.37396462437937</v>
      </c>
      <c r="CW101" s="3">
        <v>-138.20479842351324</v>
      </c>
      <c r="CX101" s="3">
        <v>-156.90496063162436</v>
      </c>
      <c r="CY101" s="3">
        <v>-175.32259598733208</v>
      </c>
    </row>
    <row r="102" spans="1:103" x14ac:dyDescent="0.25">
      <c r="A102" t="s">
        <v>53</v>
      </c>
      <c r="B102" t="s">
        <v>5</v>
      </c>
      <c r="C102">
        <v>866.66770598195626</v>
      </c>
      <c r="D102">
        <v>50.853460027153403</v>
      </c>
      <c r="E102">
        <v>965.30743735093142</v>
      </c>
      <c r="F102">
        <v>476.29424691899897</v>
      </c>
      <c r="G102">
        <v>849.72267207508298</v>
      </c>
      <c r="H102">
        <v>1348.9114160443582</v>
      </c>
      <c r="I102">
        <v>1430.8622993821818</v>
      </c>
      <c r="J102">
        <v>1813.1170515300021</v>
      </c>
      <c r="K102">
        <v>1707.2358527674824</v>
      </c>
      <c r="L102">
        <v>1914.61485562352</v>
      </c>
      <c r="M102">
        <v>1957.0488012434457</v>
      </c>
      <c r="N102">
        <v>1969.6390523497096</v>
      </c>
      <c r="O102">
        <v>2037.0040184352072</v>
      </c>
      <c r="P102">
        <v>2005.6286780998375</v>
      </c>
      <c r="Q102">
        <v>2090.3784554974295</v>
      </c>
      <c r="R102">
        <v>2121.049122772059</v>
      </c>
      <c r="S102">
        <v>2194.5577196266449</v>
      </c>
      <c r="T102">
        <v>2271.4775864014437</v>
      </c>
      <c r="U102">
        <v>2329.6013428226856</v>
      </c>
      <c r="V102">
        <v>2403.0584141150202</v>
      </c>
      <c r="W102">
        <v>2440.2984252664805</v>
      </c>
      <c r="X102">
        <v>2479.874528446559</v>
      </c>
      <c r="Y102">
        <v>2502.9316598634487</v>
      </c>
      <c r="Z102">
        <v>2522.2739475042872</v>
      </c>
      <c r="AA102">
        <v>2545.8445721533885</v>
      </c>
      <c r="AB102">
        <v>2566.7217096532531</v>
      </c>
      <c r="AC102">
        <v>2596.6439155428257</v>
      </c>
      <c r="AD102">
        <v>2626.4551372029937</v>
      </c>
      <c r="AE102">
        <v>2659.8856769529871</v>
      </c>
      <c r="AF102">
        <v>2693.4388069669917</v>
      </c>
      <c r="AG102">
        <v>2724.6329951580906</v>
      </c>
      <c r="AH102">
        <v>2754.5518786709354</v>
      </c>
      <c r="AI102">
        <v>2780.1806939631101</v>
      </c>
      <c r="AJ102">
        <v>2803.4950602013928</v>
      </c>
      <c r="AK102">
        <v>2823.8054793940296</v>
      </c>
      <c r="AL102">
        <v>2842.3045371503063</v>
      </c>
      <c r="AM102">
        <v>2860.1389088926558</v>
      </c>
      <c r="AN102">
        <v>2877.6267937669486</v>
      </c>
      <c r="AO102">
        <v>2895.8574317731118</v>
      </c>
      <c r="AP102">
        <v>2914.5191215395284</v>
      </c>
      <c r="AQ102">
        <v>2933.6517618803882</v>
      </c>
      <c r="AR102">
        <v>2952.7087030464963</v>
      </c>
      <c r="AS102">
        <v>2971.1106728704203</v>
      </c>
      <c r="AT102">
        <v>2988.542012422603</v>
      </c>
      <c r="AU102">
        <v>3004.6449646849665</v>
      </c>
      <c r="AV102">
        <v>3019.5234354137601</v>
      </c>
      <c r="AW102">
        <v>3033.3063860738157</v>
      </c>
      <c r="AX102">
        <v>3046.3018891828219</v>
      </c>
      <c r="AY102">
        <v>3058.8189420607528</v>
      </c>
      <c r="BA102" s="1">
        <v>-1</v>
      </c>
      <c r="BB102" t="str">
        <f t="shared" si="1"/>
        <v>Pe - Metropol de Recife</v>
      </c>
      <c r="BC102" s="3" t="s">
        <v>144</v>
      </c>
      <c r="BD102" s="3" t="s">
        <v>144</v>
      </c>
      <c r="BE102" s="3" t="s">
        <v>144</v>
      </c>
      <c r="BF102" s="3" t="s">
        <v>144</v>
      </c>
      <c r="BG102" s="3" t="s">
        <v>144</v>
      </c>
      <c r="BH102" s="3" t="s">
        <v>144</v>
      </c>
      <c r="BI102" s="3" t="s">
        <v>144</v>
      </c>
      <c r="BJ102" s="3" t="s">
        <v>144</v>
      </c>
      <c r="BK102" s="3" t="s">
        <v>144</v>
      </c>
      <c r="BL102" s="3" t="s">
        <v>144</v>
      </c>
      <c r="BM102" s="3" t="s">
        <v>144</v>
      </c>
      <c r="BN102" s="3" t="s">
        <v>144</v>
      </c>
      <c r="BO102" s="3" t="s">
        <v>144</v>
      </c>
      <c r="BP102" s="3" t="s">
        <v>144</v>
      </c>
      <c r="BQ102" s="3" t="s">
        <v>144</v>
      </c>
      <c r="BR102" s="3" t="s">
        <v>144</v>
      </c>
      <c r="BS102" s="3" t="s">
        <v>144</v>
      </c>
      <c r="BT102" s="3" t="s">
        <v>144</v>
      </c>
      <c r="BU102" s="3" t="s">
        <v>144</v>
      </c>
      <c r="BV102" s="3" t="s">
        <v>144</v>
      </c>
      <c r="BW102" s="3" t="s">
        <v>144</v>
      </c>
      <c r="BX102" s="3" t="s">
        <v>144</v>
      </c>
      <c r="BY102" s="3" t="s">
        <v>144</v>
      </c>
      <c r="BZ102" s="3" t="s">
        <v>144</v>
      </c>
      <c r="CA102" s="3" t="s">
        <v>144</v>
      </c>
      <c r="CB102" s="3" t="s">
        <v>144</v>
      </c>
      <c r="CC102" s="3" t="s">
        <v>144</v>
      </c>
      <c r="CD102" s="3" t="s">
        <v>144</v>
      </c>
      <c r="CE102" s="3" t="s">
        <v>144</v>
      </c>
      <c r="CF102" s="3" t="s">
        <v>144</v>
      </c>
      <c r="CG102" s="3" t="s">
        <v>144</v>
      </c>
      <c r="CH102" s="3" t="s">
        <v>144</v>
      </c>
      <c r="CI102" s="3" t="s">
        <v>144</v>
      </c>
      <c r="CJ102" s="3" t="s">
        <v>144</v>
      </c>
      <c r="CK102" s="3" t="s">
        <v>144</v>
      </c>
      <c r="CL102" s="3" t="s">
        <v>144</v>
      </c>
      <c r="CM102" s="3" t="s">
        <v>144</v>
      </c>
      <c r="CN102" s="3" t="s">
        <v>144</v>
      </c>
      <c r="CO102" s="3" t="s">
        <v>144</v>
      </c>
      <c r="CP102" s="3" t="s">
        <v>144</v>
      </c>
      <c r="CQ102" s="3" t="s">
        <v>144</v>
      </c>
      <c r="CR102" s="3" t="s">
        <v>144</v>
      </c>
      <c r="CS102" s="3" t="s">
        <v>144</v>
      </c>
      <c r="CT102" s="3" t="s">
        <v>144</v>
      </c>
      <c r="CU102" s="3" t="s">
        <v>144</v>
      </c>
      <c r="CV102" s="3" t="s">
        <v>144</v>
      </c>
      <c r="CW102" s="3" t="s">
        <v>144</v>
      </c>
      <c r="CX102" s="3" t="s">
        <v>144</v>
      </c>
      <c r="CY102" s="3" t="s">
        <v>144</v>
      </c>
    </row>
    <row r="103" spans="1:103" x14ac:dyDescent="0.25">
      <c r="A103" t="s">
        <v>54</v>
      </c>
      <c r="B103" t="s">
        <v>4</v>
      </c>
      <c r="C103">
        <v>14.64188701856151</v>
      </c>
      <c r="D103">
        <v>6.2884994970083907</v>
      </c>
      <c r="E103">
        <v>11.614285339896814</v>
      </c>
      <c r="F103">
        <v>-0.62757487118919131</v>
      </c>
      <c r="G103">
        <v>5.8632029103060335</v>
      </c>
      <c r="H103">
        <v>6.870436370707</v>
      </c>
      <c r="I103">
        <v>8.4709044710935313</v>
      </c>
      <c r="J103">
        <v>8.0679841992609695</v>
      </c>
      <c r="K103">
        <v>8.3559471281381583</v>
      </c>
      <c r="L103">
        <v>10.867875840190935</v>
      </c>
      <c r="M103">
        <v>10.314201154125437</v>
      </c>
      <c r="N103">
        <v>10.050176924119487</v>
      </c>
      <c r="O103">
        <v>9.4476364123484071</v>
      </c>
      <c r="P103">
        <v>9.3346726596511864</v>
      </c>
      <c r="Q103">
        <v>9.6231916669767443</v>
      </c>
      <c r="R103">
        <v>9.4244116906980118</v>
      </c>
      <c r="S103">
        <v>9.7571185027301315</v>
      </c>
      <c r="T103">
        <v>9.9784982876437649</v>
      </c>
      <c r="U103">
        <v>10.411927932444001</v>
      </c>
      <c r="V103">
        <v>10.786775460741726</v>
      </c>
      <c r="W103">
        <v>10.994303767035413</v>
      </c>
      <c r="X103">
        <v>11.216569252021598</v>
      </c>
      <c r="Y103">
        <v>11.271601613809686</v>
      </c>
      <c r="Z103">
        <v>11.331518392365377</v>
      </c>
      <c r="AA103">
        <v>11.323214979568887</v>
      </c>
      <c r="AB103">
        <v>11.313950609761291</v>
      </c>
      <c r="AC103">
        <v>11.350515179311159</v>
      </c>
      <c r="AD103">
        <v>11.407859627893767</v>
      </c>
      <c r="AE103">
        <v>11.528571975878421</v>
      </c>
      <c r="AF103">
        <v>11.663122956150787</v>
      </c>
      <c r="AG103">
        <v>11.815918756254671</v>
      </c>
      <c r="AH103">
        <v>11.962391806307304</v>
      </c>
      <c r="AI103">
        <v>12.085120693089571</v>
      </c>
      <c r="AJ103">
        <v>12.186285405301255</v>
      </c>
      <c r="AK103">
        <v>12.256294024719587</v>
      </c>
      <c r="AL103">
        <v>12.310127281803528</v>
      </c>
      <c r="AM103">
        <v>12.35233831483691</v>
      </c>
      <c r="AN103">
        <v>12.393712853477538</v>
      </c>
      <c r="AO103">
        <v>12.44195540423765</v>
      </c>
      <c r="AP103">
        <v>12.498373332712983</v>
      </c>
      <c r="AQ103">
        <v>12.565228790823731</v>
      </c>
      <c r="AR103">
        <v>12.637739407385236</v>
      </c>
      <c r="AS103">
        <v>12.712589643124844</v>
      </c>
      <c r="AT103">
        <v>12.78488099045574</v>
      </c>
      <c r="AU103">
        <v>12.850882866242745</v>
      </c>
      <c r="AV103">
        <v>12.909239905490168</v>
      </c>
      <c r="AW103">
        <v>12.95938595429894</v>
      </c>
      <c r="AX103">
        <v>13.003222227737051</v>
      </c>
      <c r="AY103">
        <v>13.042849851993672</v>
      </c>
      <c r="BA103" s="1">
        <v>1</v>
      </c>
      <c r="BB103" t="str">
        <f t="shared" si="1"/>
        <v>Al - Sertao Alagoano</v>
      </c>
      <c r="BC103" s="3">
        <v>1.4881763560360053</v>
      </c>
      <c r="BD103" s="3">
        <v>15.96104021827399</v>
      </c>
      <c r="BE103" s="3">
        <v>6.6698796441689741</v>
      </c>
      <c r="BF103" s="3">
        <v>7.3082087351233129</v>
      </c>
      <c r="BG103" s="3">
        <v>5.1432566315446584</v>
      </c>
      <c r="BH103" s="3">
        <v>10.23966975004242</v>
      </c>
      <c r="BI103" s="3">
        <v>6.4045741309982596</v>
      </c>
      <c r="BJ103" s="3">
        <v>4.9065453569797146</v>
      </c>
      <c r="BK103" s="3">
        <v>8.2283900206615801</v>
      </c>
      <c r="BL103" s="3">
        <v>9.6456884912700591</v>
      </c>
      <c r="BM103" s="3">
        <v>10.304706560443163</v>
      </c>
      <c r="BN103" s="3">
        <v>8.4280059956894426</v>
      </c>
      <c r="BO103" s="3">
        <v>8.1318987777403855</v>
      </c>
      <c r="BP103" s="3">
        <v>8.2589331915188318</v>
      </c>
      <c r="BQ103" s="3">
        <v>7.9200079287678111</v>
      </c>
      <c r="BR103" s="3">
        <v>7.7921911318792834</v>
      </c>
      <c r="BS103" s="3">
        <v>7.374819034103453</v>
      </c>
      <c r="BT103" s="3">
        <v>7.582929297990427</v>
      </c>
      <c r="BU103" s="3">
        <v>7.7228787073192855</v>
      </c>
      <c r="BV103" s="3">
        <v>7.861650259006228</v>
      </c>
      <c r="BW103" s="3">
        <v>8.0021762802731597</v>
      </c>
      <c r="BX103" s="3">
        <v>8.0100064949368246</v>
      </c>
      <c r="BY103" s="3">
        <v>8.0812178921215576</v>
      </c>
      <c r="BZ103" s="3">
        <v>8.009823794303415</v>
      </c>
      <c r="CA103" s="3">
        <v>7.915687537207992</v>
      </c>
      <c r="CB103" s="3">
        <v>7.7842102232513639</v>
      </c>
      <c r="CC103" s="3">
        <v>7.6494797253950049</v>
      </c>
      <c r="CD103" s="3">
        <v>7.5724382716384806</v>
      </c>
      <c r="CE103" s="3">
        <v>7.5132959801010752</v>
      </c>
      <c r="CF103" s="3">
        <v>7.5102742994621723</v>
      </c>
      <c r="CG103" s="3">
        <v>7.5266731716614563</v>
      </c>
      <c r="CH103" s="3">
        <v>7.5576230884800131</v>
      </c>
      <c r="CI103" s="3">
        <v>7.5874380436278495</v>
      </c>
      <c r="CJ103" s="3">
        <v>7.5952557166918275</v>
      </c>
      <c r="CK103" s="3">
        <v>7.5875098858580845</v>
      </c>
      <c r="CL103" s="3">
        <v>7.5574399088489157</v>
      </c>
      <c r="CM103" s="3">
        <v>7.5176856661882834</v>
      </c>
      <c r="CN103" s="3">
        <v>7.4736934762471217</v>
      </c>
      <c r="CO103" s="3">
        <v>7.4322966943256104</v>
      </c>
      <c r="CP103" s="3">
        <v>7.4005449630848563</v>
      </c>
      <c r="CQ103" s="3">
        <v>7.3781476404120365</v>
      </c>
      <c r="CR103" s="3">
        <v>7.3665968699858881</v>
      </c>
      <c r="CS103" s="3">
        <v>7.361829592112036</v>
      </c>
      <c r="CT103" s="3">
        <v>7.3606897050889071</v>
      </c>
      <c r="CU103" s="3">
        <v>7.3595755164621508</v>
      </c>
      <c r="CV103" s="3">
        <v>7.3551608270833748</v>
      </c>
      <c r="CW103" s="3">
        <v>7.3464858287591728</v>
      </c>
      <c r="CX103" s="3">
        <v>7.3330306073895892</v>
      </c>
      <c r="CY103" s="3">
        <v>7.3163264060196447</v>
      </c>
    </row>
    <row r="104" spans="1:103" x14ac:dyDescent="0.25">
      <c r="A104" t="s">
        <v>54</v>
      </c>
      <c r="B104" t="s">
        <v>5</v>
      </c>
      <c r="C104">
        <v>13.153710662525505</v>
      </c>
      <c r="D104">
        <v>-9.6725407212655981</v>
      </c>
      <c r="E104">
        <v>4.9444056957278395</v>
      </c>
      <c r="F104">
        <v>-7.935783606312504</v>
      </c>
      <c r="G104">
        <v>0.7199462787613754</v>
      </c>
      <c r="H104">
        <v>-3.3692333793354212</v>
      </c>
      <c r="I104">
        <v>2.0663303400952713</v>
      </c>
      <c r="J104">
        <v>3.1614388422812554</v>
      </c>
      <c r="K104">
        <v>0.12755710747657753</v>
      </c>
      <c r="L104">
        <v>1.2221873489208757</v>
      </c>
      <c r="M104">
        <v>9.4945936822734452E-3</v>
      </c>
      <c r="N104">
        <v>1.6221709284300452</v>
      </c>
      <c r="O104">
        <v>1.3157376346080218</v>
      </c>
      <c r="P104">
        <v>1.0757394681323549</v>
      </c>
      <c r="Q104">
        <v>1.7031837382089337</v>
      </c>
      <c r="R104">
        <v>1.6322205588187282</v>
      </c>
      <c r="S104">
        <v>2.3822994686266785</v>
      </c>
      <c r="T104">
        <v>2.3955689896533379</v>
      </c>
      <c r="U104">
        <v>2.689049225124716</v>
      </c>
      <c r="V104">
        <v>2.9251252017354981</v>
      </c>
      <c r="W104">
        <v>2.9921274867622532</v>
      </c>
      <c r="X104">
        <v>3.206562757084773</v>
      </c>
      <c r="Y104">
        <v>3.190383721688129</v>
      </c>
      <c r="Z104">
        <v>3.3216945980619612</v>
      </c>
      <c r="AA104">
        <v>3.407527442360895</v>
      </c>
      <c r="AB104">
        <v>3.5297403865099266</v>
      </c>
      <c r="AC104">
        <v>3.7010354539161545</v>
      </c>
      <c r="AD104">
        <v>3.8354213562552872</v>
      </c>
      <c r="AE104">
        <v>4.0152759957773458</v>
      </c>
      <c r="AF104">
        <v>4.1528486566886142</v>
      </c>
      <c r="AG104">
        <v>4.2892455845932149</v>
      </c>
      <c r="AH104">
        <v>4.4047687178272907</v>
      </c>
      <c r="AI104">
        <v>4.4976826494617219</v>
      </c>
      <c r="AJ104">
        <v>4.591029688609428</v>
      </c>
      <c r="AK104">
        <v>4.6687841388615023</v>
      </c>
      <c r="AL104">
        <v>4.752687372954612</v>
      </c>
      <c r="AM104">
        <v>4.8346526486486265</v>
      </c>
      <c r="AN104">
        <v>4.9200193772304166</v>
      </c>
      <c r="AO104">
        <v>5.0096587099120393</v>
      </c>
      <c r="AP104">
        <v>5.097828369628127</v>
      </c>
      <c r="AQ104">
        <v>5.1870811504116947</v>
      </c>
      <c r="AR104">
        <v>5.2711425373993483</v>
      </c>
      <c r="AS104">
        <v>5.3507600510128075</v>
      </c>
      <c r="AT104">
        <v>5.4241912853668328</v>
      </c>
      <c r="AU104">
        <v>5.4913073497805946</v>
      </c>
      <c r="AV104">
        <v>5.5540790784067928</v>
      </c>
      <c r="AW104">
        <v>5.6129001255397668</v>
      </c>
      <c r="AX104">
        <v>5.6701916203474623</v>
      </c>
      <c r="AY104">
        <v>5.7265234459740277</v>
      </c>
      <c r="BA104" s="1">
        <v>-1</v>
      </c>
      <c r="BB104" t="str">
        <f t="shared" si="1"/>
        <v>Al - Sertao Alagoano</v>
      </c>
      <c r="BC104" s="3" t="s">
        <v>144</v>
      </c>
      <c r="BD104" s="3" t="s">
        <v>144</v>
      </c>
      <c r="BE104" s="3" t="s">
        <v>144</v>
      </c>
      <c r="BF104" s="3" t="s">
        <v>144</v>
      </c>
      <c r="BG104" s="3" t="s">
        <v>144</v>
      </c>
      <c r="BH104" s="3" t="s">
        <v>144</v>
      </c>
      <c r="BI104" s="3" t="s">
        <v>144</v>
      </c>
      <c r="BJ104" s="3" t="s">
        <v>144</v>
      </c>
      <c r="BK104" s="3" t="s">
        <v>144</v>
      </c>
      <c r="BL104" s="3" t="s">
        <v>144</v>
      </c>
      <c r="BM104" s="3" t="s">
        <v>144</v>
      </c>
      <c r="BN104" s="3" t="s">
        <v>144</v>
      </c>
      <c r="BO104" s="3" t="s">
        <v>144</v>
      </c>
      <c r="BP104" s="3" t="s">
        <v>144</v>
      </c>
      <c r="BQ104" s="3" t="s">
        <v>144</v>
      </c>
      <c r="BR104" s="3" t="s">
        <v>144</v>
      </c>
      <c r="BS104" s="3" t="s">
        <v>144</v>
      </c>
      <c r="BT104" s="3" t="s">
        <v>144</v>
      </c>
      <c r="BU104" s="3" t="s">
        <v>144</v>
      </c>
      <c r="BV104" s="3" t="s">
        <v>144</v>
      </c>
      <c r="BW104" s="3" t="s">
        <v>144</v>
      </c>
      <c r="BX104" s="3" t="s">
        <v>144</v>
      </c>
      <c r="BY104" s="3" t="s">
        <v>144</v>
      </c>
      <c r="BZ104" s="3" t="s">
        <v>144</v>
      </c>
      <c r="CA104" s="3" t="s">
        <v>144</v>
      </c>
      <c r="CB104" s="3" t="s">
        <v>144</v>
      </c>
      <c r="CC104" s="3" t="s">
        <v>144</v>
      </c>
      <c r="CD104" s="3" t="s">
        <v>144</v>
      </c>
      <c r="CE104" s="3" t="s">
        <v>144</v>
      </c>
      <c r="CF104" s="3" t="s">
        <v>144</v>
      </c>
      <c r="CG104" s="3" t="s">
        <v>144</v>
      </c>
      <c r="CH104" s="3" t="s">
        <v>144</v>
      </c>
      <c r="CI104" s="3" t="s">
        <v>144</v>
      </c>
      <c r="CJ104" s="3" t="s">
        <v>144</v>
      </c>
      <c r="CK104" s="3" t="s">
        <v>144</v>
      </c>
      <c r="CL104" s="3" t="s">
        <v>144</v>
      </c>
      <c r="CM104" s="3" t="s">
        <v>144</v>
      </c>
      <c r="CN104" s="3" t="s">
        <v>144</v>
      </c>
      <c r="CO104" s="3" t="s">
        <v>144</v>
      </c>
      <c r="CP104" s="3" t="s">
        <v>144</v>
      </c>
      <c r="CQ104" s="3" t="s">
        <v>144</v>
      </c>
      <c r="CR104" s="3" t="s">
        <v>144</v>
      </c>
      <c r="CS104" s="3" t="s">
        <v>144</v>
      </c>
      <c r="CT104" s="3" t="s">
        <v>144</v>
      </c>
      <c r="CU104" s="3" t="s">
        <v>144</v>
      </c>
      <c r="CV104" s="3" t="s">
        <v>144</v>
      </c>
      <c r="CW104" s="3" t="s">
        <v>144</v>
      </c>
      <c r="CX104" s="3" t="s">
        <v>144</v>
      </c>
      <c r="CY104" s="3" t="s">
        <v>144</v>
      </c>
    </row>
    <row r="105" spans="1:103" x14ac:dyDescent="0.25">
      <c r="A105" t="s">
        <v>55</v>
      </c>
      <c r="B105" t="s">
        <v>4</v>
      </c>
      <c r="C105">
        <v>95.288766927159102</v>
      </c>
      <c r="D105">
        <v>48.023597991615567</v>
      </c>
      <c r="E105">
        <v>72.458492375491474</v>
      </c>
      <c r="F105">
        <v>31.582362878700895</v>
      </c>
      <c r="G105">
        <v>29.400355535556354</v>
      </c>
      <c r="H105">
        <v>24.660235616651924</v>
      </c>
      <c r="I105">
        <v>16.622367862833656</v>
      </c>
      <c r="J105">
        <v>22.071543649132579</v>
      </c>
      <c r="K105">
        <v>13.217704760488274</v>
      </c>
      <c r="L105">
        <v>15.346291133952271</v>
      </c>
      <c r="M105">
        <v>11.587415579869532</v>
      </c>
      <c r="N105">
        <v>10.01913461506356</v>
      </c>
      <c r="O105">
        <v>10.222971024275951</v>
      </c>
      <c r="P105">
        <v>7.3884017044115025</v>
      </c>
      <c r="Q105">
        <v>7.9453647410896817</v>
      </c>
      <c r="R105">
        <v>6.2204592391451516</v>
      </c>
      <c r="S105">
        <v>6.1135814269939157</v>
      </c>
      <c r="T105">
        <v>5.7723611593436894</v>
      </c>
      <c r="U105">
        <v>5.2308480459987408</v>
      </c>
      <c r="V105">
        <v>5.612960412640656</v>
      </c>
      <c r="W105">
        <v>5.4672244501501988</v>
      </c>
      <c r="X105">
        <v>6.0617438750041934</v>
      </c>
      <c r="Y105">
        <v>6.4362297313050636</v>
      </c>
      <c r="Z105">
        <v>6.9309252494289915</v>
      </c>
      <c r="AA105">
        <v>7.5039959843677044</v>
      </c>
      <c r="AB105">
        <v>7.8860432620921923</v>
      </c>
      <c r="AC105">
        <v>8.4137526900729114</v>
      </c>
      <c r="AD105">
        <v>8.8070229405424794</v>
      </c>
      <c r="AE105">
        <v>9.2922837641423879</v>
      </c>
      <c r="AF105">
        <v>9.7960932210083502</v>
      </c>
      <c r="AG105">
        <v>10.320596226450213</v>
      </c>
      <c r="AH105">
        <v>10.916574111604969</v>
      </c>
      <c r="AI105">
        <v>11.495088454794884</v>
      </c>
      <c r="AJ105">
        <v>12.110985188933624</v>
      </c>
      <c r="AK105">
        <v>12.706710204024001</v>
      </c>
      <c r="AL105">
        <v>13.293941167914175</v>
      </c>
      <c r="AM105">
        <v>13.868358054568649</v>
      </c>
      <c r="AN105">
        <v>14.414594749293165</v>
      </c>
      <c r="AO105">
        <v>14.950479625610223</v>
      </c>
      <c r="AP105">
        <v>15.462537737215179</v>
      </c>
      <c r="AQ105">
        <v>15.964484514535393</v>
      </c>
      <c r="AR105">
        <v>16.45548743565374</v>
      </c>
      <c r="AS105">
        <v>16.938317616165975</v>
      </c>
      <c r="AT105">
        <v>17.417505689632922</v>
      </c>
      <c r="AU105">
        <v>17.888560211304462</v>
      </c>
      <c r="AV105">
        <v>18.352897989856626</v>
      </c>
      <c r="AW105">
        <v>18.805153562364833</v>
      </c>
      <c r="AX105">
        <v>19.243439166843928</v>
      </c>
      <c r="AY105">
        <v>19.665869517972869</v>
      </c>
      <c r="BA105" s="1">
        <v>1</v>
      </c>
      <c r="BB105" t="str">
        <f t="shared" si="1"/>
        <v>Al - Agreste Alagoano</v>
      </c>
      <c r="BC105" s="3">
        <v>78.644251400591969</v>
      </c>
      <c r="BD105" s="3">
        <v>19.496258866689104</v>
      </c>
      <c r="BE105" s="3">
        <v>47.741736706418912</v>
      </c>
      <c r="BF105" s="3">
        <v>7.5345594576495607</v>
      </c>
      <c r="BG105" s="3">
        <v>12.735619074487904</v>
      </c>
      <c r="BH105" s="3">
        <v>16.603516073923011</v>
      </c>
      <c r="BI105" s="3">
        <v>9.707788219324252</v>
      </c>
      <c r="BJ105" s="3">
        <v>21.217841575733527</v>
      </c>
      <c r="BK105" s="3">
        <v>12.447851213015477</v>
      </c>
      <c r="BL105" s="3">
        <v>17.593556509465824</v>
      </c>
      <c r="BM105" s="3">
        <v>15.986130780394141</v>
      </c>
      <c r="BN105" s="3">
        <v>16.12127797834566</v>
      </c>
      <c r="BO105" s="3">
        <v>18.398911261100658</v>
      </c>
      <c r="BP105" s="3">
        <v>15.419483077231277</v>
      </c>
      <c r="BQ105" s="3">
        <v>16.53075967082783</v>
      </c>
      <c r="BR105" s="3">
        <v>14.482505660013773</v>
      </c>
      <c r="BS105" s="3">
        <v>14.149569608303581</v>
      </c>
      <c r="BT105" s="3">
        <v>13.537967695775773</v>
      </c>
      <c r="BU105" s="3">
        <v>12.431624140880411</v>
      </c>
      <c r="BV105" s="3">
        <v>12.597503530065589</v>
      </c>
      <c r="BW105" s="3">
        <v>11.982833424558276</v>
      </c>
      <c r="BX105" s="3">
        <v>12.20902858944577</v>
      </c>
      <c r="BY105" s="3">
        <v>12.058482225519811</v>
      </c>
      <c r="BZ105" s="3">
        <v>11.895914672426796</v>
      </c>
      <c r="CA105" s="3">
        <v>11.766429673430046</v>
      </c>
      <c r="CB105" s="3">
        <v>11.281095632119872</v>
      </c>
      <c r="CC105" s="3">
        <v>10.931461385199411</v>
      </c>
      <c r="CD105" s="3">
        <v>10.374189636168177</v>
      </c>
      <c r="CE105" s="3">
        <v>9.9149375555316901</v>
      </c>
      <c r="CF105" s="3">
        <v>9.4956165366371454</v>
      </c>
      <c r="CG105" s="3">
        <v>9.1121646714079425</v>
      </c>
      <c r="CH105" s="3">
        <v>8.8499012425785111</v>
      </c>
      <c r="CI105" s="3">
        <v>8.5866485449656249</v>
      </c>
      <c r="CJ105" s="3">
        <v>8.3902849264111641</v>
      </c>
      <c r="CK105" s="3">
        <v>8.1819536763477458</v>
      </c>
      <c r="CL105" s="3">
        <v>7.9661776443861596</v>
      </c>
      <c r="CM105" s="3">
        <v>7.7386400517376899</v>
      </c>
      <c r="CN105" s="3">
        <v>7.477689832489915</v>
      </c>
      <c r="CO105" s="3">
        <v>7.2131311130731568</v>
      </c>
      <c r="CP105" s="3">
        <v>6.9342883196809986</v>
      </c>
      <c r="CQ105" s="3">
        <v>6.6652410829629769</v>
      </c>
      <c r="CR105" s="3">
        <v>6.4109790211295312</v>
      </c>
      <c r="CS105" s="3">
        <v>6.1764612383958735</v>
      </c>
      <c r="CT105" s="3">
        <v>5.9679443038478155</v>
      </c>
      <c r="CU105" s="3">
        <v>5.7770437081047259</v>
      </c>
      <c r="CV105" s="3">
        <v>5.6026390412395859</v>
      </c>
      <c r="CW105" s="3">
        <v>5.435061323094418</v>
      </c>
      <c r="CX105" s="3">
        <v>5.2695564989688233</v>
      </c>
      <c r="CY105" s="3">
        <v>5.1028449777882283</v>
      </c>
    </row>
    <row r="106" spans="1:103" x14ac:dyDescent="0.25">
      <c r="A106" t="s">
        <v>55</v>
      </c>
      <c r="B106" t="s">
        <v>5</v>
      </c>
      <c r="C106">
        <v>16.64451552656714</v>
      </c>
      <c r="D106">
        <v>28.527339124926463</v>
      </c>
      <c r="E106">
        <v>24.716755669072562</v>
      </c>
      <c r="F106">
        <v>24.047803421051334</v>
      </c>
      <c r="G106">
        <v>16.664736461068451</v>
      </c>
      <c r="H106">
        <v>8.0567195427289118</v>
      </c>
      <c r="I106">
        <v>6.9145796435094038</v>
      </c>
      <c r="J106">
        <v>0.85370207339905191</v>
      </c>
      <c r="K106">
        <v>0.76985354747279666</v>
      </c>
      <c r="L106">
        <v>-2.2472653755135541</v>
      </c>
      <c r="M106">
        <v>-4.3987152005246086</v>
      </c>
      <c r="N106">
        <v>-6.1021433632821003</v>
      </c>
      <c r="O106">
        <v>-8.1759402368247063</v>
      </c>
      <c r="P106">
        <v>-8.0310813728197754</v>
      </c>
      <c r="Q106">
        <v>-8.5853949297381487</v>
      </c>
      <c r="R106">
        <v>-8.2620464208686215</v>
      </c>
      <c r="S106">
        <v>-8.0359881813096656</v>
      </c>
      <c r="T106">
        <v>-7.7656065364320845</v>
      </c>
      <c r="U106">
        <v>-7.2007760948816699</v>
      </c>
      <c r="V106">
        <v>-6.9845431174249333</v>
      </c>
      <c r="W106">
        <v>-6.5156089744080781</v>
      </c>
      <c r="X106">
        <v>-6.147284714441577</v>
      </c>
      <c r="Y106">
        <v>-5.6222524942147478</v>
      </c>
      <c r="Z106">
        <v>-4.9649894229978049</v>
      </c>
      <c r="AA106">
        <v>-4.262433689062342</v>
      </c>
      <c r="AB106">
        <v>-3.3950523700276802</v>
      </c>
      <c r="AC106">
        <v>-2.5177086951264993</v>
      </c>
      <c r="AD106">
        <v>-1.567166695625698</v>
      </c>
      <c r="AE106">
        <v>-0.62265379138930266</v>
      </c>
      <c r="AF106">
        <v>0.30047668437120534</v>
      </c>
      <c r="AG106">
        <v>1.2084315550422717</v>
      </c>
      <c r="AH106">
        <v>2.0666728690264575</v>
      </c>
      <c r="AI106">
        <v>2.9084399098292586</v>
      </c>
      <c r="AJ106">
        <v>3.7207002625224597</v>
      </c>
      <c r="AK106">
        <v>4.5247565276762547</v>
      </c>
      <c r="AL106">
        <v>5.3277635235280156</v>
      </c>
      <c r="AM106">
        <v>6.129718002830959</v>
      </c>
      <c r="AN106">
        <v>6.9369049168032504</v>
      </c>
      <c r="AO106">
        <v>7.737348512537066</v>
      </c>
      <c r="AP106">
        <v>8.5282494175341803</v>
      </c>
      <c r="AQ106">
        <v>9.2992434315724157</v>
      </c>
      <c r="AR106">
        <v>10.044508414524209</v>
      </c>
      <c r="AS106">
        <v>10.761856377770101</v>
      </c>
      <c r="AT106">
        <v>11.449561385785106</v>
      </c>
      <c r="AU106">
        <v>12.111516503199736</v>
      </c>
      <c r="AV106">
        <v>12.75025894861704</v>
      </c>
      <c r="AW106">
        <v>13.370092239270415</v>
      </c>
      <c r="AX106">
        <v>13.973882667875104</v>
      </c>
      <c r="AY106">
        <v>14.563024540184641</v>
      </c>
      <c r="BA106" s="1">
        <v>-1</v>
      </c>
      <c r="BB106" t="str">
        <f t="shared" si="1"/>
        <v>Al - Agreste Alagoano</v>
      </c>
      <c r="BC106" s="3" t="s">
        <v>144</v>
      </c>
      <c r="BD106" s="3" t="s">
        <v>144</v>
      </c>
      <c r="BE106" s="3" t="s">
        <v>144</v>
      </c>
      <c r="BF106" s="3" t="s">
        <v>144</v>
      </c>
      <c r="BG106" s="3" t="s">
        <v>144</v>
      </c>
      <c r="BH106" s="3" t="s">
        <v>144</v>
      </c>
      <c r="BI106" s="3" t="s">
        <v>144</v>
      </c>
      <c r="BJ106" s="3" t="s">
        <v>144</v>
      </c>
      <c r="BK106" s="3" t="s">
        <v>144</v>
      </c>
      <c r="BL106" s="3" t="s">
        <v>144</v>
      </c>
      <c r="BM106" s="3" t="s">
        <v>144</v>
      </c>
      <c r="BN106" s="3" t="s">
        <v>144</v>
      </c>
      <c r="BO106" s="3" t="s">
        <v>144</v>
      </c>
      <c r="BP106" s="3" t="s">
        <v>144</v>
      </c>
      <c r="BQ106" s="3" t="s">
        <v>144</v>
      </c>
      <c r="BR106" s="3" t="s">
        <v>144</v>
      </c>
      <c r="BS106" s="3" t="s">
        <v>144</v>
      </c>
      <c r="BT106" s="3" t="s">
        <v>144</v>
      </c>
      <c r="BU106" s="3" t="s">
        <v>144</v>
      </c>
      <c r="BV106" s="3" t="s">
        <v>144</v>
      </c>
      <c r="BW106" s="3" t="s">
        <v>144</v>
      </c>
      <c r="BX106" s="3" t="s">
        <v>144</v>
      </c>
      <c r="BY106" s="3" t="s">
        <v>144</v>
      </c>
      <c r="BZ106" s="3" t="s">
        <v>144</v>
      </c>
      <c r="CA106" s="3" t="s">
        <v>144</v>
      </c>
      <c r="CB106" s="3" t="s">
        <v>144</v>
      </c>
      <c r="CC106" s="3" t="s">
        <v>144</v>
      </c>
      <c r="CD106" s="3" t="s">
        <v>144</v>
      </c>
      <c r="CE106" s="3" t="s">
        <v>144</v>
      </c>
      <c r="CF106" s="3" t="s">
        <v>144</v>
      </c>
      <c r="CG106" s="3" t="s">
        <v>144</v>
      </c>
      <c r="CH106" s="3" t="s">
        <v>144</v>
      </c>
      <c r="CI106" s="3" t="s">
        <v>144</v>
      </c>
      <c r="CJ106" s="3" t="s">
        <v>144</v>
      </c>
      <c r="CK106" s="3" t="s">
        <v>144</v>
      </c>
      <c r="CL106" s="3" t="s">
        <v>144</v>
      </c>
      <c r="CM106" s="3" t="s">
        <v>144</v>
      </c>
      <c r="CN106" s="3" t="s">
        <v>144</v>
      </c>
      <c r="CO106" s="3" t="s">
        <v>144</v>
      </c>
      <c r="CP106" s="3" t="s">
        <v>144</v>
      </c>
      <c r="CQ106" s="3" t="s">
        <v>144</v>
      </c>
      <c r="CR106" s="3" t="s">
        <v>144</v>
      </c>
      <c r="CS106" s="3" t="s">
        <v>144</v>
      </c>
      <c r="CT106" s="3" t="s">
        <v>144</v>
      </c>
      <c r="CU106" s="3" t="s">
        <v>144</v>
      </c>
      <c r="CV106" s="3" t="s">
        <v>144</v>
      </c>
      <c r="CW106" s="3" t="s">
        <v>144</v>
      </c>
      <c r="CX106" s="3" t="s">
        <v>144</v>
      </c>
      <c r="CY106" s="3" t="s">
        <v>144</v>
      </c>
    </row>
    <row r="107" spans="1:103" x14ac:dyDescent="0.25">
      <c r="A107" t="s">
        <v>56</v>
      </c>
      <c r="B107" t="s">
        <v>4</v>
      </c>
      <c r="C107">
        <v>-60.895557638909779</v>
      </c>
      <c r="D107">
        <v>2243.3708811307743</v>
      </c>
      <c r="E107">
        <v>1103.4673207229712</v>
      </c>
      <c r="F107">
        <v>2036.4600781204322</v>
      </c>
      <c r="G107">
        <v>2437.6729365655597</v>
      </c>
      <c r="H107">
        <v>1687.5320204629124</v>
      </c>
      <c r="I107">
        <v>2015.0250525245424</v>
      </c>
      <c r="J107">
        <v>1400.9031118787029</v>
      </c>
      <c r="K107">
        <v>1700.5661692377912</v>
      </c>
      <c r="L107">
        <v>1676.9945856196562</v>
      </c>
      <c r="M107">
        <v>1596.1003380439279</v>
      </c>
      <c r="N107">
        <v>1613.0535252893569</v>
      </c>
      <c r="O107">
        <v>1367.4896708131255</v>
      </c>
      <c r="P107">
        <v>1420.90268868474</v>
      </c>
      <c r="Q107">
        <v>1332.7501998617697</v>
      </c>
      <c r="R107">
        <v>1321.8263474520425</v>
      </c>
      <c r="S107">
        <v>1299.9989425921656</v>
      </c>
      <c r="T107">
        <v>1240.0767893599236</v>
      </c>
      <c r="U107">
        <v>1243.692816938536</v>
      </c>
      <c r="V107">
        <v>1186.6280178367267</v>
      </c>
      <c r="W107">
        <v>1162.3920490075457</v>
      </c>
      <c r="X107">
        <v>1118.1447248693094</v>
      </c>
      <c r="Y107">
        <v>1076.4197821418857</v>
      </c>
      <c r="Z107">
        <v>1046.4162399299382</v>
      </c>
      <c r="AA107">
        <v>1003.7809240016903</v>
      </c>
      <c r="AB107">
        <v>975.57704476365154</v>
      </c>
      <c r="AC107">
        <v>941.11628863944918</v>
      </c>
      <c r="AD107">
        <v>913.70399431740418</v>
      </c>
      <c r="AE107">
        <v>888.7331339547203</v>
      </c>
      <c r="AF107">
        <v>863.30710435877927</v>
      </c>
      <c r="AG107">
        <v>842.04857132805148</v>
      </c>
      <c r="AH107">
        <v>818.07342381611079</v>
      </c>
      <c r="AI107">
        <v>795.7466871234343</v>
      </c>
      <c r="AJ107">
        <v>772.01352190845284</v>
      </c>
      <c r="AK107">
        <v>748.1249918797289</v>
      </c>
      <c r="AL107">
        <v>725.17532968688818</v>
      </c>
      <c r="AM107">
        <v>702.49253736630772</v>
      </c>
      <c r="AN107">
        <v>681.85114294177879</v>
      </c>
      <c r="AO107">
        <v>662.22905567655687</v>
      </c>
      <c r="AP107">
        <v>644.1396363486208</v>
      </c>
      <c r="AQ107">
        <v>627.08880764595756</v>
      </c>
      <c r="AR107">
        <v>610.64077845292479</v>
      </c>
      <c r="AS107">
        <v>594.82924695572001</v>
      </c>
      <c r="AT107">
        <v>579.18197638664037</v>
      </c>
      <c r="AU107">
        <v>563.90472442833766</v>
      </c>
      <c r="AV107">
        <v>548.87809051791498</v>
      </c>
      <c r="AW107">
        <v>534.22085687594824</v>
      </c>
      <c r="AX107">
        <v>520.04804132704965</v>
      </c>
      <c r="AY107">
        <v>506.37098876500937</v>
      </c>
      <c r="BA107" s="1">
        <v>1</v>
      </c>
      <c r="BB107" t="str">
        <f t="shared" si="1"/>
        <v>Al - Leste Alagoano</v>
      </c>
      <c r="BC107" s="3">
        <v>-228.2502987874683</v>
      </c>
      <c r="BD107" s="3">
        <v>2379.0092608007753</v>
      </c>
      <c r="BE107" s="3">
        <v>1520.7369530562819</v>
      </c>
      <c r="BF107" s="3">
        <v>3429.0963777029597</v>
      </c>
      <c r="BG107" s="3">
        <v>3772.93579050786</v>
      </c>
      <c r="BH107" s="3">
        <v>1934.6698170639952</v>
      </c>
      <c r="BI107" s="3">
        <v>1921.0876591262497</v>
      </c>
      <c r="BJ107" s="3">
        <v>1374.0389201884798</v>
      </c>
      <c r="BK107" s="3">
        <v>1978.8959659425216</v>
      </c>
      <c r="BL107" s="3">
        <v>1905.2019714746091</v>
      </c>
      <c r="BM107" s="3">
        <v>1685.8469425987059</v>
      </c>
      <c r="BN107" s="3">
        <v>1751.4698515997686</v>
      </c>
      <c r="BO107" s="3">
        <v>1555.5623247287592</v>
      </c>
      <c r="BP107" s="3">
        <v>1666.742831163072</v>
      </c>
      <c r="BQ107" s="3">
        <v>1519.7107950847794</v>
      </c>
      <c r="BR107" s="3">
        <v>1441.8422445416847</v>
      </c>
      <c r="BS107" s="3">
        <v>1363.1638728937985</v>
      </c>
      <c r="BT107" s="3">
        <v>1237.909456112759</v>
      </c>
      <c r="BU107" s="3">
        <v>1193.2138713869608</v>
      </c>
      <c r="BV107" s="3">
        <v>1082.6388980600116</v>
      </c>
      <c r="BW107" s="3">
        <v>1032.862276713955</v>
      </c>
      <c r="BX107" s="3">
        <v>977.01517313244506</v>
      </c>
      <c r="BY107" s="3">
        <v>931.60615552364698</v>
      </c>
      <c r="BZ107" s="3">
        <v>901.11039210434842</v>
      </c>
      <c r="CA107" s="3">
        <v>850.01988092454428</v>
      </c>
      <c r="CB107" s="3">
        <v>810.84580580600164</v>
      </c>
      <c r="CC107" s="3">
        <v>756.99914519114134</v>
      </c>
      <c r="CD107" s="3">
        <v>705.43024739943485</v>
      </c>
      <c r="CE107" s="3">
        <v>653.22578808196317</v>
      </c>
      <c r="CF107" s="3">
        <v>599.74829850353171</v>
      </c>
      <c r="CG107" s="3">
        <v>553.82155098144904</v>
      </c>
      <c r="CH107" s="3">
        <v>508.3955649987073</v>
      </c>
      <c r="CI107" s="3">
        <v>469.38524023651007</v>
      </c>
      <c r="CJ107" s="3">
        <v>432.56783515702989</v>
      </c>
      <c r="CK107" s="3">
        <v>398.20642851831434</v>
      </c>
      <c r="CL107" s="3">
        <v>366.13604397034374</v>
      </c>
      <c r="CM107" s="3">
        <v>333.92098864407996</v>
      </c>
      <c r="CN107" s="3">
        <v>302.73280334826944</v>
      </c>
      <c r="CO107" s="3">
        <v>270.91016732470791</v>
      </c>
      <c r="CP107" s="3">
        <v>239.32769334342515</v>
      </c>
      <c r="CQ107" s="3">
        <v>208.07835104595483</v>
      </c>
      <c r="CR107" s="3">
        <v>177.46842828498524</v>
      </c>
      <c r="CS107" s="3">
        <v>148.34402009045675</v>
      </c>
      <c r="CT107" s="3">
        <v>120.63673542175695</v>
      </c>
      <c r="CU107" s="3">
        <v>94.776612070381987</v>
      </c>
      <c r="CV107" s="3">
        <v>70.465196928950263</v>
      </c>
      <c r="CW107" s="3">
        <v>47.472805538921364</v>
      </c>
      <c r="CX107" s="3">
        <v>25.49261138683255</v>
      </c>
      <c r="CY107" s="3">
        <v>4.1280151201980289</v>
      </c>
    </row>
    <row r="108" spans="1:103" x14ac:dyDescent="0.25">
      <c r="A108" t="s">
        <v>56</v>
      </c>
      <c r="B108" t="s">
        <v>5</v>
      </c>
      <c r="C108">
        <v>167.3547411485585</v>
      </c>
      <c r="D108">
        <v>-135.63837967000086</v>
      </c>
      <c r="E108">
        <v>-417.26963233331077</v>
      </c>
      <c r="F108">
        <v>-1392.6362995825275</v>
      </c>
      <c r="G108">
        <v>-1335.2628539423004</v>
      </c>
      <c r="H108">
        <v>-247.13779660108275</v>
      </c>
      <c r="I108">
        <v>93.937393398292613</v>
      </c>
      <c r="J108">
        <v>26.864191690223169</v>
      </c>
      <c r="K108">
        <v>-278.32979670473031</v>
      </c>
      <c r="L108">
        <v>-228.207385854953</v>
      </c>
      <c r="M108">
        <v>-89.746604554778031</v>
      </c>
      <c r="N108">
        <v>-138.41632631041162</v>
      </c>
      <c r="O108">
        <v>-188.07265391563368</v>
      </c>
      <c r="P108">
        <v>-245.84014247833187</v>
      </c>
      <c r="Q108">
        <v>-186.96059522300973</v>
      </c>
      <c r="R108">
        <v>-120.01589708964222</v>
      </c>
      <c r="S108">
        <v>-63.164930301632992</v>
      </c>
      <c r="T108">
        <v>2.1673332471645126</v>
      </c>
      <c r="U108">
        <v>50.478945551575102</v>
      </c>
      <c r="V108">
        <v>103.98911977671511</v>
      </c>
      <c r="W108">
        <v>129.5297722935907</v>
      </c>
      <c r="X108">
        <v>141.1295517368643</v>
      </c>
      <c r="Y108">
        <v>144.81362661823869</v>
      </c>
      <c r="Z108">
        <v>145.30584782558981</v>
      </c>
      <c r="AA108">
        <v>153.76104307714607</v>
      </c>
      <c r="AB108">
        <v>164.73123895764988</v>
      </c>
      <c r="AC108">
        <v>184.11714344830781</v>
      </c>
      <c r="AD108">
        <v>208.27374691796933</v>
      </c>
      <c r="AE108">
        <v>235.50734587275713</v>
      </c>
      <c r="AF108">
        <v>263.55880585524756</v>
      </c>
      <c r="AG108">
        <v>288.2270203466025</v>
      </c>
      <c r="AH108">
        <v>309.67785881740349</v>
      </c>
      <c r="AI108">
        <v>326.36144688692423</v>
      </c>
      <c r="AJ108">
        <v>339.44568675142295</v>
      </c>
      <c r="AK108">
        <v>349.91856336141456</v>
      </c>
      <c r="AL108">
        <v>359.03928571654444</v>
      </c>
      <c r="AM108">
        <v>368.57154872222776</v>
      </c>
      <c r="AN108">
        <v>379.11833959350935</v>
      </c>
      <c r="AO108">
        <v>391.31888835184895</v>
      </c>
      <c r="AP108">
        <v>404.81194300519564</v>
      </c>
      <c r="AQ108">
        <v>419.01045660000273</v>
      </c>
      <c r="AR108">
        <v>433.17235016793956</v>
      </c>
      <c r="AS108">
        <v>446.48522686526326</v>
      </c>
      <c r="AT108">
        <v>458.54524096488342</v>
      </c>
      <c r="AU108">
        <v>469.12811235795567</v>
      </c>
      <c r="AV108">
        <v>478.41289358896472</v>
      </c>
      <c r="AW108">
        <v>486.74805133702688</v>
      </c>
      <c r="AX108">
        <v>494.5554299402171</v>
      </c>
      <c r="AY108">
        <v>502.24297364481134</v>
      </c>
      <c r="BA108" s="1">
        <v>-1</v>
      </c>
      <c r="BB108" t="str">
        <f t="shared" si="1"/>
        <v>Al - Leste Alagoano</v>
      </c>
      <c r="BC108" s="3" t="s">
        <v>144</v>
      </c>
      <c r="BD108" s="3" t="s">
        <v>144</v>
      </c>
      <c r="BE108" s="3" t="s">
        <v>144</v>
      </c>
      <c r="BF108" s="3" t="s">
        <v>144</v>
      </c>
      <c r="BG108" s="3" t="s">
        <v>144</v>
      </c>
      <c r="BH108" s="3" t="s">
        <v>144</v>
      </c>
      <c r="BI108" s="3" t="s">
        <v>144</v>
      </c>
      <c r="BJ108" s="3" t="s">
        <v>144</v>
      </c>
      <c r="BK108" s="3" t="s">
        <v>144</v>
      </c>
      <c r="BL108" s="3" t="s">
        <v>144</v>
      </c>
      <c r="BM108" s="3" t="s">
        <v>144</v>
      </c>
      <c r="BN108" s="3" t="s">
        <v>144</v>
      </c>
      <c r="BO108" s="3" t="s">
        <v>144</v>
      </c>
      <c r="BP108" s="3" t="s">
        <v>144</v>
      </c>
      <c r="BQ108" s="3" t="s">
        <v>144</v>
      </c>
      <c r="BR108" s="3" t="s">
        <v>144</v>
      </c>
      <c r="BS108" s="3" t="s">
        <v>144</v>
      </c>
      <c r="BT108" s="3" t="s">
        <v>144</v>
      </c>
      <c r="BU108" s="3" t="s">
        <v>144</v>
      </c>
      <c r="BV108" s="3" t="s">
        <v>144</v>
      </c>
      <c r="BW108" s="3" t="s">
        <v>144</v>
      </c>
      <c r="BX108" s="3" t="s">
        <v>144</v>
      </c>
      <c r="BY108" s="3" t="s">
        <v>144</v>
      </c>
      <c r="BZ108" s="3" t="s">
        <v>144</v>
      </c>
      <c r="CA108" s="3" t="s">
        <v>144</v>
      </c>
      <c r="CB108" s="3" t="s">
        <v>144</v>
      </c>
      <c r="CC108" s="3" t="s">
        <v>144</v>
      </c>
      <c r="CD108" s="3" t="s">
        <v>144</v>
      </c>
      <c r="CE108" s="3" t="s">
        <v>144</v>
      </c>
      <c r="CF108" s="3" t="s">
        <v>144</v>
      </c>
      <c r="CG108" s="3" t="s">
        <v>144</v>
      </c>
      <c r="CH108" s="3" t="s">
        <v>144</v>
      </c>
      <c r="CI108" s="3" t="s">
        <v>144</v>
      </c>
      <c r="CJ108" s="3" t="s">
        <v>144</v>
      </c>
      <c r="CK108" s="3" t="s">
        <v>144</v>
      </c>
      <c r="CL108" s="3" t="s">
        <v>144</v>
      </c>
      <c r="CM108" s="3" t="s">
        <v>144</v>
      </c>
      <c r="CN108" s="3" t="s">
        <v>144</v>
      </c>
      <c r="CO108" s="3" t="s">
        <v>144</v>
      </c>
      <c r="CP108" s="3" t="s">
        <v>144</v>
      </c>
      <c r="CQ108" s="3" t="s">
        <v>144</v>
      </c>
      <c r="CR108" s="3" t="s">
        <v>144</v>
      </c>
      <c r="CS108" s="3" t="s">
        <v>144</v>
      </c>
      <c r="CT108" s="3" t="s">
        <v>144</v>
      </c>
      <c r="CU108" s="3" t="s">
        <v>144</v>
      </c>
      <c r="CV108" s="3" t="s">
        <v>144</v>
      </c>
      <c r="CW108" s="3" t="s">
        <v>144</v>
      </c>
      <c r="CX108" s="3" t="s">
        <v>144</v>
      </c>
      <c r="CY108" s="3" t="s">
        <v>144</v>
      </c>
    </row>
    <row r="109" spans="1:103" x14ac:dyDescent="0.25">
      <c r="A109" t="s">
        <v>57</v>
      </c>
      <c r="B109" t="s">
        <v>4</v>
      </c>
      <c r="C109">
        <v>15.023722268959135</v>
      </c>
      <c r="D109">
        <v>13.059955667194686</v>
      </c>
      <c r="E109">
        <v>15.767215406384528</v>
      </c>
      <c r="F109">
        <v>14.523242158275158</v>
      </c>
      <c r="G109">
        <v>19.836352740068328</v>
      </c>
      <c r="H109">
        <v>19.912982418722883</v>
      </c>
      <c r="I109">
        <v>21.333513905589196</v>
      </c>
      <c r="J109">
        <v>21.944308396564146</v>
      </c>
      <c r="K109">
        <v>22.387641955242533</v>
      </c>
      <c r="L109">
        <v>23.852336186434883</v>
      </c>
      <c r="M109">
        <v>23.588925108501815</v>
      </c>
      <c r="N109">
        <v>23.625132754709607</v>
      </c>
      <c r="O109">
        <v>22.784188692470291</v>
      </c>
      <c r="P109">
        <v>22.094824584193077</v>
      </c>
      <c r="Q109">
        <v>21.664915014273468</v>
      </c>
      <c r="R109">
        <v>21.162123053649925</v>
      </c>
      <c r="S109">
        <v>21.119102937813384</v>
      </c>
      <c r="T109">
        <v>21.052921581097056</v>
      </c>
      <c r="U109">
        <v>21.235988458957809</v>
      </c>
      <c r="V109">
        <v>21.413053937508895</v>
      </c>
      <c r="W109">
        <v>21.507543791685556</v>
      </c>
      <c r="X109">
        <v>21.560623204456292</v>
      </c>
      <c r="Y109">
        <v>21.446553823427706</v>
      </c>
      <c r="Z109">
        <v>21.291021096522904</v>
      </c>
      <c r="AA109">
        <v>21.050495632801621</v>
      </c>
      <c r="AB109">
        <v>20.801135989193423</v>
      </c>
      <c r="AC109">
        <v>20.581165418388395</v>
      </c>
      <c r="AD109">
        <v>20.398537606379325</v>
      </c>
      <c r="AE109">
        <v>20.290623944255589</v>
      </c>
      <c r="AF109">
        <v>20.226339147343957</v>
      </c>
      <c r="AG109">
        <v>20.205342908194961</v>
      </c>
      <c r="AH109">
        <v>20.197247784320446</v>
      </c>
      <c r="AI109">
        <v>20.180928377901136</v>
      </c>
      <c r="AJ109">
        <v>20.14586416302468</v>
      </c>
      <c r="AK109">
        <v>20.07983062808427</v>
      </c>
      <c r="AL109">
        <v>19.991486064877989</v>
      </c>
      <c r="AM109">
        <v>19.88630656605789</v>
      </c>
      <c r="AN109">
        <v>19.778068216235287</v>
      </c>
      <c r="AO109">
        <v>19.677801696068023</v>
      </c>
      <c r="AP109">
        <v>19.591958468428036</v>
      </c>
      <c r="AQ109">
        <v>19.524752584206372</v>
      </c>
      <c r="AR109">
        <v>19.473202836693055</v>
      </c>
      <c r="AS109">
        <v>19.433361425027133</v>
      </c>
      <c r="AT109">
        <v>19.398693534361534</v>
      </c>
      <c r="AU109">
        <v>19.363513684113752</v>
      </c>
      <c r="AV109">
        <v>19.324110475388064</v>
      </c>
      <c r="AW109">
        <v>19.27852078398276</v>
      </c>
      <c r="AX109">
        <v>19.227637658733357</v>
      </c>
      <c r="AY109">
        <v>19.173487898220412</v>
      </c>
      <c r="BA109" s="1">
        <v>1</v>
      </c>
      <c r="BB109" t="str">
        <f t="shared" si="1"/>
        <v>Se - Sertao Sergipano</v>
      </c>
      <c r="BC109" s="3">
        <v>11.001910104056771</v>
      </c>
      <c r="BD109" s="3">
        <v>11.546552643458112</v>
      </c>
      <c r="BE109" s="3">
        <v>11.704491015998713</v>
      </c>
      <c r="BF109" s="3">
        <v>11.454472140018064</v>
      </c>
      <c r="BG109" s="3">
        <v>18.092839698694526</v>
      </c>
      <c r="BH109" s="3">
        <v>15.109187538622193</v>
      </c>
      <c r="BI109" s="3">
        <v>12.037422616029692</v>
      </c>
      <c r="BJ109" s="3">
        <v>8.5992648910957445</v>
      </c>
      <c r="BK109" s="3">
        <v>7.7853134015072261</v>
      </c>
      <c r="BL109" s="3">
        <v>8.640096210252862</v>
      </c>
      <c r="BM109" s="3">
        <v>7.3191731628706478</v>
      </c>
      <c r="BN109" s="3">
        <v>6.7398117232105044</v>
      </c>
      <c r="BO109" s="3">
        <v>5.7896485399697077</v>
      </c>
      <c r="BP109" s="3">
        <v>5.6373215954116844</v>
      </c>
      <c r="BQ109" s="3">
        <v>5.5005518619238281</v>
      </c>
      <c r="BR109" s="3">
        <v>4.9002598157768169</v>
      </c>
      <c r="BS109" s="3">
        <v>4.4474781183269556</v>
      </c>
      <c r="BT109" s="3">
        <v>3.6842607130249512</v>
      </c>
      <c r="BU109" s="3">
        <v>3.0674153110354396</v>
      </c>
      <c r="BV109" s="3">
        <v>2.3391486045776162</v>
      </c>
      <c r="BW109" s="3">
        <v>1.6249180004053017</v>
      </c>
      <c r="BX109" s="3">
        <v>1.0522083971743506</v>
      </c>
      <c r="BY109" s="3">
        <v>0.52421459077217847</v>
      </c>
      <c r="BZ109" s="3">
        <v>0.14609947836586912</v>
      </c>
      <c r="CA109" s="3">
        <v>-0.22490264172628827</v>
      </c>
      <c r="CB109" s="3">
        <v>-0.56372609800688878</v>
      </c>
      <c r="CC109" s="3">
        <v>-0.90651133808625062</v>
      </c>
      <c r="CD109" s="3">
        <v>-1.2784636939389102</v>
      </c>
      <c r="CE109" s="3">
        <v>-1.6544666220009745</v>
      </c>
      <c r="CF109" s="3">
        <v>-2.0580446622763411</v>
      </c>
      <c r="CG109" s="3">
        <v>-2.4542789348715068</v>
      </c>
      <c r="CH109" s="3">
        <v>-2.8440581512842442</v>
      </c>
      <c r="CI109" s="3">
        <v>-3.2149322969448377</v>
      </c>
      <c r="CJ109" s="3">
        <v>-3.5584289492844583</v>
      </c>
      <c r="CK109" s="3">
        <v>-3.8790330240070823</v>
      </c>
      <c r="CL109" s="3">
        <v>-4.1711849827078069</v>
      </c>
      <c r="CM109" s="3">
        <v>-4.4443473933694086</v>
      </c>
      <c r="CN109" s="3">
        <v>-4.7017972822331124</v>
      </c>
      <c r="CO109" s="3">
        <v>-4.9508143573014287</v>
      </c>
      <c r="CP109" s="3">
        <v>-5.1973137405123921</v>
      </c>
      <c r="CQ109" s="3">
        <v>-5.4425460285391054</v>
      </c>
      <c r="CR109" s="3">
        <v>-5.6880863241880846</v>
      </c>
      <c r="CS109" s="3">
        <v>-5.9305262554828673</v>
      </c>
      <c r="CT109" s="3">
        <v>-6.1671012819652553</v>
      </c>
      <c r="CU109" s="3">
        <v>-6.3942538690436095</v>
      </c>
      <c r="CV109" s="3">
        <v>-6.6094855996246196</v>
      </c>
      <c r="CW109" s="3">
        <v>-6.8124015276804144</v>
      </c>
      <c r="CX109" s="3">
        <v>-7.0034348147001495</v>
      </c>
      <c r="CY109" s="3">
        <v>-7.1846838510644311</v>
      </c>
    </row>
    <row r="110" spans="1:103" x14ac:dyDescent="0.25">
      <c r="A110" t="s">
        <v>57</v>
      </c>
      <c r="B110" t="s">
        <v>5</v>
      </c>
      <c r="C110">
        <v>4.0218121649023644</v>
      </c>
      <c r="D110">
        <v>1.5134030237365743</v>
      </c>
      <c r="E110">
        <v>4.0627243903858163</v>
      </c>
      <c r="F110">
        <v>3.0687700182570947</v>
      </c>
      <c r="G110">
        <v>1.7435130413738027</v>
      </c>
      <c r="H110">
        <v>4.8037948801006909</v>
      </c>
      <c r="I110">
        <v>9.296091289559504</v>
      </c>
      <c r="J110">
        <v>13.345043505468402</v>
      </c>
      <c r="K110">
        <v>14.602328553735306</v>
      </c>
      <c r="L110">
        <v>15.212239976182021</v>
      </c>
      <c r="M110">
        <v>16.269751945631167</v>
      </c>
      <c r="N110">
        <v>16.885321031499103</v>
      </c>
      <c r="O110">
        <v>16.994540152500583</v>
      </c>
      <c r="P110">
        <v>16.457502988781393</v>
      </c>
      <c r="Q110">
        <v>16.16436315234964</v>
      </c>
      <c r="R110">
        <v>16.261863237873108</v>
      </c>
      <c r="S110">
        <v>16.671624819486428</v>
      </c>
      <c r="T110">
        <v>17.368660868072105</v>
      </c>
      <c r="U110">
        <v>18.16857314792237</v>
      </c>
      <c r="V110">
        <v>19.073905332931279</v>
      </c>
      <c r="W110">
        <v>19.882625791280255</v>
      </c>
      <c r="X110">
        <v>20.508414807281941</v>
      </c>
      <c r="Y110">
        <v>20.922339232655528</v>
      </c>
      <c r="Z110">
        <v>21.144921618157035</v>
      </c>
      <c r="AA110">
        <v>21.275398274527909</v>
      </c>
      <c r="AB110">
        <v>21.364862087200311</v>
      </c>
      <c r="AC110">
        <v>21.487676756474645</v>
      </c>
      <c r="AD110">
        <v>21.677001300318235</v>
      </c>
      <c r="AE110">
        <v>21.945090566256564</v>
      </c>
      <c r="AF110">
        <v>22.284383809620298</v>
      </c>
      <c r="AG110">
        <v>22.659621843066468</v>
      </c>
      <c r="AH110">
        <v>23.04130593560469</v>
      </c>
      <c r="AI110">
        <v>23.395860674845974</v>
      </c>
      <c r="AJ110">
        <v>23.704293112309138</v>
      </c>
      <c r="AK110">
        <v>23.958863652091352</v>
      </c>
      <c r="AL110">
        <v>24.162671047585796</v>
      </c>
      <c r="AM110">
        <v>24.330653959427298</v>
      </c>
      <c r="AN110">
        <v>24.479865498468399</v>
      </c>
      <c r="AO110">
        <v>24.628616053369452</v>
      </c>
      <c r="AP110">
        <v>24.789272208940428</v>
      </c>
      <c r="AQ110">
        <v>24.967298612745477</v>
      </c>
      <c r="AR110">
        <v>25.16128916088114</v>
      </c>
      <c r="AS110">
        <v>25.36388768051</v>
      </c>
      <c r="AT110">
        <v>25.56579481632679</v>
      </c>
      <c r="AU110">
        <v>25.757767553157361</v>
      </c>
      <c r="AV110">
        <v>25.933596075012684</v>
      </c>
      <c r="AW110">
        <v>26.090922311663174</v>
      </c>
      <c r="AX110">
        <v>26.231072473433507</v>
      </c>
      <c r="AY110">
        <v>26.358171749284843</v>
      </c>
      <c r="BA110" s="1">
        <v>-1</v>
      </c>
      <c r="BB110" t="str">
        <f t="shared" si="1"/>
        <v>Se - Sertao Sergipano</v>
      </c>
      <c r="BC110" s="3" t="s">
        <v>144</v>
      </c>
      <c r="BD110" s="3" t="s">
        <v>144</v>
      </c>
      <c r="BE110" s="3" t="s">
        <v>144</v>
      </c>
      <c r="BF110" s="3" t="s">
        <v>144</v>
      </c>
      <c r="BG110" s="3" t="s">
        <v>144</v>
      </c>
      <c r="BH110" s="3" t="s">
        <v>144</v>
      </c>
      <c r="BI110" s="3" t="s">
        <v>144</v>
      </c>
      <c r="BJ110" s="3" t="s">
        <v>144</v>
      </c>
      <c r="BK110" s="3" t="s">
        <v>144</v>
      </c>
      <c r="BL110" s="3" t="s">
        <v>144</v>
      </c>
      <c r="BM110" s="3" t="s">
        <v>144</v>
      </c>
      <c r="BN110" s="3" t="s">
        <v>144</v>
      </c>
      <c r="BO110" s="3" t="s">
        <v>144</v>
      </c>
      <c r="BP110" s="3" t="s">
        <v>144</v>
      </c>
      <c r="BQ110" s="3" t="s">
        <v>144</v>
      </c>
      <c r="BR110" s="3" t="s">
        <v>144</v>
      </c>
      <c r="BS110" s="3" t="s">
        <v>144</v>
      </c>
      <c r="BT110" s="3" t="s">
        <v>144</v>
      </c>
      <c r="BU110" s="3" t="s">
        <v>144</v>
      </c>
      <c r="BV110" s="3" t="s">
        <v>144</v>
      </c>
      <c r="BW110" s="3" t="s">
        <v>144</v>
      </c>
      <c r="BX110" s="3" t="s">
        <v>144</v>
      </c>
      <c r="BY110" s="3" t="s">
        <v>144</v>
      </c>
      <c r="BZ110" s="3" t="s">
        <v>144</v>
      </c>
      <c r="CA110" s="3" t="s">
        <v>144</v>
      </c>
      <c r="CB110" s="3" t="s">
        <v>144</v>
      </c>
      <c r="CC110" s="3" t="s">
        <v>144</v>
      </c>
      <c r="CD110" s="3" t="s">
        <v>144</v>
      </c>
      <c r="CE110" s="3" t="s">
        <v>144</v>
      </c>
      <c r="CF110" s="3" t="s">
        <v>144</v>
      </c>
      <c r="CG110" s="3" t="s">
        <v>144</v>
      </c>
      <c r="CH110" s="3" t="s">
        <v>144</v>
      </c>
      <c r="CI110" s="3" t="s">
        <v>144</v>
      </c>
      <c r="CJ110" s="3" t="s">
        <v>144</v>
      </c>
      <c r="CK110" s="3" t="s">
        <v>144</v>
      </c>
      <c r="CL110" s="3" t="s">
        <v>144</v>
      </c>
      <c r="CM110" s="3" t="s">
        <v>144</v>
      </c>
      <c r="CN110" s="3" t="s">
        <v>144</v>
      </c>
      <c r="CO110" s="3" t="s">
        <v>144</v>
      </c>
      <c r="CP110" s="3" t="s">
        <v>144</v>
      </c>
      <c r="CQ110" s="3" t="s">
        <v>144</v>
      </c>
      <c r="CR110" s="3" t="s">
        <v>144</v>
      </c>
      <c r="CS110" s="3" t="s">
        <v>144</v>
      </c>
      <c r="CT110" s="3" t="s">
        <v>144</v>
      </c>
      <c r="CU110" s="3" t="s">
        <v>144</v>
      </c>
      <c r="CV110" s="3" t="s">
        <v>144</v>
      </c>
      <c r="CW110" s="3" t="s">
        <v>144</v>
      </c>
      <c r="CX110" s="3" t="s">
        <v>144</v>
      </c>
      <c r="CY110" s="3" t="s">
        <v>144</v>
      </c>
    </row>
    <row r="111" spans="1:103" x14ac:dyDescent="0.25">
      <c r="A111" t="s">
        <v>58</v>
      </c>
      <c r="B111" t="s">
        <v>4</v>
      </c>
      <c r="C111">
        <v>51.357652267672357</v>
      </c>
      <c r="D111">
        <v>43.860089980807174</v>
      </c>
      <c r="E111">
        <v>72.286834452244463</v>
      </c>
      <c r="F111">
        <v>71.972636061840063</v>
      </c>
      <c r="G111">
        <v>106.54522928189704</v>
      </c>
      <c r="H111">
        <v>88.207197586956454</v>
      </c>
      <c r="I111">
        <v>98.054432524683889</v>
      </c>
      <c r="J111">
        <v>108.87154597940749</v>
      </c>
      <c r="K111">
        <v>111.47812626169008</v>
      </c>
      <c r="L111">
        <v>119.85666266245448</v>
      </c>
      <c r="M111">
        <v>111.97067577080276</v>
      </c>
      <c r="N111">
        <v>113.01266317742851</v>
      </c>
      <c r="O111">
        <v>108.48381165255324</v>
      </c>
      <c r="P111">
        <v>105.40967561235497</v>
      </c>
      <c r="Q111">
        <v>104.60002811585645</v>
      </c>
      <c r="R111">
        <v>102.6714426832033</v>
      </c>
      <c r="S111">
        <v>105.36030012742754</v>
      </c>
      <c r="T111">
        <v>106.95764585993939</v>
      </c>
      <c r="U111">
        <v>110.02329535774091</v>
      </c>
      <c r="V111">
        <v>112.36311938853895</v>
      </c>
      <c r="W111">
        <v>113.59332360853641</v>
      </c>
      <c r="X111">
        <v>114.58258425053269</v>
      </c>
      <c r="Y111">
        <v>114.14263800524083</v>
      </c>
      <c r="Z111">
        <v>113.70412982301855</v>
      </c>
      <c r="AA111">
        <v>112.84086378245431</v>
      </c>
      <c r="AB111">
        <v>112.20439473384059</v>
      </c>
      <c r="AC111">
        <v>111.99516993465443</v>
      </c>
      <c r="AD111">
        <v>112.04402664898222</v>
      </c>
      <c r="AE111">
        <v>112.5964809973502</v>
      </c>
      <c r="AF111">
        <v>113.26835367740165</v>
      </c>
      <c r="AG111">
        <v>114.08328943266211</v>
      </c>
      <c r="AH111">
        <v>114.81846898669698</v>
      </c>
      <c r="AI111">
        <v>115.363282862652</v>
      </c>
      <c r="AJ111">
        <v>115.72151947832991</v>
      </c>
      <c r="AK111">
        <v>115.83723209326904</v>
      </c>
      <c r="AL111">
        <v>115.82924609464818</v>
      </c>
      <c r="AM111">
        <v>115.74088090877322</v>
      </c>
      <c r="AN111">
        <v>115.67242449017505</v>
      </c>
      <c r="AO111">
        <v>115.68717851029079</v>
      </c>
      <c r="AP111">
        <v>115.80198902836949</v>
      </c>
      <c r="AQ111">
        <v>116.02649034207398</v>
      </c>
      <c r="AR111">
        <v>116.31442110823049</v>
      </c>
      <c r="AS111">
        <v>116.62938310728489</v>
      </c>
      <c r="AT111">
        <v>116.92364830663698</v>
      </c>
      <c r="AU111">
        <v>117.16557242898354</v>
      </c>
      <c r="AV111">
        <v>117.34459906722141</v>
      </c>
      <c r="AW111">
        <v>117.46145569912623</v>
      </c>
      <c r="AX111">
        <v>117.53641065086671</v>
      </c>
      <c r="AY111">
        <v>117.59045562965677</v>
      </c>
      <c r="BA111" s="1">
        <v>1</v>
      </c>
      <c r="BB111" t="str">
        <f t="shared" si="1"/>
        <v>Se - Agreste Sergipano</v>
      </c>
      <c r="BC111" s="3">
        <v>15.297171915153875</v>
      </c>
      <c r="BD111" s="3">
        <v>72.509002909721318</v>
      </c>
      <c r="BE111" s="3">
        <v>53.940702675341996</v>
      </c>
      <c r="BF111" s="3">
        <v>132.87681188296571</v>
      </c>
      <c r="BG111" s="3">
        <v>107.35309477380365</v>
      </c>
      <c r="BH111" s="3">
        <v>56.127534977254399</v>
      </c>
      <c r="BI111" s="3">
        <v>74.307272771159461</v>
      </c>
      <c r="BJ111" s="3">
        <v>65.438699359475294</v>
      </c>
      <c r="BK111" s="3">
        <v>85.014800326505338</v>
      </c>
      <c r="BL111" s="3">
        <v>71.934617329759362</v>
      </c>
      <c r="BM111" s="3">
        <v>68.430603438836499</v>
      </c>
      <c r="BN111" s="3">
        <v>71.278233698267641</v>
      </c>
      <c r="BO111" s="3">
        <v>64.543540427234177</v>
      </c>
      <c r="BP111" s="3">
        <v>65.611422001206591</v>
      </c>
      <c r="BQ111" s="3">
        <v>57.225252067056992</v>
      </c>
      <c r="BR111" s="3">
        <v>54.891520691550355</v>
      </c>
      <c r="BS111" s="3">
        <v>51.859871502681798</v>
      </c>
      <c r="BT111" s="3">
        <v>48.791123240368726</v>
      </c>
      <c r="BU111" s="3">
        <v>48.084062043453329</v>
      </c>
      <c r="BV111" s="3">
        <v>45.328673207694365</v>
      </c>
      <c r="BW111" s="3">
        <v>44.798079091271447</v>
      </c>
      <c r="BX111" s="3">
        <v>43.147512901726685</v>
      </c>
      <c r="BY111" s="3">
        <v>41.722610855233896</v>
      </c>
      <c r="BZ111" s="3">
        <v>40.199127427994455</v>
      </c>
      <c r="CA111" s="3">
        <v>38.00873472360577</v>
      </c>
      <c r="CB111" s="3">
        <v>36.267150114172267</v>
      </c>
      <c r="CC111" s="3">
        <v>34.078263530480115</v>
      </c>
      <c r="CD111" s="3">
        <v>32.231044125676931</v>
      </c>
      <c r="CE111" s="3">
        <v>30.446699425293062</v>
      </c>
      <c r="CF111" s="3">
        <v>28.825747382157743</v>
      </c>
      <c r="CG111" s="3">
        <v>27.513829845441762</v>
      </c>
      <c r="CH111" s="3">
        <v>26.233136109284956</v>
      </c>
      <c r="CI111" s="3">
        <v>25.144852953287128</v>
      </c>
      <c r="CJ111" s="3">
        <v>24.028937225017401</v>
      </c>
      <c r="CK111" s="3">
        <v>22.921755469933004</v>
      </c>
      <c r="CL111" s="3">
        <v>21.790063417895865</v>
      </c>
      <c r="CM111" s="3">
        <v>20.600541197306811</v>
      </c>
      <c r="CN111" s="3">
        <v>19.427095409219817</v>
      </c>
      <c r="CO111" s="3">
        <v>18.248777266127206</v>
      </c>
      <c r="CP111" s="3">
        <v>17.131076253783831</v>
      </c>
      <c r="CQ111" s="3">
        <v>16.076120268819651</v>
      </c>
      <c r="CR111" s="3">
        <v>15.094334076365726</v>
      </c>
      <c r="CS111" s="3">
        <v>14.190345628888366</v>
      </c>
      <c r="CT111" s="3">
        <v>13.339882598845364</v>
      </c>
      <c r="CU111" s="3">
        <v>12.538321720842916</v>
      </c>
      <c r="CV111" s="3">
        <v>11.761381106840048</v>
      </c>
      <c r="CW111" s="3">
        <v>11.000948577195032</v>
      </c>
      <c r="CX111" s="3">
        <v>10.250093302453124</v>
      </c>
      <c r="CY111" s="3">
        <v>9.5063307097270666</v>
      </c>
    </row>
    <row r="112" spans="1:103" x14ac:dyDescent="0.25">
      <c r="A112" t="s">
        <v>58</v>
      </c>
      <c r="B112" t="s">
        <v>5</v>
      </c>
      <c r="C112">
        <v>36.060480352518482</v>
      </c>
      <c r="D112">
        <v>-28.64891292891415</v>
      </c>
      <c r="E112">
        <v>18.346131776902467</v>
      </c>
      <c r="F112">
        <v>-60.904175821125655</v>
      </c>
      <c r="G112">
        <v>-0.80786549190660983</v>
      </c>
      <c r="H112">
        <v>32.079662609702055</v>
      </c>
      <c r="I112">
        <v>23.747159753524425</v>
      </c>
      <c r="J112">
        <v>43.432846619932185</v>
      </c>
      <c r="K112">
        <v>26.463325935184745</v>
      </c>
      <c r="L112">
        <v>47.922045332695127</v>
      </c>
      <c r="M112">
        <v>43.540072331966257</v>
      </c>
      <c r="N112">
        <v>41.734429479160866</v>
      </c>
      <c r="O112">
        <v>43.940271225319059</v>
      </c>
      <c r="P112">
        <v>39.798253611148382</v>
      </c>
      <c r="Q112">
        <v>47.374776048799454</v>
      </c>
      <c r="R112">
        <v>47.779921991652941</v>
      </c>
      <c r="S112">
        <v>53.500428624745737</v>
      </c>
      <c r="T112">
        <v>58.166522619570664</v>
      </c>
      <c r="U112">
        <v>61.939233314287577</v>
      </c>
      <c r="V112">
        <v>67.034446180844583</v>
      </c>
      <c r="W112">
        <v>68.795244517264962</v>
      </c>
      <c r="X112">
        <v>71.435071348806005</v>
      </c>
      <c r="Y112">
        <v>72.420027150006931</v>
      </c>
      <c r="Z112">
        <v>73.505002395024093</v>
      </c>
      <c r="AA112">
        <v>74.832129058848537</v>
      </c>
      <c r="AB112">
        <v>75.93724461966832</v>
      </c>
      <c r="AC112">
        <v>77.916906404174313</v>
      </c>
      <c r="AD112">
        <v>79.812982523305294</v>
      </c>
      <c r="AE112">
        <v>82.149781572057137</v>
      </c>
      <c r="AF112">
        <v>84.442606295243905</v>
      </c>
      <c r="AG112">
        <v>86.569459587220351</v>
      </c>
      <c r="AH112">
        <v>88.585332877412029</v>
      </c>
      <c r="AI112">
        <v>90.218429909364872</v>
      </c>
      <c r="AJ112">
        <v>91.692582253312509</v>
      </c>
      <c r="AK112">
        <v>92.915476623336033</v>
      </c>
      <c r="AL112">
        <v>94.039182676752318</v>
      </c>
      <c r="AM112">
        <v>95.14033971146641</v>
      </c>
      <c r="AN112">
        <v>96.24532908095523</v>
      </c>
      <c r="AO112">
        <v>97.438401244163586</v>
      </c>
      <c r="AP112">
        <v>98.670912774585659</v>
      </c>
      <c r="AQ112">
        <v>99.950370073254334</v>
      </c>
      <c r="AR112">
        <v>101.22008703186476</v>
      </c>
      <c r="AS112">
        <v>102.43903747839653</v>
      </c>
      <c r="AT112">
        <v>103.58376570779161</v>
      </c>
      <c r="AU112">
        <v>104.62725070814062</v>
      </c>
      <c r="AV112">
        <v>105.58321796038136</v>
      </c>
      <c r="AW112">
        <v>106.4605071219312</v>
      </c>
      <c r="AX112">
        <v>107.28631734841359</v>
      </c>
      <c r="AY112">
        <v>108.08412491992971</v>
      </c>
      <c r="BA112" s="1">
        <v>-1</v>
      </c>
      <c r="BB112" t="str">
        <f t="shared" si="1"/>
        <v>Se - Agreste Sergipano</v>
      </c>
      <c r="BC112" s="3" t="s">
        <v>144</v>
      </c>
      <c r="BD112" s="3" t="s">
        <v>144</v>
      </c>
      <c r="BE112" s="3" t="s">
        <v>144</v>
      </c>
      <c r="BF112" s="3" t="s">
        <v>144</v>
      </c>
      <c r="BG112" s="3" t="s">
        <v>144</v>
      </c>
      <c r="BH112" s="3" t="s">
        <v>144</v>
      </c>
      <c r="BI112" s="3" t="s">
        <v>144</v>
      </c>
      <c r="BJ112" s="3" t="s">
        <v>144</v>
      </c>
      <c r="BK112" s="3" t="s">
        <v>144</v>
      </c>
      <c r="BL112" s="3" t="s">
        <v>144</v>
      </c>
      <c r="BM112" s="3" t="s">
        <v>144</v>
      </c>
      <c r="BN112" s="3" t="s">
        <v>144</v>
      </c>
      <c r="BO112" s="3" t="s">
        <v>144</v>
      </c>
      <c r="BP112" s="3" t="s">
        <v>144</v>
      </c>
      <c r="BQ112" s="3" t="s">
        <v>144</v>
      </c>
      <c r="BR112" s="3" t="s">
        <v>144</v>
      </c>
      <c r="BS112" s="3" t="s">
        <v>144</v>
      </c>
      <c r="BT112" s="3" t="s">
        <v>144</v>
      </c>
      <c r="BU112" s="3" t="s">
        <v>144</v>
      </c>
      <c r="BV112" s="3" t="s">
        <v>144</v>
      </c>
      <c r="BW112" s="3" t="s">
        <v>144</v>
      </c>
      <c r="BX112" s="3" t="s">
        <v>144</v>
      </c>
      <c r="BY112" s="3" t="s">
        <v>144</v>
      </c>
      <c r="BZ112" s="3" t="s">
        <v>144</v>
      </c>
      <c r="CA112" s="3" t="s">
        <v>144</v>
      </c>
      <c r="CB112" s="3" t="s">
        <v>144</v>
      </c>
      <c r="CC112" s="3" t="s">
        <v>144</v>
      </c>
      <c r="CD112" s="3" t="s">
        <v>144</v>
      </c>
      <c r="CE112" s="3" t="s">
        <v>144</v>
      </c>
      <c r="CF112" s="3" t="s">
        <v>144</v>
      </c>
      <c r="CG112" s="3" t="s">
        <v>144</v>
      </c>
      <c r="CH112" s="3" t="s">
        <v>144</v>
      </c>
      <c r="CI112" s="3" t="s">
        <v>144</v>
      </c>
      <c r="CJ112" s="3" t="s">
        <v>144</v>
      </c>
      <c r="CK112" s="3" t="s">
        <v>144</v>
      </c>
      <c r="CL112" s="3" t="s">
        <v>144</v>
      </c>
      <c r="CM112" s="3" t="s">
        <v>144</v>
      </c>
      <c r="CN112" s="3" t="s">
        <v>144</v>
      </c>
      <c r="CO112" s="3" t="s">
        <v>144</v>
      </c>
      <c r="CP112" s="3" t="s">
        <v>144</v>
      </c>
      <c r="CQ112" s="3" t="s">
        <v>144</v>
      </c>
      <c r="CR112" s="3" t="s">
        <v>144</v>
      </c>
      <c r="CS112" s="3" t="s">
        <v>144</v>
      </c>
      <c r="CT112" s="3" t="s">
        <v>144</v>
      </c>
      <c r="CU112" s="3" t="s">
        <v>144</v>
      </c>
      <c r="CV112" s="3" t="s">
        <v>144</v>
      </c>
      <c r="CW112" s="3" t="s">
        <v>144</v>
      </c>
      <c r="CX112" s="3" t="s">
        <v>144</v>
      </c>
      <c r="CY112" s="3" t="s">
        <v>144</v>
      </c>
    </row>
    <row r="113" spans="1:103" x14ac:dyDescent="0.25">
      <c r="A113" t="s">
        <v>59</v>
      </c>
      <c r="B113" t="s">
        <v>4</v>
      </c>
      <c r="C113">
        <v>425.54639440360279</v>
      </c>
      <c r="D113">
        <v>473.74531715955425</v>
      </c>
      <c r="E113">
        <v>515.91674246639707</v>
      </c>
      <c r="F113">
        <v>428.63020313996282</v>
      </c>
      <c r="G113">
        <v>527.3027935251464</v>
      </c>
      <c r="H113">
        <v>585.24164222513832</v>
      </c>
      <c r="I113">
        <v>599.84732086265058</v>
      </c>
      <c r="J113">
        <v>628.14686152993409</v>
      </c>
      <c r="K113">
        <v>626.50707425843052</v>
      </c>
      <c r="L113">
        <v>662.66804112894692</v>
      </c>
      <c r="M113">
        <v>655.26465901214158</v>
      </c>
      <c r="N113">
        <v>636.66582459318613</v>
      </c>
      <c r="O113">
        <v>611.67146854121188</v>
      </c>
      <c r="P113">
        <v>586.31619785964062</v>
      </c>
      <c r="Q113">
        <v>580.47427809370549</v>
      </c>
      <c r="R113">
        <v>574.86022386280047</v>
      </c>
      <c r="S113">
        <v>581.39093967648864</v>
      </c>
      <c r="T113">
        <v>590.56623891779429</v>
      </c>
      <c r="U113">
        <v>601.42582778512349</v>
      </c>
      <c r="V113">
        <v>611.93626946050631</v>
      </c>
      <c r="W113">
        <v>615.90472972716759</v>
      </c>
      <c r="X113">
        <v>617.00808632883115</v>
      </c>
      <c r="Y113">
        <v>613.21959551642749</v>
      </c>
      <c r="Z113">
        <v>607.84233192900365</v>
      </c>
      <c r="AA113">
        <v>601.93411468050829</v>
      </c>
      <c r="AB113">
        <v>596.44327233360752</v>
      </c>
      <c r="AC113">
        <v>593.20990208413525</v>
      </c>
      <c r="AD113">
        <v>591.70843617882008</v>
      </c>
      <c r="AE113">
        <v>592.43195078206395</v>
      </c>
      <c r="AF113">
        <v>594.34770017158564</v>
      </c>
      <c r="AG113">
        <v>596.74909053090653</v>
      </c>
      <c r="AH113">
        <v>598.9573732751071</v>
      </c>
      <c r="AI113">
        <v>600.19671942747777</v>
      </c>
      <c r="AJ113">
        <v>600.40536606617968</v>
      </c>
      <c r="AK113">
        <v>599.48514377377649</v>
      </c>
      <c r="AL113">
        <v>597.85464429189324</v>
      </c>
      <c r="AM113">
        <v>595.95321228728096</v>
      </c>
      <c r="AN113">
        <v>594.20684663899283</v>
      </c>
      <c r="AO113">
        <v>592.98143723710655</v>
      </c>
      <c r="AP113">
        <v>592.36246467035096</v>
      </c>
      <c r="AQ113">
        <v>592.33509218989241</v>
      </c>
      <c r="AR113">
        <v>592.69375464931341</v>
      </c>
      <c r="AS113">
        <v>593.19970981831864</v>
      </c>
      <c r="AT113">
        <v>593.63084575571077</v>
      </c>
      <c r="AU113">
        <v>593.81951495519456</v>
      </c>
      <c r="AV113">
        <v>593.71373039273703</v>
      </c>
      <c r="AW113">
        <v>593.33143542841071</v>
      </c>
      <c r="AX113">
        <v>592.76679826962015</v>
      </c>
      <c r="AY113">
        <v>592.13649256233714</v>
      </c>
      <c r="BA113" s="1">
        <v>1</v>
      </c>
      <c r="BB113" t="str">
        <f t="shared" si="1"/>
        <v>Se - Leste Sergipano</v>
      </c>
      <c r="BC113" s="3">
        <v>403.05672484791023</v>
      </c>
      <c r="BD113" s="3">
        <v>452.75656391488911</v>
      </c>
      <c r="BE113" s="3">
        <v>329.23058589989353</v>
      </c>
      <c r="BF113" s="3">
        <v>468.41489155887803</v>
      </c>
      <c r="BG113" s="3">
        <v>482.88698218603776</v>
      </c>
      <c r="BH113" s="3">
        <v>418.93839545989772</v>
      </c>
      <c r="BI113" s="3">
        <v>366.18532075972615</v>
      </c>
      <c r="BJ113" s="3">
        <v>335.62794244330138</v>
      </c>
      <c r="BK113" s="3">
        <v>381.45642366295181</v>
      </c>
      <c r="BL113" s="3">
        <v>373.52639763265165</v>
      </c>
      <c r="BM113" s="3">
        <v>359.75588944161183</v>
      </c>
      <c r="BN113" s="3">
        <v>334.59652510240852</v>
      </c>
      <c r="BO113" s="3">
        <v>309.92546664092026</v>
      </c>
      <c r="BP113" s="3">
        <v>298.19442318387632</v>
      </c>
      <c r="BQ113" s="3">
        <v>276.08987545402755</v>
      </c>
      <c r="BR113" s="3">
        <v>262.47295761740139</v>
      </c>
      <c r="BS113" s="3">
        <v>247.43208177332525</v>
      </c>
      <c r="BT113" s="3">
        <v>236.8153508641044</v>
      </c>
      <c r="BU113" s="3">
        <v>228.81848736811747</v>
      </c>
      <c r="BV113" s="3">
        <v>218.75775930531023</v>
      </c>
      <c r="BW113" s="3">
        <v>210.92516341233608</v>
      </c>
      <c r="BX113" s="3">
        <v>201.26217710500879</v>
      </c>
      <c r="BY113" s="3">
        <v>192.28586201403522</v>
      </c>
      <c r="BZ113" s="3">
        <v>182.38997245734697</v>
      </c>
      <c r="CA113" s="3">
        <v>171.6124449141073</v>
      </c>
      <c r="CB113" s="3">
        <v>161.14970924747382</v>
      </c>
      <c r="CC113" s="3">
        <v>150.48859123348643</v>
      </c>
      <c r="CD113" s="3">
        <v>140.96326520241183</v>
      </c>
      <c r="CE113" s="3">
        <v>132.14829126712078</v>
      </c>
      <c r="CF113" s="3">
        <v>124.34507204395453</v>
      </c>
      <c r="CG113" s="3">
        <v>117.39466026627514</v>
      </c>
      <c r="CH113" s="3">
        <v>110.82951664996887</v>
      </c>
      <c r="CI113" s="3">
        <v>104.57851035818635</v>
      </c>
      <c r="CJ113" s="3">
        <v>98.204526163536684</v>
      </c>
      <c r="CK113" s="3">
        <v>91.762469321740127</v>
      </c>
      <c r="CL113" s="3">
        <v>85.221487855689247</v>
      </c>
      <c r="CM113" s="3">
        <v>78.686430244014559</v>
      </c>
      <c r="CN113" s="3">
        <v>72.328251452508425</v>
      </c>
      <c r="CO113" s="3">
        <v>66.205270353055653</v>
      </c>
      <c r="CP113" s="3">
        <v>60.437882194337476</v>
      </c>
      <c r="CQ113" s="3">
        <v>55.016274503107411</v>
      </c>
      <c r="CR113" s="3">
        <v>49.934472597627405</v>
      </c>
      <c r="CS113" s="3">
        <v>45.144047462376989</v>
      </c>
      <c r="CT113" s="3">
        <v>40.573300960224969</v>
      </c>
      <c r="CU113" s="3">
        <v>36.173371409158904</v>
      </c>
      <c r="CV113" s="3">
        <v>31.883522362264557</v>
      </c>
      <c r="CW113" s="3">
        <v>27.680580453608513</v>
      </c>
      <c r="CX113" s="3">
        <v>23.552786464634096</v>
      </c>
      <c r="CY113" s="3">
        <v>19.511064828189774</v>
      </c>
    </row>
    <row r="114" spans="1:103" x14ac:dyDescent="0.25">
      <c r="A114" t="s">
        <v>59</v>
      </c>
      <c r="B114" t="s">
        <v>5</v>
      </c>
      <c r="C114">
        <v>22.489669555692583</v>
      </c>
      <c r="D114">
        <v>20.988753244665119</v>
      </c>
      <c r="E114">
        <v>186.68615656650351</v>
      </c>
      <c r="F114">
        <v>-39.784688418915238</v>
      </c>
      <c r="G114">
        <v>44.415811339108622</v>
      </c>
      <c r="H114">
        <v>166.30324676524057</v>
      </c>
      <c r="I114">
        <v>233.66200010292442</v>
      </c>
      <c r="J114">
        <v>292.51891908663271</v>
      </c>
      <c r="K114">
        <v>245.05065059547871</v>
      </c>
      <c r="L114">
        <v>289.14164349629527</v>
      </c>
      <c r="M114">
        <v>295.50876957052975</v>
      </c>
      <c r="N114">
        <v>302.06929949077761</v>
      </c>
      <c r="O114">
        <v>301.74600190029162</v>
      </c>
      <c r="P114">
        <v>288.1217746757643</v>
      </c>
      <c r="Q114">
        <v>304.38440263967794</v>
      </c>
      <c r="R114">
        <v>312.38726624539908</v>
      </c>
      <c r="S114">
        <v>333.95885790316339</v>
      </c>
      <c r="T114">
        <v>353.75088805368989</v>
      </c>
      <c r="U114">
        <v>372.60734041700601</v>
      </c>
      <c r="V114">
        <v>393.17851015519608</v>
      </c>
      <c r="W114">
        <v>404.97956631483152</v>
      </c>
      <c r="X114">
        <v>415.74590922382237</v>
      </c>
      <c r="Y114">
        <v>420.93373350239227</v>
      </c>
      <c r="Z114">
        <v>425.45235947165668</v>
      </c>
      <c r="AA114">
        <v>430.32166976640099</v>
      </c>
      <c r="AB114">
        <v>435.2935630861337</v>
      </c>
      <c r="AC114">
        <v>442.72131085064882</v>
      </c>
      <c r="AD114">
        <v>450.74517097640825</v>
      </c>
      <c r="AE114">
        <v>460.28365951494317</v>
      </c>
      <c r="AF114">
        <v>470.00262812763111</v>
      </c>
      <c r="AG114">
        <v>479.35443026463139</v>
      </c>
      <c r="AH114">
        <v>488.12785662513824</v>
      </c>
      <c r="AI114">
        <v>495.61820906929142</v>
      </c>
      <c r="AJ114">
        <v>502.200839902643</v>
      </c>
      <c r="AK114">
        <v>507.72267445203636</v>
      </c>
      <c r="AL114">
        <v>512.63315643620399</v>
      </c>
      <c r="AM114">
        <v>517.2667820432664</v>
      </c>
      <c r="AN114">
        <v>521.8785951864844</v>
      </c>
      <c r="AO114">
        <v>526.77616688405089</v>
      </c>
      <c r="AP114">
        <v>531.92458247601348</v>
      </c>
      <c r="AQ114">
        <v>537.318817686785</v>
      </c>
      <c r="AR114">
        <v>542.759282051686</v>
      </c>
      <c r="AS114">
        <v>548.05566235594165</v>
      </c>
      <c r="AT114">
        <v>553.0575447954858</v>
      </c>
      <c r="AU114">
        <v>557.64614354603566</v>
      </c>
      <c r="AV114">
        <v>561.83020803047248</v>
      </c>
      <c r="AW114">
        <v>565.6508549748022</v>
      </c>
      <c r="AX114">
        <v>569.21401180498606</v>
      </c>
      <c r="AY114">
        <v>572.62542773414737</v>
      </c>
      <c r="BA114" s="1">
        <v>-1</v>
      </c>
      <c r="BB114" t="str">
        <f t="shared" si="1"/>
        <v>Se - Leste Sergipano</v>
      </c>
      <c r="BC114" s="3" t="s">
        <v>144</v>
      </c>
      <c r="BD114" s="3" t="s">
        <v>144</v>
      </c>
      <c r="BE114" s="3" t="s">
        <v>144</v>
      </c>
      <c r="BF114" s="3" t="s">
        <v>144</v>
      </c>
      <c r="BG114" s="3" t="s">
        <v>144</v>
      </c>
      <c r="BH114" s="3" t="s">
        <v>144</v>
      </c>
      <c r="BI114" s="3" t="s">
        <v>144</v>
      </c>
      <c r="BJ114" s="3" t="s">
        <v>144</v>
      </c>
      <c r="BK114" s="3" t="s">
        <v>144</v>
      </c>
      <c r="BL114" s="3" t="s">
        <v>144</v>
      </c>
      <c r="BM114" s="3" t="s">
        <v>144</v>
      </c>
      <c r="BN114" s="3" t="s">
        <v>144</v>
      </c>
      <c r="BO114" s="3" t="s">
        <v>144</v>
      </c>
      <c r="BP114" s="3" t="s">
        <v>144</v>
      </c>
      <c r="BQ114" s="3" t="s">
        <v>144</v>
      </c>
      <c r="BR114" s="3" t="s">
        <v>144</v>
      </c>
      <c r="BS114" s="3" t="s">
        <v>144</v>
      </c>
      <c r="BT114" s="3" t="s">
        <v>144</v>
      </c>
      <c r="BU114" s="3" t="s">
        <v>144</v>
      </c>
      <c r="BV114" s="3" t="s">
        <v>144</v>
      </c>
      <c r="BW114" s="3" t="s">
        <v>144</v>
      </c>
      <c r="BX114" s="3" t="s">
        <v>144</v>
      </c>
      <c r="BY114" s="3" t="s">
        <v>144</v>
      </c>
      <c r="BZ114" s="3" t="s">
        <v>144</v>
      </c>
      <c r="CA114" s="3" t="s">
        <v>144</v>
      </c>
      <c r="CB114" s="3" t="s">
        <v>144</v>
      </c>
      <c r="CC114" s="3" t="s">
        <v>144</v>
      </c>
      <c r="CD114" s="3" t="s">
        <v>144</v>
      </c>
      <c r="CE114" s="3" t="s">
        <v>144</v>
      </c>
      <c r="CF114" s="3" t="s">
        <v>144</v>
      </c>
      <c r="CG114" s="3" t="s">
        <v>144</v>
      </c>
      <c r="CH114" s="3" t="s">
        <v>144</v>
      </c>
      <c r="CI114" s="3" t="s">
        <v>144</v>
      </c>
      <c r="CJ114" s="3" t="s">
        <v>144</v>
      </c>
      <c r="CK114" s="3" t="s">
        <v>144</v>
      </c>
      <c r="CL114" s="3" t="s">
        <v>144</v>
      </c>
      <c r="CM114" s="3" t="s">
        <v>144</v>
      </c>
      <c r="CN114" s="3" t="s">
        <v>144</v>
      </c>
      <c r="CO114" s="3" t="s">
        <v>144</v>
      </c>
      <c r="CP114" s="3" t="s">
        <v>144</v>
      </c>
      <c r="CQ114" s="3" t="s">
        <v>144</v>
      </c>
      <c r="CR114" s="3" t="s">
        <v>144</v>
      </c>
      <c r="CS114" s="3" t="s">
        <v>144</v>
      </c>
      <c r="CT114" s="3" t="s">
        <v>144</v>
      </c>
      <c r="CU114" s="3" t="s">
        <v>144</v>
      </c>
      <c r="CV114" s="3" t="s">
        <v>144</v>
      </c>
      <c r="CW114" s="3" t="s">
        <v>144</v>
      </c>
      <c r="CX114" s="3" t="s">
        <v>144</v>
      </c>
      <c r="CY114" s="3" t="s">
        <v>144</v>
      </c>
    </row>
    <row r="115" spans="1:103" x14ac:dyDescent="0.25">
      <c r="A115" t="s">
        <v>60</v>
      </c>
      <c r="B115" t="s">
        <v>4</v>
      </c>
      <c r="C115">
        <v>388.58329443106771</v>
      </c>
      <c r="D115">
        <v>30.002346009623739</v>
      </c>
      <c r="E115">
        <v>115.16390526707703</v>
      </c>
      <c r="F115">
        <v>122.43041842173879</v>
      </c>
      <c r="G115">
        <v>68.282109448690917</v>
      </c>
      <c r="H115">
        <v>209.05188988670483</v>
      </c>
      <c r="I115">
        <v>123.02540759536501</v>
      </c>
      <c r="J115">
        <v>204.37888032679808</v>
      </c>
      <c r="K115">
        <v>196.11081846622895</v>
      </c>
      <c r="L115">
        <v>210.39025300469186</v>
      </c>
      <c r="M115">
        <v>224.01883203158795</v>
      </c>
      <c r="N115">
        <v>182.50478059321509</v>
      </c>
      <c r="O115">
        <v>189.84773362497009</v>
      </c>
      <c r="P115">
        <v>162.87697398809624</v>
      </c>
      <c r="Q115">
        <v>161.11659938609247</v>
      </c>
      <c r="R115">
        <v>157.41449359120912</v>
      </c>
      <c r="S115">
        <v>155.15857003541231</v>
      </c>
      <c r="T115">
        <v>167.36045444935789</v>
      </c>
      <c r="U115">
        <v>169.7984403889707</v>
      </c>
      <c r="V115">
        <v>179.6009869543077</v>
      </c>
      <c r="W115">
        <v>181.83600244587907</v>
      </c>
      <c r="X115">
        <v>182.60104134685241</v>
      </c>
      <c r="Y115">
        <v>181.82656649661922</v>
      </c>
      <c r="Z115">
        <v>176.96009062521676</v>
      </c>
      <c r="AA115">
        <v>173.95493177073533</v>
      </c>
      <c r="AB115">
        <v>169.40028859758073</v>
      </c>
      <c r="AC115">
        <v>167.13591398051594</v>
      </c>
      <c r="AD115">
        <v>166.01720413647536</v>
      </c>
      <c r="AE115">
        <v>166.00688531592891</v>
      </c>
      <c r="AF115">
        <v>167.49312495316872</v>
      </c>
      <c r="AG115">
        <v>168.82296427623314</v>
      </c>
      <c r="AH115">
        <v>170.47484963525909</v>
      </c>
      <c r="AI115">
        <v>171.33178503663689</v>
      </c>
      <c r="AJ115">
        <v>171.51276556770424</v>
      </c>
      <c r="AK115">
        <v>171.0271479731976</v>
      </c>
      <c r="AL115">
        <v>169.89454025629001</v>
      </c>
      <c r="AM115">
        <v>168.66769312560939</v>
      </c>
      <c r="AN115">
        <v>167.41451984764529</v>
      </c>
      <c r="AO115">
        <v>166.52039002053047</v>
      </c>
      <c r="AP115">
        <v>166.02081871813098</v>
      </c>
      <c r="AQ115">
        <v>165.90287466903987</v>
      </c>
      <c r="AR115">
        <v>166.0991630924951</v>
      </c>
      <c r="AS115">
        <v>166.39365874117593</v>
      </c>
      <c r="AT115">
        <v>166.68373720408792</v>
      </c>
      <c r="AU115">
        <v>166.81844489151001</v>
      </c>
      <c r="AV115">
        <v>166.76004578891076</v>
      </c>
      <c r="AW115">
        <v>166.51564875798027</v>
      </c>
      <c r="AX115">
        <v>166.12940046458252</v>
      </c>
      <c r="AY115">
        <v>165.6924317753047</v>
      </c>
      <c r="BA115" s="1">
        <v>1</v>
      </c>
      <c r="BB115" t="str">
        <f t="shared" si="1"/>
        <v>Ba - Extremo Oeste Baiano</v>
      </c>
      <c r="BC115" s="3">
        <v>397.31503064775382</v>
      </c>
      <c r="BD115" s="3">
        <v>-95.670978446862392</v>
      </c>
      <c r="BE115" s="3">
        <v>-108.91600773100639</v>
      </c>
      <c r="BF115" s="3">
        <v>50.302340744501024</v>
      </c>
      <c r="BG115" s="3">
        <v>-61.804345082599653</v>
      </c>
      <c r="BH115" s="3">
        <v>105.91941215054426</v>
      </c>
      <c r="BI115" s="3">
        <v>-19.465631602909468</v>
      </c>
      <c r="BJ115" s="3">
        <v>43.313895279240199</v>
      </c>
      <c r="BK115" s="3">
        <v>50.036686038450142</v>
      </c>
      <c r="BL115" s="3">
        <v>34.492392950352553</v>
      </c>
      <c r="BM115" s="3">
        <v>57.181837697823255</v>
      </c>
      <c r="BN115" s="3">
        <v>2.4615878953373453</v>
      </c>
      <c r="BO115" s="3">
        <v>19.596288161417675</v>
      </c>
      <c r="BP115" s="3">
        <v>3.6815847742758194</v>
      </c>
      <c r="BQ115" s="3">
        <v>3.9339014687006966</v>
      </c>
      <c r="BR115" s="3">
        <v>8.3412452723466686</v>
      </c>
      <c r="BS115" s="3">
        <v>2.5570245866947232</v>
      </c>
      <c r="BT115" s="3">
        <v>15.578808480078834</v>
      </c>
      <c r="BU115" s="3">
        <v>13.659381969224881</v>
      </c>
      <c r="BV115" s="3">
        <v>18.607428355358365</v>
      </c>
      <c r="BW115" s="3">
        <v>18.076099504127939</v>
      </c>
      <c r="BX115" s="3">
        <v>15.307780168456134</v>
      </c>
      <c r="BY115" s="3">
        <v>14.62490218644399</v>
      </c>
      <c r="BZ115" s="3">
        <v>9.5943186103176856</v>
      </c>
      <c r="CA115" s="3">
        <v>7.9452122793904039</v>
      </c>
      <c r="CB115" s="3">
        <v>5.0117749450992619</v>
      </c>
      <c r="CC115" s="3">
        <v>3.8984461828688097</v>
      </c>
      <c r="CD115" s="3">
        <v>3.9448770094581107</v>
      </c>
      <c r="CE115" s="3">
        <v>3.9420542036900201</v>
      </c>
      <c r="CF115" s="3">
        <v>5.1083959096422689</v>
      </c>
      <c r="CG115" s="3">
        <v>5.4690554474972828</v>
      </c>
      <c r="CH115" s="3">
        <v>5.9389531357836063</v>
      </c>
      <c r="CI115" s="3">
        <v>5.7395968501394634</v>
      </c>
      <c r="CJ115" s="3">
        <v>5.0141497080167312</v>
      </c>
      <c r="CK115" s="3">
        <v>4.1182030882038134</v>
      </c>
      <c r="CL115" s="3">
        <v>2.88819095666679</v>
      </c>
      <c r="CM115" s="3">
        <v>1.8899220026037256</v>
      </c>
      <c r="CN115" s="3">
        <v>0.9968913965477384</v>
      </c>
      <c r="CO115" s="3">
        <v>0.42043055197362378</v>
      </c>
      <c r="CP115" s="3">
        <v>0.12291511794606436</v>
      </c>
      <c r="CQ115" s="3">
        <v>-1.6167242006218885E-2</v>
      </c>
      <c r="CR115" s="3">
        <v>-1.4313673835573582E-2</v>
      </c>
      <c r="CS115" s="3">
        <v>-5.7027354697567034E-2</v>
      </c>
      <c r="CT115" s="3">
        <v>-0.15902181132005921</v>
      </c>
      <c r="CU115" s="3">
        <v>-0.39025818133561074</v>
      </c>
      <c r="CV115" s="3">
        <v>-0.7426201843030924</v>
      </c>
      <c r="CW115" s="3">
        <v>-1.1709498809896388</v>
      </c>
      <c r="CX115" s="3">
        <v>-1.6441595094356956</v>
      </c>
      <c r="CY115" s="3">
        <v>-2.0913566767196414</v>
      </c>
    </row>
    <row r="116" spans="1:103" x14ac:dyDescent="0.25">
      <c r="A116" t="s">
        <v>60</v>
      </c>
      <c r="B116" t="s">
        <v>5</v>
      </c>
      <c r="C116">
        <v>-8.7317362166861123</v>
      </c>
      <c r="D116">
        <v>125.67332445648613</v>
      </c>
      <c r="E116">
        <v>224.07991299808342</v>
      </c>
      <c r="F116">
        <v>72.128077677237769</v>
      </c>
      <c r="G116">
        <v>130.08645453129057</v>
      </c>
      <c r="H116">
        <v>103.13247773616057</v>
      </c>
      <c r="I116">
        <v>142.49103919827448</v>
      </c>
      <c r="J116">
        <v>161.06498504755788</v>
      </c>
      <c r="K116">
        <v>146.07413242777881</v>
      </c>
      <c r="L116">
        <v>175.8978600543393</v>
      </c>
      <c r="M116">
        <v>166.83699433376469</v>
      </c>
      <c r="N116">
        <v>180.04319269787774</v>
      </c>
      <c r="O116">
        <v>170.25144546355241</v>
      </c>
      <c r="P116">
        <v>159.19538921382042</v>
      </c>
      <c r="Q116">
        <v>157.18269791739178</v>
      </c>
      <c r="R116">
        <v>149.07324831886245</v>
      </c>
      <c r="S116">
        <v>152.60154544871759</v>
      </c>
      <c r="T116">
        <v>151.78164596927905</v>
      </c>
      <c r="U116">
        <v>156.13905841974582</v>
      </c>
      <c r="V116">
        <v>160.99355859894933</v>
      </c>
      <c r="W116">
        <v>163.75990294175114</v>
      </c>
      <c r="X116">
        <v>167.29326117839628</v>
      </c>
      <c r="Y116">
        <v>167.20166431017523</v>
      </c>
      <c r="Z116">
        <v>167.36577201489908</v>
      </c>
      <c r="AA116">
        <v>166.00971949134492</v>
      </c>
      <c r="AB116">
        <v>164.38851365248146</v>
      </c>
      <c r="AC116">
        <v>163.23746779764713</v>
      </c>
      <c r="AD116">
        <v>162.07232712701725</v>
      </c>
      <c r="AE116">
        <v>162.06483111223889</v>
      </c>
      <c r="AF116">
        <v>162.38472904352645</v>
      </c>
      <c r="AG116">
        <v>163.35390882873585</v>
      </c>
      <c r="AH116">
        <v>164.53589649947548</v>
      </c>
      <c r="AI116">
        <v>165.59218818649742</v>
      </c>
      <c r="AJ116">
        <v>166.4986158596875</v>
      </c>
      <c r="AK116">
        <v>166.90894488499379</v>
      </c>
      <c r="AL116">
        <v>167.00634929962322</v>
      </c>
      <c r="AM116">
        <v>166.77777112300566</v>
      </c>
      <c r="AN116">
        <v>166.41762845109756</v>
      </c>
      <c r="AO116">
        <v>166.09995946855685</v>
      </c>
      <c r="AP116">
        <v>165.89790360018492</v>
      </c>
      <c r="AQ116">
        <v>165.91904191104609</v>
      </c>
      <c r="AR116">
        <v>166.11347676633068</v>
      </c>
      <c r="AS116">
        <v>166.45068609587349</v>
      </c>
      <c r="AT116">
        <v>166.84275901540798</v>
      </c>
      <c r="AU116">
        <v>167.20870307284562</v>
      </c>
      <c r="AV116">
        <v>167.50266597321385</v>
      </c>
      <c r="AW116">
        <v>167.68659863896991</v>
      </c>
      <c r="AX116">
        <v>167.77355997401821</v>
      </c>
      <c r="AY116">
        <v>167.78378845202434</v>
      </c>
      <c r="BA116" s="1">
        <v>-1</v>
      </c>
      <c r="BB116" t="str">
        <f t="shared" si="1"/>
        <v>Ba - Extremo Oeste Baiano</v>
      </c>
      <c r="BC116" s="3" t="s">
        <v>144</v>
      </c>
      <c r="BD116" s="3" t="s">
        <v>144</v>
      </c>
      <c r="BE116" s="3" t="s">
        <v>144</v>
      </c>
      <c r="BF116" s="3" t="s">
        <v>144</v>
      </c>
      <c r="BG116" s="3" t="s">
        <v>144</v>
      </c>
      <c r="BH116" s="3" t="s">
        <v>144</v>
      </c>
      <c r="BI116" s="3" t="s">
        <v>144</v>
      </c>
      <c r="BJ116" s="3" t="s">
        <v>144</v>
      </c>
      <c r="BK116" s="3" t="s">
        <v>144</v>
      </c>
      <c r="BL116" s="3" t="s">
        <v>144</v>
      </c>
      <c r="BM116" s="3" t="s">
        <v>144</v>
      </c>
      <c r="BN116" s="3" t="s">
        <v>144</v>
      </c>
      <c r="BO116" s="3" t="s">
        <v>144</v>
      </c>
      <c r="BP116" s="3" t="s">
        <v>144</v>
      </c>
      <c r="BQ116" s="3" t="s">
        <v>144</v>
      </c>
      <c r="BR116" s="3" t="s">
        <v>144</v>
      </c>
      <c r="BS116" s="3" t="s">
        <v>144</v>
      </c>
      <c r="BT116" s="3" t="s">
        <v>144</v>
      </c>
      <c r="BU116" s="3" t="s">
        <v>144</v>
      </c>
      <c r="BV116" s="3" t="s">
        <v>144</v>
      </c>
      <c r="BW116" s="3" t="s">
        <v>144</v>
      </c>
      <c r="BX116" s="3" t="s">
        <v>144</v>
      </c>
      <c r="BY116" s="3" t="s">
        <v>144</v>
      </c>
      <c r="BZ116" s="3" t="s">
        <v>144</v>
      </c>
      <c r="CA116" s="3" t="s">
        <v>144</v>
      </c>
      <c r="CB116" s="3" t="s">
        <v>144</v>
      </c>
      <c r="CC116" s="3" t="s">
        <v>144</v>
      </c>
      <c r="CD116" s="3" t="s">
        <v>144</v>
      </c>
      <c r="CE116" s="3" t="s">
        <v>144</v>
      </c>
      <c r="CF116" s="3" t="s">
        <v>144</v>
      </c>
      <c r="CG116" s="3" t="s">
        <v>144</v>
      </c>
      <c r="CH116" s="3" t="s">
        <v>144</v>
      </c>
      <c r="CI116" s="3" t="s">
        <v>144</v>
      </c>
      <c r="CJ116" s="3" t="s">
        <v>144</v>
      </c>
      <c r="CK116" s="3" t="s">
        <v>144</v>
      </c>
      <c r="CL116" s="3" t="s">
        <v>144</v>
      </c>
      <c r="CM116" s="3" t="s">
        <v>144</v>
      </c>
      <c r="CN116" s="3" t="s">
        <v>144</v>
      </c>
      <c r="CO116" s="3" t="s">
        <v>144</v>
      </c>
      <c r="CP116" s="3" t="s">
        <v>144</v>
      </c>
      <c r="CQ116" s="3" t="s">
        <v>144</v>
      </c>
      <c r="CR116" s="3" t="s">
        <v>144</v>
      </c>
      <c r="CS116" s="3" t="s">
        <v>144</v>
      </c>
      <c r="CT116" s="3" t="s">
        <v>144</v>
      </c>
      <c r="CU116" s="3" t="s">
        <v>144</v>
      </c>
      <c r="CV116" s="3" t="s">
        <v>144</v>
      </c>
      <c r="CW116" s="3" t="s">
        <v>144</v>
      </c>
      <c r="CX116" s="3" t="s">
        <v>144</v>
      </c>
      <c r="CY116" s="3" t="s">
        <v>144</v>
      </c>
    </row>
    <row r="117" spans="1:103" x14ac:dyDescent="0.25">
      <c r="A117" t="s">
        <v>61</v>
      </c>
      <c r="B117" t="s">
        <v>4</v>
      </c>
      <c r="C117">
        <v>171.35231239529517</v>
      </c>
      <c r="D117">
        <v>111.11217317445764</v>
      </c>
      <c r="E117">
        <v>88.590438984742974</v>
      </c>
      <c r="F117">
        <v>100.01120278508513</v>
      </c>
      <c r="G117">
        <v>-13.607187752683645</v>
      </c>
      <c r="H117">
        <v>21.605872477915376</v>
      </c>
      <c r="I117">
        <v>37.040378533752637</v>
      </c>
      <c r="J117">
        <v>62.682992113128286</v>
      </c>
      <c r="K117">
        <v>80.497335744346984</v>
      </c>
      <c r="L117">
        <v>77.858269436833908</v>
      </c>
      <c r="M117">
        <v>95.385064407564457</v>
      </c>
      <c r="N117">
        <v>86.683716733130453</v>
      </c>
      <c r="O117">
        <v>83.557707274285917</v>
      </c>
      <c r="P117">
        <v>74.043616732234497</v>
      </c>
      <c r="Q117">
        <v>66.165560157357774</v>
      </c>
      <c r="R117">
        <v>67.276309868334778</v>
      </c>
      <c r="S117">
        <v>67.725278077893392</v>
      </c>
      <c r="T117">
        <v>75.981635080577718</v>
      </c>
      <c r="U117">
        <v>83.419357081723078</v>
      </c>
      <c r="V117">
        <v>91.989054242675124</v>
      </c>
      <c r="W117">
        <v>99.183166151118826</v>
      </c>
      <c r="X117">
        <v>102.69270956405154</v>
      </c>
      <c r="Y117">
        <v>104.64498690378728</v>
      </c>
      <c r="Z117">
        <v>103.56654755875189</v>
      </c>
      <c r="AA117">
        <v>102.11523361030638</v>
      </c>
      <c r="AB117">
        <v>100.46456586072425</v>
      </c>
      <c r="AC117">
        <v>99.566351470742248</v>
      </c>
      <c r="AD117">
        <v>100.13936738634953</v>
      </c>
      <c r="AE117">
        <v>101.70274341714342</v>
      </c>
      <c r="AF117">
        <v>104.44136404497992</v>
      </c>
      <c r="AG117">
        <v>107.48971812261436</v>
      </c>
      <c r="AH117">
        <v>110.52069096415137</v>
      </c>
      <c r="AI117">
        <v>113.09036249146446</v>
      </c>
      <c r="AJ117">
        <v>114.90554117425428</v>
      </c>
      <c r="AK117">
        <v>116.05954606410008</v>
      </c>
      <c r="AL117">
        <v>116.58734048167433</v>
      </c>
      <c r="AM117">
        <v>116.82432029851159</v>
      </c>
      <c r="AN117">
        <v>117.00153160201739</v>
      </c>
      <c r="AO117">
        <v>117.3503536904748</v>
      </c>
      <c r="AP117">
        <v>118.01420564526472</v>
      </c>
      <c r="AQ117">
        <v>118.98452450105596</v>
      </c>
      <c r="AR117">
        <v>120.21286674229546</v>
      </c>
      <c r="AS117">
        <v>121.55058364343003</v>
      </c>
      <c r="AT117">
        <v>122.86599935580199</v>
      </c>
      <c r="AU117">
        <v>124.04257003840047</v>
      </c>
      <c r="AV117">
        <v>125.01190810119247</v>
      </c>
      <c r="AW117">
        <v>125.77207248469146</v>
      </c>
      <c r="AX117">
        <v>126.35649985735725</v>
      </c>
      <c r="AY117">
        <v>126.83705856008835</v>
      </c>
      <c r="BA117" s="1">
        <v>1</v>
      </c>
      <c r="BB117" t="str">
        <f t="shared" si="1"/>
        <v>Ba - Vale Sao-Fran da BA</v>
      </c>
      <c r="BC117" s="3">
        <v>169.50114716654454</v>
      </c>
      <c r="BD117" s="3">
        <v>16.954501808917044</v>
      </c>
      <c r="BE117" s="3">
        <v>-175.4647014834986</v>
      </c>
      <c r="BF117" s="3">
        <v>-170.62487465488601</v>
      </c>
      <c r="BG117" s="3">
        <v>-176.23984833726729</v>
      </c>
      <c r="BH117" s="3">
        <v>-156.71523994762788</v>
      </c>
      <c r="BI117" s="3">
        <v>-119.11806967655701</v>
      </c>
      <c r="BJ117" s="3">
        <v>-82.305097706606176</v>
      </c>
      <c r="BK117" s="3">
        <v>-48.459993969227455</v>
      </c>
      <c r="BL117" s="3">
        <v>-43.062453642075226</v>
      </c>
      <c r="BM117" s="3">
        <v>-46.003346815016656</v>
      </c>
      <c r="BN117" s="3">
        <v>-63.35740347234217</v>
      </c>
      <c r="BO117" s="3">
        <v>-82.87678121531772</v>
      </c>
      <c r="BP117" s="3">
        <v>-97.073620542886104</v>
      </c>
      <c r="BQ117" s="3">
        <v>-105.08481777713364</v>
      </c>
      <c r="BR117" s="3">
        <v>-100.42390435944182</v>
      </c>
      <c r="BS117" s="3">
        <v>-88.506035870841004</v>
      </c>
      <c r="BT117" s="3">
        <v>-70.51011764583086</v>
      </c>
      <c r="BU117" s="3">
        <v>-52.326115156646765</v>
      </c>
      <c r="BV117" s="3">
        <v>-38.149060629190288</v>
      </c>
      <c r="BW117" s="3">
        <v>-29.334367092365653</v>
      </c>
      <c r="BX117" s="3">
        <v>-27.186276420978686</v>
      </c>
      <c r="BY117" s="3">
        <v>-29.372845221946065</v>
      </c>
      <c r="BZ117" s="3">
        <v>-34.178273365230154</v>
      </c>
      <c r="CA117" s="3">
        <v>-38.921612066149237</v>
      </c>
      <c r="CB117" s="3">
        <v>-41.672468162388171</v>
      </c>
      <c r="CC117" s="3">
        <v>-41.667010386496472</v>
      </c>
      <c r="CD117" s="3">
        <v>-38.653724726364686</v>
      </c>
      <c r="CE117" s="3">
        <v>-33.578413010977428</v>
      </c>
      <c r="CF117" s="3">
        <v>-27.425141640351896</v>
      </c>
      <c r="CG117" s="3">
        <v>-21.400405873998722</v>
      </c>
      <c r="CH117" s="3">
        <v>-16.419218643092037</v>
      </c>
      <c r="CI117" s="3">
        <v>-12.929865349050033</v>
      </c>
      <c r="CJ117" s="3">
        <v>-11.038632433784954</v>
      </c>
      <c r="CK117" s="3">
        <v>-10.376481050036972</v>
      </c>
      <c r="CL117" s="3">
        <v>-10.430554034022563</v>
      </c>
      <c r="CM117" s="3">
        <v>-10.593965437797848</v>
      </c>
      <c r="CN117" s="3">
        <v>-10.370721362640595</v>
      </c>
      <c r="CO117" s="3">
        <v>-9.4804605128535826</v>
      </c>
      <c r="CP117" s="3">
        <v>-7.8556348920464529</v>
      </c>
      <c r="CQ117" s="3">
        <v>-5.6589370011443236</v>
      </c>
      <c r="CR117" s="3">
        <v>-3.1645805043010711</v>
      </c>
      <c r="CS117" s="3">
        <v>-0.69029059327623088</v>
      </c>
      <c r="CT117" s="3">
        <v>1.5009861936118654</v>
      </c>
      <c r="CU117" s="3">
        <v>3.2587546267202185</v>
      </c>
      <c r="CV117" s="3">
        <v>4.5541165049763066</v>
      </c>
      <c r="CW117" s="3">
        <v>5.4724609711444572</v>
      </c>
      <c r="CX117" s="3">
        <v>6.1615993438648786</v>
      </c>
      <c r="CY117" s="3">
        <v>6.7874764073839629</v>
      </c>
    </row>
    <row r="118" spans="1:103" x14ac:dyDescent="0.25">
      <c r="A118" t="s">
        <v>61</v>
      </c>
      <c r="B118" t="s">
        <v>5</v>
      </c>
      <c r="C118">
        <v>1.8511652287506277</v>
      </c>
      <c r="D118">
        <v>94.157671365540594</v>
      </c>
      <c r="E118">
        <v>264.05514046824158</v>
      </c>
      <c r="F118">
        <v>270.63607743997113</v>
      </c>
      <c r="G118">
        <v>162.63266058458365</v>
      </c>
      <c r="H118">
        <v>178.32111242554325</v>
      </c>
      <c r="I118">
        <v>156.15844821030964</v>
      </c>
      <c r="J118">
        <v>144.98808981973445</v>
      </c>
      <c r="K118">
        <v>128.95732971357444</v>
      </c>
      <c r="L118">
        <v>120.92072307890913</v>
      </c>
      <c r="M118">
        <v>141.38841122258111</v>
      </c>
      <c r="N118">
        <v>150.04112020547262</v>
      </c>
      <c r="O118">
        <v>166.43448848960364</v>
      </c>
      <c r="P118">
        <v>171.1172372751206</v>
      </c>
      <c r="Q118">
        <v>171.25037793449141</v>
      </c>
      <c r="R118">
        <v>167.7002142277766</v>
      </c>
      <c r="S118">
        <v>156.2313139487344</v>
      </c>
      <c r="T118">
        <v>146.49175272640858</v>
      </c>
      <c r="U118">
        <v>135.74547223836984</v>
      </c>
      <c r="V118">
        <v>130.13811487186541</v>
      </c>
      <c r="W118">
        <v>128.51753324348448</v>
      </c>
      <c r="X118">
        <v>129.87898598503023</v>
      </c>
      <c r="Y118">
        <v>134.01783212573335</v>
      </c>
      <c r="Z118">
        <v>137.74482092398205</v>
      </c>
      <c r="AA118">
        <v>141.03684567645561</v>
      </c>
      <c r="AB118">
        <v>142.13703402311242</v>
      </c>
      <c r="AC118">
        <v>141.23336185723872</v>
      </c>
      <c r="AD118">
        <v>138.79309211271422</v>
      </c>
      <c r="AE118">
        <v>135.28115642812085</v>
      </c>
      <c r="AF118">
        <v>131.86650568533182</v>
      </c>
      <c r="AG118">
        <v>128.89012399661308</v>
      </c>
      <c r="AH118">
        <v>126.93990960724341</v>
      </c>
      <c r="AI118">
        <v>126.02022784051449</v>
      </c>
      <c r="AJ118">
        <v>125.94417360803924</v>
      </c>
      <c r="AK118">
        <v>126.43602711413705</v>
      </c>
      <c r="AL118">
        <v>127.0178945156969</v>
      </c>
      <c r="AM118">
        <v>127.41828573630944</v>
      </c>
      <c r="AN118">
        <v>127.37225296465799</v>
      </c>
      <c r="AO118">
        <v>126.83081420332839</v>
      </c>
      <c r="AP118">
        <v>125.86984053731118</v>
      </c>
      <c r="AQ118">
        <v>124.64346150220028</v>
      </c>
      <c r="AR118">
        <v>123.37744724659653</v>
      </c>
      <c r="AS118">
        <v>122.24087423670626</v>
      </c>
      <c r="AT118">
        <v>121.36501316219012</v>
      </c>
      <c r="AU118">
        <v>120.78381541168025</v>
      </c>
      <c r="AV118">
        <v>120.45779159621617</v>
      </c>
      <c r="AW118">
        <v>120.29961151354701</v>
      </c>
      <c r="AX118">
        <v>120.19490051349237</v>
      </c>
      <c r="AY118">
        <v>120.04958215270439</v>
      </c>
      <c r="BA118" s="1">
        <v>-1</v>
      </c>
      <c r="BB118" t="str">
        <f t="shared" si="1"/>
        <v>Ba - Vale Sao-Fran da BA</v>
      </c>
      <c r="BC118" s="3" t="s">
        <v>144</v>
      </c>
      <c r="BD118" s="3" t="s">
        <v>144</v>
      </c>
      <c r="BE118" s="3" t="s">
        <v>144</v>
      </c>
      <c r="BF118" s="3" t="s">
        <v>144</v>
      </c>
      <c r="BG118" s="3" t="s">
        <v>144</v>
      </c>
      <c r="BH118" s="3" t="s">
        <v>144</v>
      </c>
      <c r="BI118" s="3" t="s">
        <v>144</v>
      </c>
      <c r="BJ118" s="3" t="s">
        <v>144</v>
      </c>
      <c r="BK118" s="3" t="s">
        <v>144</v>
      </c>
      <c r="BL118" s="3" t="s">
        <v>144</v>
      </c>
      <c r="BM118" s="3" t="s">
        <v>144</v>
      </c>
      <c r="BN118" s="3" t="s">
        <v>144</v>
      </c>
      <c r="BO118" s="3" t="s">
        <v>144</v>
      </c>
      <c r="BP118" s="3" t="s">
        <v>144</v>
      </c>
      <c r="BQ118" s="3" t="s">
        <v>144</v>
      </c>
      <c r="BR118" s="3" t="s">
        <v>144</v>
      </c>
      <c r="BS118" s="3" t="s">
        <v>144</v>
      </c>
      <c r="BT118" s="3" t="s">
        <v>144</v>
      </c>
      <c r="BU118" s="3" t="s">
        <v>144</v>
      </c>
      <c r="BV118" s="3" t="s">
        <v>144</v>
      </c>
      <c r="BW118" s="3" t="s">
        <v>144</v>
      </c>
      <c r="BX118" s="3" t="s">
        <v>144</v>
      </c>
      <c r="BY118" s="3" t="s">
        <v>144</v>
      </c>
      <c r="BZ118" s="3" t="s">
        <v>144</v>
      </c>
      <c r="CA118" s="3" t="s">
        <v>144</v>
      </c>
      <c r="CB118" s="3" t="s">
        <v>144</v>
      </c>
      <c r="CC118" s="3" t="s">
        <v>144</v>
      </c>
      <c r="CD118" s="3" t="s">
        <v>144</v>
      </c>
      <c r="CE118" s="3" t="s">
        <v>144</v>
      </c>
      <c r="CF118" s="3" t="s">
        <v>144</v>
      </c>
      <c r="CG118" s="3" t="s">
        <v>144</v>
      </c>
      <c r="CH118" s="3" t="s">
        <v>144</v>
      </c>
      <c r="CI118" s="3" t="s">
        <v>144</v>
      </c>
      <c r="CJ118" s="3" t="s">
        <v>144</v>
      </c>
      <c r="CK118" s="3" t="s">
        <v>144</v>
      </c>
      <c r="CL118" s="3" t="s">
        <v>144</v>
      </c>
      <c r="CM118" s="3" t="s">
        <v>144</v>
      </c>
      <c r="CN118" s="3" t="s">
        <v>144</v>
      </c>
      <c r="CO118" s="3" t="s">
        <v>144</v>
      </c>
      <c r="CP118" s="3" t="s">
        <v>144</v>
      </c>
      <c r="CQ118" s="3" t="s">
        <v>144</v>
      </c>
      <c r="CR118" s="3" t="s">
        <v>144</v>
      </c>
      <c r="CS118" s="3" t="s">
        <v>144</v>
      </c>
      <c r="CT118" s="3" t="s">
        <v>144</v>
      </c>
      <c r="CU118" s="3" t="s">
        <v>144</v>
      </c>
      <c r="CV118" s="3" t="s">
        <v>144</v>
      </c>
      <c r="CW118" s="3" t="s">
        <v>144</v>
      </c>
      <c r="CX118" s="3" t="s">
        <v>144</v>
      </c>
      <c r="CY118" s="3" t="s">
        <v>144</v>
      </c>
    </row>
    <row r="119" spans="1:103" x14ac:dyDescent="0.25">
      <c r="A119" t="s">
        <v>62</v>
      </c>
      <c r="B119" t="s">
        <v>4</v>
      </c>
      <c r="C119">
        <v>435.22892197719818</v>
      </c>
      <c r="D119">
        <v>299.17962212471946</v>
      </c>
      <c r="E119">
        <v>304.41490932398153</v>
      </c>
      <c r="F119">
        <v>304.19296519361092</v>
      </c>
      <c r="G119">
        <v>317.37000961214488</v>
      </c>
      <c r="H119">
        <v>420.47153810805713</v>
      </c>
      <c r="I119">
        <v>392.10677364145585</v>
      </c>
      <c r="J119">
        <v>451.26683941420652</v>
      </c>
      <c r="K119">
        <v>449.77012620326798</v>
      </c>
      <c r="L119">
        <v>459.70715653536149</v>
      </c>
      <c r="M119">
        <v>463.96596985252705</v>
      </c>
      <c r="N119">
        <v>437.54675016371107</v>
      </c>
      <c r="O119">
        <v>436.65037351168456</v>
      </c>
      <c r="P119">
        <v>419.55852541367818</v>
      </c>
      <c r="Q119">
        <v>422.49411690214271</v>
      </c>
      <c r="R119">
        <v>427.79798456687331</v>
      </c>
      <c r="S119">
        <v>436.95736685568704</v>
      </c>
      <c r="T119">
        <v>454.37275506424163</v>
      </c>
      <c r="U119">
        <v>465.75602714724818</v>
      </c>
      <c r="V119">
        <v>479.1593371611678</v>
      </c>
      <c r="W119">
        <v>485.45617425447904</v>
      </c>
      <c r="X119">
        <v>488.74189461402005</v>
      </c>
      <c r="Y119">
        <v>489.54973495320854</v>
      </c>
      <c r="Z119">
        <v>487.78099775239997</v>
      </c>
      <c r="AA119">
        <v>487.43436644967494</v>
      </c>
      <c r="AB119">
        <v>487.13792201923303</v>
      </c>
      <c r="AC119">
        <v>489.20181746265479</v>
      </c>
      <c r="AD119">
        <v>492.71952472729123</v>
      </c>
      <c r="AE119">
        <v>497.37410931845255</v>
      </c>
      <c r="AF119">
        <v>502.8827351413683</v>
      </c>
      <c r="AG119">
        <v>507.98364752359402</v>
      </c>
      <c r="AH119">
        <v>512.69160017913237</v>
      </c>
      <c r="AI119">
        <v>516.2847991787587</v>
      </c>
      <c r="AJ119">
        <v>518.90293875319503</v>
      </c>
      <c r="AK119">
        <v>520.6933548313815</v>
      </c>
      <c r="AL119">
        <v>521.89734070453972</v>
      </c>
      <c r="AM119">
        <v>523.02766885364656</v>
      </c>
      <c r="AN119">
        <v>524.28264643252294</v>
      </c>
      <c r="AO119">
        <v>525.95418700761445</v>
      </c>
      <c r="AP119">
        <v>528.04395600815644</v>
      </c>
      <c r="AQ119">
        <v>530.46599837144902</v>
      </c>
      <c r="AR119">
        <v>533.06120205711193</v>
      </c>
      <c r="AS119">
        <v>535.59537368931592</v>
      </c>
      <c r="AT119">
        <v>537.92863479861364</v>
      </c>
      <c r="AU119">
        <v>539.94311533095129</v>
      </c>
      <c r="AV119">
        <v>541.63427783236079</v>
      </c>
      <c r="AW119">
        <v>543.05581676754673</v>
      </c>
      <c r="AX119">
        <v>544.29916226570776</v>
      </c>
      <c r="AY119">
        <v>545.47659623661207</v>
      </c>
      <c r="BA119" s="1">
        <v>1</v>
      </c>
      <c r="BB119" t="str">
        <f t="shared" si="1"/>
        <v>Ba - Centro Norte Baiano</v>
      </c>
      <c r="BC119" s="3">
        <v>295.31988274861021</v>
      </c>
      <c r="BD119" s="3">
        <v>293.97277825341996</v>
      </c>
      <c r="BE119" s="3">
        <v>121.80340613314016</v>
      </c>
      <c r="BF119" s="3">
        <v>250.67967707663971</v>
      </c>
      <c r="BG119" s="3">
        <v>136.64222546925629</v>
      </c>
      <c r="BH119" s="3">
        <v>238.53213179520239</v>
      </c>
      <c r="BI119" s="3">
        <v>187.45006431130508</v>
      </c>
      <c r="BJ119" s="3">
        <v>192.12027548198631</v>
      </c>
      <c r="BK119" s="3">
        <v>212.07415784946431</v>
      </c>
      <c r="BL119" s="3">
        <v>174.95370076749884</v>
      </c>
      <c r="BM119" s="3">
        <v>191.92686548531606</v>
      </c>
      <c r="BN119" s="3">
        <v>151.52323249822757</v>
      </c>
      <c r="BO119" s="3">
        <v>143.70151911610941</v>
      </c>
      <c r="BP119" s="3">
        <v>127.39257769311121</v>
      </c>
      <c r="BQ119" s="3">
        <v>111.93932923836985</v>
      </c>
      <c r="BR119" s="3">
        <v>112.49677014708516</v>
      </c>
      <c r="BS119" s="3">
        <v>101.96575928809233</v>
      </c>
      <c r="BT119" s="3">
        <v>105.14598342616313</v>
      </c>
      <c r="BU119" s="3">
        <v>101.16876292785662</v>
      </c>
      <c r="BV119" s="3">
        <v>98.70632474852647</v>
      </c>
      <c r="BW119" s="3">
        <v>95.324891266931502</v>
      </c>
      <c r="BX119" s="3">
        <v>87.528839654524461</v>
      </c>
      <c r="BY119" s="3">
        <v>81.905902057796595</v>
      </c>
      <c r="BZ119" s="3">
        <v>73.158401275036908</v>
      </c>
      <c r="CA119" s="3">
        <v>66.280452320970426</v>
      </c>
      <c r="CB119" s="3">
        <v>59.519614736278413</v>
      </c>
      <c r="CC119" s="3">
        <v>53.564475777505493</v>
      </c>
      <c r="CD119" s="3">
        <v>49.304776621818348</v>
      </c>
      <c r="CE119" s="3">
        <v>45.175465121257787</v>
      </c>
      <c r="CF119" s="3">
        <v>42.226090919550529</v>
      </c>
      <c r="CG119" s="3">
        <v>39.117554021080934</v>
      </c>
      <c r="CH119" s="3">
        <v>36.054216675167538</v>
      </c>
      <c r="CI119" s="3">
        <v>32.754349658057379</v>
      </c>
      <c r="CJ119" s="3">
        <v>28.961169216964265</v>
      </c>
      <c r="CK119" s="3">
        <v>25.067348325407181</v>
      </c>
      <c r="CL119" s="3">
        <v>20.927323070465775</v>
      </c>
      <c r="CM119" s="3">
        <v>16.960408170631183</v>
      </c>
      <c r="CN119" s="3">
        <v>13.218097381146549</v>
      </c>
      <c r="CO119" s="3">
        <v>9.8165855885195015</v>
      </c>
      <c r="CP119" s="3">
        <v>6.8195250827401424</v>
      </c>
      <c r="CQ119" s="3">
        <v>4.1010549433108281</v>
      </c>
      <c r="CR119" s="3">
        <v>1.6361715692493135</v>
      </c>
      <c r="CS119" s="3">
        <v>-0.73226878751586355</v>
      </c>
      <c r="CT119" s="3">
        <v>-3.066557305704805</v>
      </c>
      <c r="CU119" s="3">
        <v>-5.4231576715909569</v>
      </c>
      <c r="CV119" s="3">
        <v>-7.8257555870617352</v>
      </c>
      <c r="CW119" s="3">
        <v>-10.237009809779124</v>
      </c>
      <c r="CX119" s="3">
        <v>-12.631953647874298</v>
      </c>
      <c r="CY119" s="3">
        <v>-14.952233666408006</v>
      </c>
    </row>
    <row r="120" spans="1:103" x14ac:dyDescent="0.25">
      <c r="A120" t="s">
        <v>62</v>
      </c>
      <c r="B120" t="s">
        <v>5</v>
      </c>
      <c r="C120">
        <v>139.909039228588</v>
      </c>
      <c r="D120">
        <v>5.2068438712994825</v>
      </c>
      <c r="E120">
        <v>182.61150319084138</v>
      </c>
      <c r="F120">
        <v>53.513288116971218</v>
      </c>
      <c r="G120">
        <v>180.72778414288859</v>
      </c>
      <c r="H120">
        <v>181.93940631285474</v>
      </c>
      <c r="I120">
        <v>204.65670933015076</v>
      </c>
      <c r="J120">
        <v>259.1465639322202</v>
      </c>
      <c r="K120">
        <v>237.69596835380366</v>
      </c>
      <c r="L120">
        <v>284.75345576786265</v>
      </c>
      <c r="M120">
        <v>272.039104367211</v>
      </c>
      <c r="N120">
        <v>286.0235176654835</v>
      </c>
      <c r="O120">
        <v>292.94885439557515</v>
      </c>
      <c r="P120">
        <v>292.16594772056698</v>
      </c>
      <c r="Q120">
        <v>310.55478766377286</v>
      </c>
      <c r="R120">
        <v>315.30121441978815</v>
      </c>
      <c r="S120">
        <v>334.99160756759471</v>
      </c>
      <c r="T120">
        <v>349.2267716380785</v>
      </c>
      <c r="U120">
        <v>364.58726421939156</v>
      </c>
      <c r="V120">
        <v>380.45301241264133</v>
      </c>
      <c r="W120">
        <v>390.13128298754754</v>
      </c>
      <c r="X120">
        <v>401.21305495949559</v>
      </c>
      <c r="Y120">
        <v>407.64383289541195</v>
      </c>
      <c r="Z120">
        <v>414.62259647736306</v>
      </c>
      <c r="AA120">
        <v>421.15391412870451</v>
      </c>
      <c r="AB120">
        <v>427.61830728295462</v>
      </c>
      <c r="AC120">
        <v>435.63734168514929</v>
      </c>
      <c r="AD120">
        <v>443.41474810547288</v>
      </c>
      <c r="AE120">
        <v>452.19864419719477</v>
      </c>
      <c r="AF120">
        <v>460.65664422181777</v>
      </c>
      <c r="AG120">
        <v>468.86609350251308</v>
      </c>
      <c r="AH120">
        <v>476.63738350396483</v>
      </c>
      <c r="AI120">
        <v>483.53044952070132</v>
      </c>
      <c r="AJ120">
        <v>489.94176953623077</v>
      </c>
      <c r="AK120">
        <v>495.62600650597432</v>
      </c>
      <c r="AL120">
        <v>500.97001763407394</v>
      </c>
      <c r="AM120">
        <v>506.06726068301538</v>
      </c>
      <c r="AN120">
        <v>511.06454905137639</v>
      </c>
      <c r="AO120">
        <v>516.13760141909495</v>
      </c>
      <c r="AP120">
        <v>521.2244309254163</v>
      </c>
      <c r="AQ120">
        <v>526.36494342813819</v>
      </c>
      <c r="AR120">
        <v>531.42503048786261</v>
      </c>
      <c r="AS120">
        <v>536.32764247683178</v>
      </c>
      <c r="AT120">
        <v>540.99519210431845</v>
      </c>
      <c r="AU120">
        <v>545.36627300254224</v>
      </c>
      <c r="AV120">
        <v>549.46003341942253</v>
      </c>
      <c r="AW120">
        <v>553.29282657732585</v>
      </c>
      <c r="AX120">
        <v>556.93111591358206</v>
      </c>
      <c r="AY120">
        <v>560.42882990302007</v>
      </c>
      <c r="BA120" s="1">
        <v>-1</v>
      </c>
      <c r="BB120" t="str">
        <f t="shared" si="1"/>
        <v>Ba - Centro Norte Baiano</v>
      </c>
      <c r="BC120" s="3" t="s">
        <v>144</v>
      </c>
      <c r="BD120" s="3" t="s">
        <v>144</v>
      </c>
      <c r="BE120" s="3" t="s">
        <v>144</v>
      </c>
      <c r="BF120" s="3" t="s">
        <v>144</v>
      </c>
      <c r="BG120" s="3" t="s">
        <v>144</v>
      </c>
      <c r="BH120" s="3" t="s">
        <v>144</v>
      </c>
      <c r="BI120" s="3" t="s">
        <v>144</v>
      </c>
      <c r="BJ120" s="3" t="s">
        <v>144</v>
      </c>
      <c r="BK120" s="3" t="s">
        <v>144</v>
      </c>
      <c r="BL120" s="3" t="s">
        <v>144</v>
      </c>
      <c r="BM120" s="3" t="s">
        <v>144</v>
      </c>
      <c r="BN120" s="3" t="s">
        <v>144</v>
      </c>
      <c r="BO120" s="3" t="s">
        <v>144</v>
      </c>
      <c r="BP120" s="3" t="s">
        <v>144</v>
      </c>
      <c r="BQ120" s="3" t="s">
        <v>144</v>
      </c>
      <c r="BR120" s="3" t="s">
        <v>144</v>
      </c>
      <c r="BS120" s="3" t="s">
        <v>144</v>
      </c>
      <c r="BT120" s="3" t="s">
        <v>144</v>
      </c>
      <c r="BU120" s="3" t="s">
        <v>144</v>
      </c>
      <c r="BV120" s="3" t="s">
        <v>144</v>
      </c>
      <c r="BW120" s="3" t="s">
        <v>144</v>
      </c>
      <c r="BX120" s="3" t="s">
        <v>144</v>
      </c>
      <c r="BY120" s="3" t="s">
        <v>144</v>
      </c>
      <c r="BZ120" s="3" t="s">
        <v>144</v>
      </c>
      <c r="CA120" s="3" t="s">
        <v>144</v>
      </c>
      <c r="CB120" s="3" t="s">
        <v>144</v>
      </c>
      <c r="CC120" s="3" t="s">
        <v>144</v>
      </c>
      <c r="CD120" s="3" t="s">
        <v>144</v>
      </c>
      <c r="CE120" s="3" t="s">
        <v>144</v>
      </c>
      <c r="CF120" s="3" t="s">
        <v>144</v>
      </c>
      <c r="CG120" s="3" t="s">
        <v>144</v>
      </c>
      <c r="CH120" s="3" t="s">
        <v>144</v>
      </c>
      <c r="CI120" s="3" t="s">
        <v>144</v>
      </c>
      <c r="CJ120" s="3" t="s">
        <v>144</v>
      </c>
      <c r="CK120" s="3" t="s">
        <v>144</v>
      </c>
      <c r="CL120" s="3" t="s">
        <v>144</v>
      </c>
      <c r="CM120" s="3" t="s">
        <v>144</v>
      </c>
      <c r="CN120" s="3" t="s">
        <v>144</v>
      </c>
      <c r="CO120" s="3" t="s">
        <v>144</v>
      </c>
      <c r="CP120" s="3" t="s">
        <v>144</v>
      </c>
      <c r="CQ120" s="3" t="s">
        <v>144</v>
      </c>
      <c r="CR120" s="3" t="s">
        <v>144</v>
      </c>
      <c r="CS120" s="3" t="s">
        <v>144</v>
      </c>
      <c r="CT120" s="3" t="s">
        <v>144</v>
      </c>
      <c r="CU120" s="3" t="s">
        <v>144</v>
      </c>
      <c r="CV120" s="3" t="s">
        <v>144</v>
      </c>
      <c r="CW120" s="3" t="s">
        <v>144</v>
      </c>
      <c r="CX120" s="3" t="s">
        <v>144</v>
      </c>
      <c r="CY120" s="3" t="s">
        <v>144</v>
      </c>
    </row>
    <row r="121" spans="1:103" x14ac:dyDescent="0.25">
      <c r="A121" t="s">
        <v>63</v>
      </c>
      <c r="B121" t="s">
        <v>4</v>
      </c>
      <c r="C121">
        <v>159.76260852445222</v>
      </c>
      <c r="D121">
        <v>59.385813253479924</v>
      </c>
      <c r="E121">
        <v>79.408852762757888</v>
      </c>
      <c r="F121">
        <v>66.856305215133645</v>
      </c>
      <c r="G121">
        <v>79.693176502482103</v>
      </c>
      <c r="H121">
        <v>120.91767064350091</v>
      </c>
      <c r="I121">
        <v>103.2930513383924</v>
      </c>
      <c r="J121">
        <v>131.58994611108264</v>
      </c>
      <c r="K121">
        <v>125.23906555118586</v>
      </c>
      <c r="L121">
        <v>133.65946173662641</v>
      </c>
      <c r="M121">
        <v>133.74210610693524</v>
      </c>
      <c r="N121">
        <v>123.80734905726737</v>
      </c>
      <c r="O121">
        <v>125.02942533886187</v>
      </c>
      <c r="P121">
        <v>117.17373090751805</v>
      </c>
      <c r="Q121">
        <v>119.2862431154592</v>
      </c>
      <c r="R121">
        <v>119.37133254945188</v>
      </c>
      <c r="S121">
        <v>121.7845520513566</v>
      </c>
      <c r="T121">
        <v>126.81660345517786</v>
      </c>
      <c r="U121">
        <v>129.33666556135387</v>
      </c>
      <c r="V121">
        <v>133.51153675683287</v>
      </c>
      <c r="W121">
        <v>134.65323153001734</v>
      </c>
      <c r="X121">
        <v>135.4907840665943</v>
      </c>
      <c r="Y121">
        <v>135.30891332255894</v>
      </c>
      <c r="Z121">
        <v>134.30351995270004</v>
      </c>
      <c r="AA121">
        <v>133.86862880359325</v>
      </c>
      <c r="AB121">
        <v>133.20038076171488</v>
      </c>
      <c r="AC121">
        <v>133.46221417205302</v>
      </c>
      <c r="AD121">
        <v>134.06186120766174</v>
      </c>
      <c r="AE121">
        <v>135.10660817689433</v>
      </c>
      <c r="AF121">
        <v>136.45396618092869</v>
      </c>
      <c r="AG121">
        <v>137.66776688755013</v>
      </c>
      <c r="AH121">
        <v>138.83329789987363</v>
      </c>
      <c r="AI121">
        <v>139.62088799395596</v>
      </c>
      <c r="AJ121">
        <v>140.14307283275375</v>
      </c>
      <c r="AK121">
        <v>140.39907958997171</v>
      </c>
      <c r="AL121">
        <v>140.47634257186172</v>
      </c>
      <c r="AM121">
        <v>140.54455421010042</v>
      </c>
      <c r="AN121">
        <v>140.64600547296737</v>
      </c>
      <c r="AO121">
        <v>140.89470574284093</v>
      </c>
      <c r="AP121">
        <v>141.2754348267537</v>
      </c>
      <c r="AQ121">
        <v>141.77287030856738</v>
      </c>
      <c r="AR121">
        <v>142.33602712864922</v>
      </c>
      <c r="AS121">
        <v>142.89045297053448</v>
      </c>
      <c r="AT121">
        <v>143.39696652938818</v>
      </c>
      <c r="AU121">
        <v>143.81251978901338</v>
      </c>
      <c r="AV121">
        <v>144.13763661498166</v>
      </c>
      <c r="AW121">
        <v>144.38479222124144</v>
      </c>
      <c r="AX121">
        <v>144.5815663712755</v>
      </c>
      <c r="AY121">
        <v>144.76276771582775</v>
      </c>
      <c r="BA121" s="1">
        <v>1</v>
      </c>
      <c r="BB121" t="str">
        <f t="shared" si="1"/>
        <v>Ba - Nordeste Baiano</v>
      </c>
      <c r="BC121" s="3">
        <v>121.85971967954561</v>
      </c>
      <c r="BD121" s="3">
        <v>31.62170835285503</v>
      </c>
      <c r="BE121" s="3">
        <v>-5.1791342868452261</v>
      </c>
      <c r="BF121" s="3">
        <v>17.965068633421602</v>
      </c>
      <c r="BG121" s="3">
        <v>10.967915469430665</v>
      </c>
      <c r="BH121" s="3">
        <v>41.954368597649832</v>
      </c>
      <c r="BI121" s="3">
        <v>22.776102309935681</v>
      </c>
      <c r="BJ121" s="3">
        <v>31.29252681602199</v>
      </c>
      <c r="BK121" s="3">
        <v>32.967410189708346</v>
      </c>
      <c r="BL121" s="3">
        <v>28.275322733489645</v>
      </c>
      <c r="BM121" s="3">
        <v>29.981466193101355</v>
      </c>
      <c r="BN121" s="3">
        <v>18.649136857826093</v>
      </c>
      <c r="BO121" s="3">
        <v>18.269537590539755</v>
      </c>
      <c r="BP121" s="3">
        <v>13.633036742533946</v>
      </c>
      <c r="BQ121" s="3">
        <v>12.223958823379434</v>
      </c>
      <c r="BR121" s="3">
        <v>12.559553920443619</v>
      </c>
      <c r="BS121" s="3">
        <v>11.318130945937028</v>
      </c>
      <c r="BT121" s="3">
        <v>13.220248319714543</v>
      </c>
      <c r="BU121" s="3">
        <v>12.781162995834791</v>
      </c>
      <c r="BV121" s="3">
        <v>13.108290534828839</v>
      </c>
      <c r="BW121" s="3">
        <v>12.302054864810984</v>
      </c>
      <c r="BX121" s="3">
        <v>10.751486459278681</v>
      </c>
      <c r="BY121" s="3">
        <v>9.4253855095045367</v>
      </c>
      <c r="BZ121" s="3">
        <v>7.386174565920939</v>
      </c>
      <c r="CA121" s="3">
        <v>5.9703588703333565</v>
      </c>
      <c r="CB121" s="3">
        <v>4.5405658619336293</v>
      </c>
      <c r="CC121" s="3">
        <v>3.5743044288618364</v>
      </c>
      <c r="CD121" s="3">
        <v>2.9900858317293455</v>
      </c>
      <c r="CE121" s="3">
        <v>2.512416396262239</v>
      </c>
      <c r="CF121" s="3">
        <v>2.2796891641406773</v>
      </c>
      <c r="CG121" s="3">
        <v>1.9157752747662471</v>
      </c>
      <c r="CH121" s="3">
        <v>1.5160311609415658</v>
      </c>
      <c r="CI121" s="3">
        <v>0.9493643132979912</v>
      </c>
      <c r="CJ121" s="3">
        <v>0.23504973063327839</v>
      </c>
      <c r="CK121" s="3">
        <v>-0.53958993016615864</v>
      </c>
      <c r="CL121" s="3">
        <v>-1.3699610737805301</v>
      </c>
      <c r="CM121" s="3">
        <v>-2.1334437474102685</v>
      </c>
      <c r="CN121" s="3">
        <v>-2.825022225350267</v>
      </c>
      <c r="CO121" s="3">
        <v>-3.4038074605471422</v>
      </c>
      <c r="CP121" s="3">
        <v>-3.8775354007948977</v>
      </c>
      <c r="CQ121" s="3">
        <v>-4.2808957423846721</v>
      </c>
      <c r="CR121" s="3">
        <v>-4.6348541979052982</v>
      </c>
      <c r="CS121" s="3">
        <v>-4.986986481480443</v>
      </c>
      <c r="CT121" s="3">
        <v>-5.3530651546213335</v>
      </c>
      <c r="CU121" s="3">
        <v>-5.7494613864753035</v>
      </c>
      <c r="CV121" s="3">
        <v>-6.1740922507800065</v>
      </c>
      <c r="CW121" s="3">
        <v>-6.6129805917634883</v>
      </c>
      <c r="CX121" s="3">
        <v>-7.0524894261316717</v>
      </c>
      <c r="CY121" s="3">
        <v>-7.4729168188129051</v>
      </c>
    </row>
    <row r="122" spans="1:103" x14ac:dyDescent="0.25">
      <c r="A122" t="s">
        <v>63</v>
      </c>
      <c r="B122" t="s">
        <v>5</v>
      </c>
      <c r="C122">
        <v>37.902888844906606</v>
      </c>
      <c r="D122">
        <v>27.764104900624893</v>
      </c>
      <c r="E122">
        <v>84.587987049603115</v>
      </c>
      <c r="F122">
        <v>48.891236581712043</v>
      </c>
      <c r="G122">
        <v>68.725261033051439</v>
      </c>
      <c r="H122">
        <v>78.96330204585108</v>
      </c>
      <c r="I122">
        <v>80.516949028456722</v>
      </c>
      <c r="J122">
        <v>100.29741929506065</v>
      </c>
      <c r="K122">
        <v>92.271655361477514</v>
      </c>
      <c r="L122">
        <v>105.38413900313677</v>
      </c>
      <c r="M122">
        <v>103.76063991383388</v>
      </c>
      <c r="N122">
        <v>105.15821219944128</v>
      </c>
      <c r="O122">
        <v>106.75988774832211</v>
      </c>
      <c r="P122">
        <v>103.5406941649841</v>
      </c>
      <c r="Q122">
        <v>107.06228429207977</v>
      </c>
      <c r="R122">
        <v>106.81177862900826</v>
      </c>
      <c r="S122">
        <v>110.46642110541957</v>
      </c>
      <c r="T122">
        <v>113.59635513546331</v>
      </c>
      <c r="U122">
        <v>116.55550256551908</v>
      </c>
      <c r="V122">
        <v>120.40324622200403</v>
      </c>
      <c r="W122">
        <v>122.35117666520635</v>
      </c>
      <c r="X122">
        <v>124.73929760731562</v>
      </c>
      <c r="Y122">
        <v>125.8835278130544</v>
      </c>
      <c r="Z122">
        <v>126.9173453867791</v>
      </c>
      <c r="AA122">
        <v>127.8982699332599</v>
      </c>
      <c r="AB122">
        <v>128.65981489978125</v>
      </c>
      <c r="AC122">
        <v>129.88790974319119</v>
      </c>
      <c r="AD122">
        <v>131.07177537593239</v>
      </c>
      <c r="AE122">
        <v>132.59419178063209</v>
      </c>
      <c r="AF122">
        <v>134.17427701678801</v>
      </c>
      <c r="AG122">
        <v>135.75199161278388</v>
      </c>
      <c r="AH122">
        <v>137.31726673893206</v>
      </c>
      <c r="AI122">
        <v>138.67152368065797</v>
      </c>
      <c r="AJ122">
        <v>139.90802310212047</v>
      </c>
      <c r="AK122">
        <v>140.93866952013786</v>
      </c>
      <c r="AL122">
        <v>141.84630364564225</v>
      </c>
      <c r="AM122">
        <v>142.67799795751068</v>
      </c>
      <c r="AN122">
        <v>143.47102769831764</v>
      </c>
      <c r="AO122">
        <v>144.29851320338807</v>
      </c>
      <c r="AP122">
        <v>145.15297022754859</v>
      </c>
      <c r="AQ122">
        <v>146.05376605095205</v>
      </c>
      <c r="AR122">
        <v>146.97088132655452</v>
      </c>
      <c r="AS122">
        <v>147.87743945201493</v>
      </c>
      <c r="AT122">
        <v>148.75003168400951</v>
      </c>
      <c r="AU122">
        <v>149.56198117548868</v>
      </c>
      <c r="AV122">
        <v>150.31172886576167</v>
      </c>
      <c r="AW122">
        <v>150.99777281300493</v>
      </c>
      <c r="AX122">
        <v>151.63405579740717</v>
      </c>
      <c r="AY122">
        <v>152.23568453464065</v>
      </c>
      <c r="BA122" s="1">
        <v>-1</v>
      </c>
      <c r="BB122" t="str">
        <f t="shared" si="1"/>
        <v>Ba - Nordeste Baiano</v>
      </c>
      <c r="BC122" s="3" t="s">
        <v>144</v>
      </c>
      <c r="BD122" s="3" t="s">
        <v>144</v>
      </c>
      <c r="BE122" s="3" t="s">
        <v>144</v>
      </c>
      <c r="BF122" s="3" t="s">
        <v>144</v>
      </c>
      <c r="BG122" s="3" t="s">
        <v>144</v>
      </c>
      <c r="BH122" s="3" t="s">
        <v>144</v>
      </c>
      <c r="BI122" s="3" t="s">
        <v>144</v>
      </c>
      <c r="BJ122" s="3" t="s">
        <v>144</v>
      </c>
      <c r="BK122" s="3" t="s">
        <v>144</v>
      </c>
      <c r="BL122" s="3" t="s">
        <v>144</v>
      </c>
      <c r="BM122" s="3" t="s">
        <v>144</v>
      </c>
      <c r="BN122" s="3" t="s">
        <v>144</v>
      </c>
      <c r="BO122" s="3" t="s">
        <v>144</v>
      </c>
      <c r="BP122" s="3" t="s">
        <v>144</v>
      </c>
      <c r="BQ122" s="3" t="s">
        <v>144</v>
      </c>
      <c r="BR122" s="3" t="s">
        <v>144</v>
      </c>
      <c r="BS122" s="3" t="s">
        <v>144</v>
      </c>
      <c r="BT122" s="3" t="s">
        <v>144</v>
      </c>
      <c r="BU122" s="3" t="s">
        <v>144</v>
      </c>
      <c r="BV122" s="3" t="s">
        <v>144</v>
      </c>
      <c r="BW122" s="3" t="s">
        <v>144</v>
      </c>
      <c r="BX122" s="3" t="s">
        <v>144</v>
      </c>
      <c r="BY122" s="3" t="s">
        <v>144</v>
      </c>
      <c r="BZ122" s="3" t="s">
        <v>144</v>
      </c>
      <c r="CA122" s="3" t="s">
        <v>144</v>
      </c>
      <c r="CB122" s="3" t="s">
        <v>144</v>
      </c>
      <c r="CC122" s="3" t="s">
        <v>144</v>
      </c>
      <c r="CD122" s="3" t="s">
        <v>144</v>
      </c>
      <c r="CE122" s="3" t="s">
        <v>144</v>
      </c>
      <c r="CF122" s="3" t="s">
        <v>144</v>
      </c>
      <c r="CG122" s="3" t="s">
        <v>144</v>
      </c>
      <c r="CH122" s="3" t="s">
        <v>144</v>
      </c>
      <c r="CI122" s="3" t="s">
        <v>144</v>
      </c>
      <c r="CJ122" s="3" t="s">
        <v>144</v>
      </c>
      <c r="CK122" s="3" t="s">
        <v>144</v>
      </c>
      <c r="CL122" s="3" t="s">
        <v>144</v>
      </c>
      <c r="CM122" s="3" t="s">
        <v>144</v>
      </c>
      <c r="CN122" s="3" t="s">
        <v>144</v>
      </c>
      <c r="CO122" s="3" t="s">
        <v>144</v>
      </c>
      <c r="CP122" s="3" t="s">
        <v>144</v>
      </c>
      <c r="CQ122" s="3" t="s">
        <v>144</v>
      </c>
      <c r="CR122" s="3" t="s">
        <v>144</v>
      </c>
      <c r="CS122" s="3" t="s">
        <v>144</v>
      </c>
      <c r="CT122" s="3" t="s">
        <v>144</v>
      </c>
      <c r="CU122" s="3" t="s">
        <v>144</v>
      </c>
      <c r="CV122" s="3" t="s">
        <v>144</v>
      </c>
      <c r="CW122" s="3" t="s">
        <v>144</v>
      </c>
      <c r="CX122" s="3" t="s">
        <v>144</v>
      </c>
      <c r="CY122" s="3" t="s">
        <v>144</v>
      </c>
    </row>
    <row r="123" spans="1:103" x14ac:dyDescent="0.25">
      <c r="A123" t="s">
        <v>64</v>
      </c>
      <c r="B123" t="s">
        <v>4</v>
      </c>
      <c r="C123">
        <v>2036.2123577057707</v>
      </c>
      <c r="D123">
        <v>1600.7097734579968</v>
      </c>
      <c r="E123">
        <v>2119.7105619757776</v>
      </c>
      <c r="F123">
        <v>2043.4495208165501</v>
      </c>
      <c r="G123">
        <v>1982.1552092946683</v>
      </c>
      <c r="H123">
        <v>2600.8186683209651</v>
      </c>
      <c r="I123">
        <v>2392.265686269619</v>
      </c>
      <c r="J123">
        <v>2743.323396113869</v>
      </c>
      <c r="K123">
        <v>2652.270575642634</v>
      </c>
      <c r="L123">
        <v>2724.4556962296988</v>
      </c>
      <c r="M123">
        <v>2759.3152166496156</v>
      </c>
      <c r="N123">
        <v>2612.6683628604646</v>
      </c>
      <c r="O123">
        <v>2613.1352941482264</v>
      </c>
      <c r="P123">
        <v>2483.6314126638626</v>
      </c>
      <c r="Q123">
        <v>2478.0919283304511</v>
      </c>
      <c r="R123">
        <v>2462.4859013044475</v>
      </c>
      <c r="S123">
        <v>2467.3417713395538</v>
      </c>
      <c r="T123">
        <v>2517.5836600424209</v>
      </c>
      <c r="U123">
        <v>2533.4839844819339</v>
      </c>
      <c r="V123">
        <v>2574.6069820628272</v>
      </c>
      <c r="W123">
        <v>2579.6739704287766</v>
      </c>
      <c r="X123">
        <v>2578.4143173143152</v>
      </c>
      <c r="Y123">
        <v>2566.7147832578007</v>
      </c>
      <c r="Z123">
        <v>2542.0497754390258</v>
      </c>
      <c r="AA123">
        <v>2525.325712765733</v>
      </c>
      <c r="AB123">
        <v>2504.5482670619385</v>
      </c>
      <c r="AC123">
        <v>2494.6920163741065</v>
      </c>
      <c r="AD123">
        <v>2489.6259568030855</v>
      </c>
      <c r="AE123">
        <v>2490.1278006691091</v>
      </c>
      <c r="AF123">
        <v>2496.0179599464223</v>
      </c>
      <c r="AG123">
        <v>2501.2104542932607</v>
      </c>
      <c r="AH123">
        <v>2507.0710391083257</v>
      </c>
      <c r="AI123">
        <v>2509.0913319727197</v>
      </c>
      <c r="AJ123">
        <v>2508.0694901517954</v>
      </c>
      <c r="AK123">
        <v>2503.885553744994</v>
      </c>
      <c r="AL123">
        <v>2497.1550366770439</v>
      </c>
      <c r="AM123">
        <v>2490.1618055506237</v>
      </c>
      <c r="AN123">
        <v>2483.4697168124844</v>
      </c>
      <c r="AO123">
        <v>2478.709211892156</v>
      </c>
      <c r="AP123">
        <v>2475.9150584890108</v>
      </c>
      <c r="AQ123">
        <v>2474.9588151019975</v>
      </c>
      <c r="AR123">
        <v>2475.3126055779626</v>
      </c>
      <c r="AS123">
        <v>2475.9871361231562</v>
      </c>
      <c r="AT123">
        <v>2476.4515784993323</v>
      </c>
      <c r="AU123">
        <v>2476.0831860043354</v>
      </c>
      <c r="AV123">
        <v>2474.7963775921789</v>
      </c>
      <c r="AW123">
        <v>2472.6926870601656</v>
      </c>
      <c r="AX123">
        <v>2470.0571844369774</v>
      </c>
      <c r="AY123">
        <v>2467.3148447826493</v>
      </c>
      <c r="BA123" s="1">
        <v>1</v>
      </c>
      <c r="BB123" t="str">
        <f t="shared" si="1"/>
        <v>Ba - Metropol de Salvador</v>
      </c>
      <c r="BC123" s="3">
        <v>1128.957260112797</v>
      </c>
      <c r="BD123" s="3">
        <v>952.62919877065087</v>
      </c>
      <c r="BE123" s="3">
        <v>511.81038075715401</v>
      </c>
      <c r="BF123" s="3">
        <v>1316.7885369217879</v>
      </c>
      <c r="BG123" s="3">
        <v>580.5686507107921</v>
      </c>
      <c r="BH123" s="3">
        <v>1182.3008967937453</v>
      </c>
      <c r="BI123" s="3">
        <v>784.52509778252056</v>
      </c>
      <c r="BJ123" s="3">
        <v>918.62859165271539</v>
      </c>
      <c r="BK123" s="3">
        <v>961.07416950037896</v>
      </c>
      <c r="BL123" s="3">
        <v>789.11929301368286</v>
      </c>
      <c r="BM123" s="3">
        <v>906.04137012844853</v>
      </c>
      <c r="BN123" s="3">
        <v>702.42861368430567</v>
      </c>
      <c r="BO123" s="3">
        <v>714.21910856426939</v>
      </c>
      <c r="BP123" s="3">
        <v>615.48287790705012</v>
      </c>
      <c r="BQ123" s="3">
        <v>539.97634335331554</v>
      </c>
      <c r="BR123" s="3">
        <v>518.96574563536797</v>
      </c>
      <c r="BS123" s="3">
        <v>436.31414289660233</v>
      </c>
      <c r="BT123" s="3">
        <v>432.20789371469027</v>
      </c>
      <c r="BU123" s="3">
        <v>383.3270592590552</v>
      </c>
      <c r="BV123" s="3">
        <v>361.57840841762209</v>
      </c>
      <c r="BW123" s="3">
        <v>335.392189724731</v>
      </c>
      <c r="BX123" s="3">
        <v>296.29755214087618</v>
      </c>
      <c r="BY123" s="3">
        <v>270.87999607159782</v>
      </c>
      <c r="BZ123" s="3">
        <v>227.09027270056868</v>
      </c>
      <c r="CA123" s="3">
        <v>193.39914946228828</v>
      </c>
      <c r="CB123" s="3">
        <v>154.35122748569484</v>
      </c>
      <c r="CC123" s="3">
        <v>117.95967729140648</v>
      </c>
      <c r="CD123" s="3">
        <v>87.007346786529979</v>
      </c>
      <c r="CE123" s="3">
        <v>55.634932967700024</v>
      </c>
      <c r="CF123" s="3">
        <v>31.003674479665733</v>
      </c>
      <c r="CG123" s="3">
        <v>6.1527178995984286</v>
      </c>
      <c r="CH123" s="3">
        <v>-16.030438050908288</v>
      </c>
      <c r="CI123" s="3">
        <v>-37.903227602505012</v>
      </c>
      <c r="CJ123" s="3">
        <v>-60.51382183304213</v>
      </c>
      <c r="CK123" s="3">
        <v>-82.65381559726211</v>
      </c>
      <c r="CL123" s="3">
        <v>-105.88967278680229</v>
      </c>
      <c r="CM123" s="3">
        <v>-128.43140345943948</v>
      </c>
      <c r="CN123" s="3">
        <v>-150.68939711011535</v>
      </c>
      <c r="CO123" s="3">
        <v>-171.93362923059021</v>
      </c>
      <c r="CP123" s="3">
        <v>-191.8040432124053</v>
      </c>
      <c r="CQ123" s="3">
        <v>-210.56390809408731</v>
      </c>
      <c r="CR123" s="3">
        <v>-227.92571685590246</v>
      </c>
      <c r="CS123" s="3">
        <v>-244.42708409938405</v>
      </c>
      <c r="CT123" s="3">
        <v>-260.13028913642756</v>
      </c>
      <c r="CU123" s="3">
        <v>-275.34551686295436</v>
      </c>
      <c r="CV123" s="3">
        <v>-290.26799279633315</v>
      </c>
      <c r="CW123" s="3">
        <v>-304.90109801716653</v>
      </c>
      <c r="CX123" s="3">
        <v>-319.32640190401708</v>
      </c>
      <c r="CY123" s="3">
        <v>-333.3987855686205</v>
      </c>
    </row>
    <row r="124" spans="1:103" x14ac:dyDescent="0.25">
      <c r="A124" t="s">
        <v>64</v>
      </c>
      <c r="B124" t="s">
        <v>5</v>
      </c>
      <c r="C124">
        <v>907.25509759297358</v>
      </c>
      <c r="D124">
        <v>648.08057468734592</v>
      </c>
      <c r="E124">
        <v>1607.9001812186236</v>
      </c>
      <c r="F124">
        <v>726.66098389476235</v>
      </c>
      <c r="G124">
        <v>1401.5865585838762</v>
      </c>
      <c r="H124">
        <v>1418.5177715272198</v>
      </c>
      <c r="I124">
        <v>1607.7405884870984</v>
      </c>
      <c r="J124">
        <v>1824.6948044611536</v>
      </c>
      <c r="K124">
        <v>1691.196406142255</v>
      </c>
      <c r="L124">
        <v>1935.3364032160159</v>
      </c>
      <c r="M124">
        <v>1853.2738465211671</v>
      </c>
      <c r="N124">
        <v>1910.239749176159</v>
      </c>
      <c r="O124">
        <v>1898.916185583957</v>
      </c>
      <c r="P124">
        <v>1868.1485347568125</v>
      </c>
      <c r="Q124">
        <v>1938.1155849771355</v>
      </c>
      <c r="R124">
        <v>1943.5201556690795</v>
      </c>
      <c r="S124">
        <v>2031.0276284429515</v>
      </c>
      <c r="T124">
        <v>2085.3757663277306</v>
      </c>
      <c r="U124">
        <v>2150.1569252228787</v>
      </c>
      <c r="V124">
        <v>2213.0285736452051</v>
      </c>
      <c r="W124">
        <v>2244.2817807040456</v>
      </c>
      <c r="X124">
        <v>2282.116765173439</v>
      </c>
      <c r="Y124">
        <v>2295.8347871862029</v>
      </c>
      <c r="Z124">
        <v>2314.9595027384571</v>
      </c>
      <c r="AA124">
        <v>2331.9265633034447</v>
      </c>
      <c r="AB124">
        <v>2350.1970395762437</v>
      </c>
      <c r="AC124">
        <v>2376.7323390827</v>
      </c>
      <c r="AD124">
        <v>2402.6186100165555</v>
      </c>
      <c r="AE124">
        <v>2434.4928677014091</v>
      </c>
      <c r="AF124">
        <v>2465.0142854667565</v>
      </c>
      <c r="AG124">
        <v>2495.0577363936623</v>
      </c>
      <c r="AH124">
        <v>2523.101477159234</v>
      </c>
      <c r="AI124">
        <v>2546.9945595752247</v>
      </c>
      <c r="AJ124">
        <v>2568.5833119848376</v>
      </c>
      <c r="AK124">
        <v>2586.5393693422561</v>
      </c>
      <c r="AL124">
        <v>2603.0447094638462</v>
      </c>
      <c r="AM124">
        <v>2618.5932090100632</v>
      </c>
      <c r="AN124">
        <v>2634.1591139225998</v>
      </c>
      <c r="AO124">
        <v>2650.6428411227462</v>
      </c>
      <c r="AP124">
        <v>2667.7191017014161</v>
      </c>
      <c r="AQ124">
        <v>2685.5227231960848</v>
      </c>
      <c r="AR124">
        <v>2703.2383224338651</v>
      </c>
      <c r="AS124">
        <v>2720.4142202225403</v>
      </c>
      <c r="AT124">
        <v>2736.5818676357599</v>
      </c>
      <c r="AU124">
        <v>2751.4287028672898</v>
      </c>
      <c r="AV124">
        <v>2765.0643703885121</v>
      </c>
      <c r="AW124">
        <v>2777.5937850773321</v>
      </c>
      <c r="AX124">
        <v>2789.3835863409945</v>
      </c>
      <c r="AY124">
        <v>2800.7136303512698</v>
      </c>
      <c r="BA124" s="1">
        <v>-1</v>
      </c>
      <c r="BB124" t="str">
        <f t="shared" si="1"/>
        <v>Ba - Metropol de Salvador</v>
      </c>
      <c r="BC124" s="3" t="s">
        <v>144</v>
      </c>
      <c r="BD124" s="3" t="s">
        <v>144</v>
      </c>
      <c r="BE124" s="3" t="s">
        <v>144</v>
      </c>
      <c r="BF124" s="3" t="s">
        <v>144</v>
      </c>
      <c r="BG124" s="3" t="s">
        <v>144</v>
      </c>
      <c r="BH124" s="3" t="s">
        <v>144</v>
      </c>
      <c r="BI124" s="3" t="s">
        <v>144</v>
      </c>
      <c r="BJ124" s="3" t="s">
        <v>144</v>
      </c>
      <c r="BK124" s="3" t="s">
        <v>144</v>
      </c>
      <c r="BL124" s="3" t="s">
        <v>144</v>
      </c>
      <c r="BM124" s="3" t="s">
        <v>144</v>
      </c>
      <c r="BN124" s="3" t="s">
        <v>144</v>
      </c>
      <c r="BO124" s="3" t="s">
        <v>144</v>
      </c>
      <c r="BP124" s="3" t="s">
        <v>144</v>
      </c>
      <c r="BQ124" s="3" t="s">
        <v>144</v>
      </c>
      <c r="BR124" s="3" t="s">
        <v>144</v>
      </c>
      <c r="BS124" s="3" t="s">
        <v>144</v>
      </c>
      <c r="BT124" s="3" t="s">
        <v>144</v>
      </c>
      <c r="BU124" s="3" t="s">
        <v>144</v>
      </c>
      <c r="BV124" s="3" t="s">
        <v>144</v>
      </c>
      <c r="BW124" s="3" t="s">
        <v>144</v>
      </c>
      <c r="BX124" s="3" t="s">
        <v>144</v>
      </c>
      <c r="BY124" s="3" t="s">
        <v>144</v>
      </c>
      <c r="BZ124" s="3" t="s">
        <v>144</v>
      </c>
      <c r="CA124" s="3" t="s">
        <v>144</v>
      </c>
      <c r="CB124" s="3" t="s">
        <v>144</v>
      </c>
      <c r="CC124" s="3" t="s">
        <v>144</v>
      </c>
      <c r="CD124" s="3" t="s">
        <v>144</v>
      </c>
      <c r="CE124" s="3" t="s">
        <v>144</v>
      </c>
      <c r="CF124" s="3" t="s">
        <v>144</v>
      </c>
      <c r="CG124" s="3" t="s">
        <v>144</v>
      </c>
      <c r="CH124" s="3" t="s">
        <v>144</v>
      </c>
      <c r="CI124" s="3" t="s">
        <v>144</v>
      </c>
      <c r="CJ124" s="3" t="s">
        <v>144</v>
      </c>
      <c r="CK124" s="3" t="s">
        <v>144</v>
      </c>
      <c r="CL124" s="3" t="s">
        <v>144</v>
      </c>
      <c r="CM124" s="3" t="s">
        <v>144</v>
      </c>
      <c r="CN124" s="3" t="s">
        <v>144</v>
      </c>
      <c r="CO124" s="3" t="s">
        <v>144</v>
      </c>
      <c r="CP124" s="3" t="s">
        <v>144</v>
      </c>
      <c r="CQ124" s="3" t="s">
        <v>144</v>
      </c>
      <c r="CR124" s="3" t="s">
        <v>144</v>
      </c>
      <c r="CS124" s="3" t="s">
        <v>144</v>
      </c>
      <c r="CT124" s="3" t="s">
        <v>144</v>
      </c>
      <c r="CU124" s="3" t="s">
        <v>144</v>
      </c>
      <c r="CV124" s="3" t="s">
        <v>144</v>
      </c>
      <c r="CW124" s="3" t="s">
        <v>144</v>
      </c>
      <c r="CX124" s="3" t="s">
        <v>144</v>
      </c>
      <c r="CY124" s="3" t="s">
        <v>144</v>
      </c>
    </row>
    <row r="125" spans="1:103" x14ac:dyDescent="0.25">
      <c r="A125" t="s">
        <v>65</v>
      </c>
      <c r="B125" t="s">
        <v>4</v>
      </c>
      <c r="C125">
        <v>390.80526782328116</v>
      </c>
      <c r="D125">
        <v>229.47658125881202</v>
      </c>
      <c r="E125">
        <v>259.00239950934127</v>
      </c>
      <c r="F125">
        <v>205.42570930482145</v>
      </c>
      <c r="G125">
        <v>190.22410905194741</v>
      </c>
      <c r="H125">
        <v>298.6340425777563</v>
      </c>
      <c r="I125">
        <v>258.21582632674159</v>
      </c>
      <c r="J125">
        <v>317.8140234852998</v>
      </c>
      <c r="K125">
        <v>305.06154617114305</v>
      </c>
      <c r="L125">
        <v>322.4505174435962</v>
      </c>
      <c r="M125">
        <v>332.34264927477284</v>
      </c>
      <c r="N125">
        <v>310.07614067057415</v>
      </c>
      <c r="O125">
        <v>315.21532461909044</v>
      </c>
      <c r="P125">
        <v>298.11528656420046</v>
      </c>
      <c r="Q125">
        <v>302.02004391801904</v>
      </c>
      <c r="R125">
        <v>302.69541116604802</v>
      </c>
      <c r="S125">
        <v>305.70462298212709</v>
      </c>
      <c r="T125">
        <v>316.10821147172061</v>
      </c>
      <c r="U125">
        <v>320.33085041873596</v>
      </c>
      <c r="V125">
        <v>329.26517092298963</v>
      </c>
      <c r="W125">
        <v>332.32378684150251</v>
      </c>
      <c r="X125">
        <v>334.74217325604701</v>
      </c>
      <c r="Y125">
        <v>335.63618764098385</v>
      </c>
      <c r="Z125">
        <v>334.27932226695066</v>
      </c>
      <c r="AA125">
        <v>334.15180258028403</v>
      </c>
      <c r="AB125">
        <v>333.03422303478106</v>
      </c>
      <c r="AC125">
        <v>333.55913033645919</v>
      </c>
      <c r="AD125">
        <v>334.68823593842546</v>
      </c>
      <c r="AE125">
        <v>336.60524473380946</v>
      </c>
      <c r="AF125">
        <v>339.33590641199919</v>
      </c>
      <c r="AG125">
        <v>341.85836371094945</v>
      </c>
      <c r="AH125">
        <v>344.4636933730016</v>
      </c>
      <c r="AI125">
        <v>346.39757709367569</v>
      </c>
      <c r="AJ125">
        <v>347.82458196464216</v>
      </c>
      <c r="AK125">
        <v>348.72801040830097</v>
      </c>
      <c r="AL125">
        <v>349.19553056535761</v>
      </c>
      <c r="AM125">
        <v>349.59250606566781</v>
      </c>
      <c r="AN125">
        <v>349.97524233648102</v>
      </c>
      <c r="AO125">
        <v>350.59769626057744</v>
      </c>
      <c r="AP125">
        <v>351.45240416827244</v>
      </c>
      <c r="AQ125">
        <v>352.52428091551735</v>
      </c>
      <c r="AR125">
        <v>353.74421423534494</v>
      </c>
      <c r="AS125">
        <v>354.96754543121068</v>
      </c>
      <c r="AT125">
        <v>356.12693756242516</v>
      </c>
      <c r="AU125">
        <v>357.128719458707</v>
      </c>
      <c r="AV125">
        <v>357.96198577240142</v>
      </c>
      <c r="AW125">
        <v>358.63931896134977</v>
      </c>
      <c r="AX125">
        <v>359.20038079825707</v>
      </c>
      <c r="AY125">
        <v>359.70893489307463</v>
      </c>
      <c r="BA125" s="1">
        <v>1</v>
      </c>
      <c r="BB125" t="str">
        <f t="shared" si="1"/>
        <v>Ba - Centro Sul Baiano</v>
      </c>
      <c r="BC125" s="3">
        <v>313.39206745385076</v>
      </c>
      <c r="BD125" s="3">
        <v>134.49343776277567</v>
      </c>
      <c r="BE125" s="3">
        <v>12.150687399458519</v>
      </c>
      <c r="BF125" s="3">
        <v>97.606310375111448</v>
      </c>
      <c r="BG125" s="3">
        <v>18.158144315306401</v>
      </c>
      <c r="BH125" s="3">
        <v>137.52183560760048</v>
      </c>
      <c r="BI125" s="3">
        <v>75.511666643112363</v>
      </c>
      <c r="BJ125" s="3">
        <v>106.82450711718741</v>
      </c>
      <c r="BK125" s="3">
        <v>116.02216243586963</v>
      </c>
      <c r="BL125" s="3">
        <v>99.342722339386199</v>
      </c>
      <c r="BM125" s="3">
        <v>116.43466099061527</v>
      </c>
      <c r="BN125" s="3">
        <v>80.517136983583583</v>
      </c>
      <c r="BO125" s="3">
        <v>81.606940874995985</v>
      </c>
      <c r="BP125" s="3">
        <v>64.331107080486817</v>
      </c>
      <c r="BQ125" s="3">
        <v>54.496732550016503</v>
      </c>
      <c r="BR125" s="3">
        <v>51.393607129688945</v>
      </c>
      <c r="BS125" s="3">
        <v>40.48768064304187</v>
      </c>
      <c r="BT125" s="3">
        <v>42.715286920907602</v>
      </c>
      <c r="BU125" s="3">
        <v>37.994132892472294</v>
      </c>
      <c r="BV125" s="3">
        <v>38.114935633438279</v>
      </c>
      <c r="BW125" s="3">
        <v>36.287634715443403</v>
      </c>
      <c r="BX125" s="3">
        <v>32.1855613727638</v>
      </c>
      <c r="BY125" s="3">
        <v>29.248163275292484</v>
      </c>
      <c r="BZ125" s="3">
        <v>22.860368162345708</v>
      </c>
      <c r="CA125" s="3">
        <v>17.830817208330302</v>
      </c>
      <c r="CB125" s="3">
        <v>11.806525911336053</v>
      </c>
      <c r="CC125" s="3">
        <v>6.6412804953325804</v>
      </c>
      <c r="CD125" s="3">
        <v>2.6234446196173167</v>
      </c>
      <c r="CE125" s="3">
        <v>-1.043637066224619</v>
      </c>
      <c r="CF125" s="3">
        <v>-3.4424807679770879</v>
      </c>
      <c r="CG125" s="3">
        <v>-5.8562349368256719</v>
      </c>
      <c r="CH125" s="3">
        <v>-7.920438165512337</v>
      </c>
      <c r="CI125" s="3">
        <v>-10.173966200889708</v>
      </c>
      <c r="CJ125" s="3">
        <v>-12.751042480390595</v>
      </c>
      <c r="CK125" s="3">
        <v>-15.472968382722286</v>
      </c>
      <c r="CL125" s="3">
        <v>-18.509565556060295</v>
      </c>
      <c r="CM125" s="3">
        <v>-21.502640545815154</v>
      </c>
      <c r="CN125" s="3">
        <v>-24.465535776128206</v>
      </c>
      <c r="CO125" s="3">
        <v>-27.220431565637057</v>
      </c>
      <c r="CP125" s="3">
        <v>-29.701658216418423</v>
      </c>
      <c r="CQ125" s="3">
        <v>-31.942871997995212</v>
      </c>
      <c r="CR125" s="3">
        <v>-33.922770024043359</v>
      </c>
      <c r="CS125" s="3">
        <v>-35.759653896124405</v>
      </c>
      <c r="CT125" s="3">
        <v>-37.495452368536291</v>
      </c>
      <c r="CU125" s="3">
        <v>-39.211450119552808</v>
      </c>
      <c r="CV125" s="3">
        <v>-40.9508478039686</v>
      </c>
      <c r="CW125" s="3">
        <v>-42.71645846413702</v>
      </c>
      <c r="CX125" s="3">
        <v>-44.507501155514831</v>
      </c>
      <c r="CY125" s="3">
        <v>-46.280235038072078</v>
      </c>
    </row>
    <row r="126" spans="1:103" x14ac:dyDescent="0.25">
      <c r="A126" t="s">
        <v>65</v>
      </c>
      <c r="B126" t="s">
        <v>5</v>
      </c>
      <c r="C126">
        <v>77.413200369430385</v>
      </c>
      <c r="D126">
        <v>94.983143496036348</v>
      </c>
      <c r="E126">
        <v>246.85171210988275</v>
      </c>
      <c r="F126">
        <v>107.81939892971</v>
      </c>
      <c r="G126">
        <v>172.06596473664101</v>
      </c>
      <c r="H126">
        <v>161.11220697015582</v>
      </c>
      <c r="I126">
        <v>182.70415968362923</v>
      </c>
      <c r="J126">
        <v>210.98951636811239</v>
      </c>
      <c r="K126">
        <v>189.03938373527342</v>
      </c>
      <c r="L126">
        <v>223.10779510421</v>
      </c>
      <c r="M126">
        <v>215.90798828415757</v>
      </c>
      <c r="N126">
        <v>229.55900368699056</v>
      </c>
      <c r="O126">
        <v>233.60838374409445</v>
      </c>
      <c r="P126">
        <v>233.78417948371364</v>
      </c>
      <c r="Q126">
        <v>247.52331136800254</v>
      </c>
      <c r="R126">
        <v>251.30180403635907</v>
      </c>
      <c r="S126">
        <v>265.21694233908522</v>
      </c>
      <c r="T126">
        <v>273.39292455081301</v>
      </c>
      <c r="U126">
        <v>282.33671752626367</v>
      </c>
      <c r="V126">
        <v>291.15023528955135</v>
      </c>
      <c r="W126">
        <v>296.03615212605911</v>
      </c>
      <c r="X126">
        <v>302.55661188328321</v>
      </c>
      <c r="Y126">
        <v>306.38802436569136</v>
      </c>
      <c r="Z126">
        <v>311.41895410460495</v>
      </c>
      <c r="AA126">
        <v>316.32098537195373</v>
      </c>
      <c r="AB126">
        <v>321.22769712344501</v>
      </c>
      <c r="AC126">
        <v>326.91784984112661</v>
      </c>
      <c r="AD126">
        <v>332.06479131880815</v>
      </c>
      <c r="AE126">
        <v>337.64888180003408</v>
      </c>
      <c r="AF126">
        <v>342.77838717997628</v>
      </c>
      <c r="AG126">
        <v>347.71459864777512</v>
      </c>
      <c r="AH126">
        <v>352.38413153851394</v>
      </c>
      <c r="AI126">
        <v>356.5715432945654</v>
      </c>
      <c r="AJ126">
        <v>360.57562444503276</v>
      </c>
      <c r="AK126">
        <v>364.20097879102326</v>
      </c>
      <c r="AL126">
        <v>367.70509612141791</v>
      </c>
      <c r="AM126">
        <v>371.09514661148296</v>
      </c>
      <c r="AN126">
        <v>374.44077811260922</v>
      </c>
      <c r="AO126">
        <v>377.81812782621449</v>
      </c>
      <c r="AP126">
        <v>381.15406238469086</v>
      </c>
      <c r="AQ126">
        <v>384.46715291351256</v>
      </c>
      <c r="AR126">
        <v>387.6669842593883</v>
      </c>
      <c r="AS126">
        <v>390.72719932733509</v>
      </c>
      <c r="AT126">
        <v>393.62238993096145</v>
      </c>
      <c r="AU126">
        <v>396.3401695782598</v>
      </c>
      <c r="AV126">
        <v>398.91283357637002</v>
      </c>
      <c r="AW126">
        <v>401.35577742548679</v>
      </c>
      <c r="AX126">
        <v>403.7078819537719</v>
      </c>
      <c r="AY126">
        <v>405.98916993114671</v>
      </c>
      <c r="BA126" s="1">
        <v>-1</v>
      </c>
      <c r="BB126" t="str">
        <f t="shared" si="1"/>
        <v>Ba - Centro Sul Baiano</v>
      </c>
      <c r="BC126" s="3" t="s">
        <v>144</v>
      </c>
      <c r="BD126" s="3" t="s">
        <v>144</v>
      </c>
      <c r="BE126" s="3" t="s">
        <v>144</v>
      </c>
      <c r="BF126" s="3" t="s">
        <v>144</v>
      </c>
      <c r="BG126" s="3" t="s">
        <v>144</v>
      </c>
      <c r="BH126" s="3" t="s">
        <v>144</v>
      </c>
      <c r="BI126" s="3" t="s">
        <v>144</v>
      </c>
      <c r="BJ126" s="3" t="s">
        <v>144</v>
      </c>
      <c r="BK126" s="3" t="s">
        <v>144</v>
      </c>
      <c r="BL126" s="3" t="s">
        <v>144</v>
      </c>
      <c r="BM126" s="3" t="s">
        <v>144</v>
      </c>
      <c r="BN126" s="3" t="s">
        <v>144</v>
      </c>
      <c r="BO126" s="3" t="s">
        <v>144</v>
      </c>
      <c r="BP126" s="3" t="s">
        <v>144</v>
      </c>
      <c r="BQ126" s="3" t="s">
        <v>144</v>
      </c>
      <c r="BR126" s="3" t="s">
        <v>144</v>
      </c>
      <c r="BS126" s="3" t="s">
        <v>144</v>
      </c>
      <c r="BT126" s="3" t="s">
        <v>144</v>
      </c>
      <c r="BU126" s="3" t="s">
        <v>144</v>
      </c>
      <c r="BV126" s="3" t="s">
        <v>144</v>
      </c>
      <c r="BW126" s="3" t="s">
        <v>144</v>
      </c>
      <c r="BX126" s="3" t="s">
        <v>144</v>
      </c>
      <c r="BY126" s="3" t="s">
        <v>144</v>
      </c>
      <c r="BZ126" s="3" t="s">
        <v>144</v>
      </c>
      <c r="CA126" s="3" t="s">
        <v>144</v>
      </c>
      <c r="CB126" s="3" t="s">
        <v>144</v>
      </c>
      <c r="CC126" s="3" t="s">
        <v>144</v>
      </c>
      <c r="CD126" s="3" t="s">
        <v>144</v>
      </c>
      <c r="CE126" s="3" t="s">
        <v>144</v>
      </c>
      <c r="CF126" s="3" t="s">
        <v>144</v>
      </c>
      <c r="CG126" s="3" t="s">
        <v>144</v>
      </c>
      <c r="CH126" s="3" t="s">
        <v>144</v>
      </c>
      <c r="CI126" s="3" t="s">
        <v>144</v>
      </c>
      <c r="CJ126" s="3" t="s">
        <v>144</v>
      </c>
      <c r="CK126" s="3" t="s">
        <v>144</v>
      </c>
      <c r="CL126" s="3" t="s">
        <v>144</v>
      </c>
      <c r="CM126" s="3" t="s">
        <v>144</v>
      </c>
      <c r="CN126" s="3" t="s">
        <v>144</v>
      </c>
      <c r="CO126" s="3" t="s">
        <v>144</v>
      </c>
      <c r="CP126" s="3" t="s">
        <v>144</v>
      </c>
      <c r="CQ126" s="3" t="s">
        <v>144</v>
      </c>
      <c r="CR126" s="3" t="s">
        <v>144</v>
      </c>
      <c r="CS126" s="3" t="s">
        <v>144</v>
      </c>
      <c r="CT126" s="3" t="s">
        <v>144</v>
      </c>
      <c r="CU126" s="3" t="s">
        <v>144</v>
      </c>
      <c r="CV126" s="3" t="s">
        <v>144</v>
      </c>
      <c r="CW126" s="3" t="s">
        <v>144</v>
      </c>
      <c r="CX126" s="3" t="s">
        <v>144</v>
      </c>
      <c r="CY126" s="3" t="s">
        <v>144</v>
      </c>
    </row>
    <row r="127" spans="1:103" x14ac:dyDescent="0.25">
      <c r="A127" t="s">
        <v>66</v>
      </c>
      <c r="B127" t="s">
        <v>4</v>
      </c>
      <c r="C127">
        <v>385.32470858265401</v>
      </c>
      <c r="D127">
        <v>106.10593488281704</v>
      </c>
      <c r="E127">
        <v>113.87866662383051</v>
      </c>
      <c r="F127">
        <v>-76.709548936959536</v>
      </c>
      <c r="G127">
        <v>-55.519558254555207</v>
      </c>
      <c r="H127">
        <v>171.7242263142461</v>
      </c>
      <c r="I127">
        <v>174.23153486693258</v>
      </c>
      <c r="J127">
        <v>271.84610744279837</v>
      </c>
      <c r="K127">
        <v>265.96062575499047</v>
      </c>
      <c r="L127">
        <v>317.07250506386225</v>
      </c>
      <c r="M127">
        <v>332.8868506715209</v>
      </c>
      <c r="N127">
        <v>298.11692190847896</v>
      </c>
      <c r="O127">
        <v>293.59288473335823</v>
      </c>
      <c r="P127">
        <v>259.48390824508368</v>
      </c>
      <c r="Q127">
        <v>255.90006680291904</v>
      </c>
      <c r="R127">
        <v>245.68315461868423</v>
      </c>
      <c r="S127">
        <v>244.26795943613507</v>
      </c>
      <c r="T127">
        <v>256.65377397967808</v>
      </c>
      <c r="U127">
        <v>266.84078855605583</v>
      </c>
      <c r="V127">
        <v>286.84653069849304</v>
      </c>
      <c r="W127">
        <v>298.9109983802407</v>
      </c>
      <c r="X127">
        <v>308.7977660638839</v>
      </c>
      <c r="Y127">
        <v>312.72040502032968</v>
      </c>
      <c r="Z127">
        <v>310.41472887737956</v>
      </c>
      <c r="AA127">
        <v>306.89371622744505</v>
      </c>
      <c r="AB127">
        <v>300.77792954921046</v>
      </c>
      <c r="AC127">
        <v>297.29611364372386</v>
      </c>
      <c r="AD127">
        <v>295.85407706749317</v>
      </c>
      <c r="AE127">
        <v>297.36169041105114</v>
      </c>
      <c r="AF127">
        <v>301.4482840216686</v>
      </c>
      <c r="AG127">
        <v>306.32351842288483</v>
      </c>
      <c r="AH127">
        <v>311.73051549188602</v>
      </c>
      <c r="AI127">
        <v>316.07407943800143</v>
      </c>
      <c r="AJ127">
        <v>319.25950634924033</v>
      </c>
      <c r="AK127">
        <v>321.0212237605478</v>
      </c>
      <c r="AL127">
        <v>321.52657503048505</v>
      </c>
      <c r="AM127">
        <v>321.38420032111225</v>
      </c>
      <c r="AN127">
        <v>320.90768999306812</v>
      </c>
      <c r="AO127">
        <v>320.7116982105473</v>
      </c>
      <c r="AP127">
        <v>321.01148828920213</v>
      </c>
      <c r="AQ127">
        <v>321.96309916860901</v>
      </c>
      <c r="AR127">
        <v>323.51502453805682</v>
      </c>
      <c r="AS127">
        <v>325.41972221953876</v>
      </c>
      <c r="AT127">
        <v>327.44548739081608</v>
      </c>
      <c r="AU127">
        <v>329.29315887609198</v>
      </c>
      <c r="AV127">
        <v>330.80082321576174</v>
      </c>
      <c r="AW127">
        <v>331.89051507487</v>
      </c>
      <c r="AX127">
        <v>332.59985801444191</v>
      </c>
      <c r="AY127">
        <v>333.05914769418149</v>
      </c>
      <c r="BA127" s="1">
        <v>1</v>
      </c>
      <c r="BB127" t="str">
        <f t="shared" si="1"/>
        <v>Ba - Sul Baiano</v>
      </c>
      <c r="BC127" s="3">
        <v>359.13091023805782</v>
      </c>
      <c r="BD127" s="3">
        <v>42.890833868065315</v>
      </c>
      <c r="BE127" s="3">
        <v>-148.19182186367141</v>
      </c>
      <c r="BF127" s="3">
        <v>-69.852780961975711</v>
      </c>
      <c r="BG127" s="3">
        <v>-78.131523870074076</v>
      </c>
      <c r="BH127" s="3">
        <v>194.14289170645952</v>
      </c>
      <c r="BI127" s="3">
        <v>169.98398092308457</v>
      </c>
      <c r="BJ127" s="3">
        <v>156.28339344526245</v>
      </c>
      <c r="BK127" s="3">
        <v>147.40029951214083</v>
      </c>
      <c r="BL127" s="3">
        <v>134.59116907921143</v>
      </c>
      <c r="BM127" s="3">
        <v>153.11974933668105</v>
      </c>
      <c r="BN127" s="3">
        <v>91.677362349462356</v>
      </c>
      <c r="BO127" s="3">
        <v>75.645635057640249</v>
      </c>
      <c r="BP127" s="3">
        <v>52.28715393767547</v>
      </c>
      <c r="BQ127" s="3">
        <v>38.887124614749098</v>
      </c>
      <c r="BR127" s="3">
        <v>34.51969259554474</v>
      </c>
      <c r="BS127" s="3">
        <v>22.556498949173175</v>
      </c>
      <c r="BT127" s="3">
        <v>30.337683779152115</v>
      </c>
      <c r="BU127" s="3">
        <v>33.392557485720744</v>
      </c>
      <c r="BV127" s="3">
        <v>40.996395311254986</v>
      </c>
      <c r="BW127" s="3">
        <v>43.741181068166071</v>
      </c>
      <c r="BX127" s="3">
        <v>39.554882932196278</v>
      </c>
      <c r="BY127" s="3">
        <v>33.649015143287045</v>
      </c>
      <c r="BZ127" s="3">
        <v>21.865339598638741</v>
      </c>
      <c r="CA127" s="3">
        <v>11.292519762052279</v>
      </c>
      <c r="CB127" s="3">
        <v>0.85643366936761822</v>
      </c>
      <c r="CC127" s="3">
        <v>-6.7067707464383375</v>
      </c>
      <c r="CD127" s="3">
        <v>-10.842820885894923</v>
      </c>
      <c r="CE127" s="3">
        <v>-13.241572789207055</v>
      </c>
      <c r="CF127" s="3">
        <v>-13.664783432283855</v>
      </c>
      <c r="CG127" s="3">
        <v>-14.30342537914936</v>
      </c>
      <c r="CH127" s="3">
        <v>-15.213289724127947</v>
      </c>
      <c r="CI127" s="3">
        <v>-17.105154080058298</v>
      </c>
      <c r="CJ127" s="3">
        <v>-20.116035713457791</v>
      </c>
      <c r="CK127" s="3">
        <v>-23.816881974525813</v>
      </c>
      <c r="CL127" s="3">
        <v>-28.166015459340827</v>
      </c>
      <c r="CM127" s="3">
        <v>-32.508544011541574</v>
      </c>
      <c r="CN127" s="3">
        <v>-36.644109547131222</v>
      </c>
      <c r="CO127" s="3">
        <v>-40.238978300745657</v>
      </c>
      <c r="CP127" s="3">
        <v>-43.145624187352666</v>
      </c>
      <c r="CQ127" s="3">
        <v>-45.437491666202732</v>
      </c>
      <c r="CR127" s="3">
        <v>-47.195333980719511</v>
      </c>
      <c r="CS127" s="3">
        <v>-48.710224635292434</v>
      </c>
      <c r="CT127" s="3">
        <v>-50.189656528865783</v>
      </c>
      <c r="CU127" s="3">
        <v>-51.837765806473897</v>
      </c>
      <c r="CV127" s="3">
        <v>-53.750018162070489</v>
      </c>
      <c r="CW127" s="3">
        <v>-55.899390198436606</v>
      </c>
      <c r="CX127" s="3">
        <v>-58.20518674991979</v>
      </c>
      <c r="CY127" s="3">
        <v>-60.517863145829324</v>
      </c>
    </row>
    <row r="128" spans="1:103" x14ac:dyDescent="0.25">
      <c r="A128" t="s">
        <v>66</v>
      </c>
      <c r="B128" t="s">
        <v>5</v>
      </c>
      <c r="C128">
        <v>26.193798344596196</v>
      </c>
      <c r="D128">
        <v>63.215101014751724</v>
      </c>
      <c r="E128">
        <v>262.0704884875019</v>
      </c>
      <c r="F128">
        <v>-6.8567679749838293</v>
      </c>
      <c r="G128">
        <v>22.611965615518873</v>
      </c>
      <c r="H128">
        <v>-22.418665392213438</v>
      </c>
      <c r="I128">
        <v>4.2475539438480041</v>
      </c>
      <c r="J128">
        <v>115.56271399753591</v>
      </c>
      <c r="K128">
        <v>118.56032624284964</v>
      </c>
      <c r="L128">
        <v>182.48133598465083</v>
      </c>
      <c r="M128">
        <v>179.76710133483985</v>
      </c>
      <c r="N128">
        <v>206.4395595590166</v>
      </c>
      <c r="O128">
        <v>217.94724967571798</v>
      </c>
      <c r="P128">
        <v>207.19675430740821</v>
      </c>
      <c r="Q128">
        <v>217.01294218816994</v>
      </c>
      <c r="R128">
        <v>211.16346202313949</v>
      </c>
      <c r="S128">
        <v>221.7114604869619</v>
      </c>
      <c r="T128">
        <v>226.31609020052596</v>
      </c>
      <c r="U128">
        <v>233.44823107033508</v>
      </c>
      <c r="V128">
        <v>245.85013538723805</v>
      </c>
      <c r="W128">
        <v>255.16981731207463</v>
      </c>
      <c r="X128">
        <v>269.24288313168762</v>
      </c>
      <c r="Y128">
        <v>279.07138987704263</v>
      </c>
      <c r="Z128">
        <v>288.54938927874082</v>
      </c>
      <c r="AA128">
        <v>295.60119646539277</v>
      </c>
      <c r="AB128">
        <v>299.92149587984284</v>
      </c>
      <c r="AC128">
        <v>304.00288439016219</v>
      </c>
      <c r="AD128">
        <v>306.69689795338809</v>
      </c>
      <c r="AE128">
        <v>310.6032632002582</v>
      </c>
      <c r="AF128">
        <v>315.11306745395245</v>
      </c>
      <c r="AG128">
        <v>320.62694380203419</v>
      </c>
      <c r="AH128">
        <v>326.94380521601397</v>
      </c>
      <c r="AI128">
        <v>333.17923351805973</v>
      </c>
      <c r="AJ128">
        <v>339.37554206269812</v>
      </c>
      <c r="AK128">
        <v>344.83810573507361</v>
      </c>
      <c r="AL128">
        <v>349.69259048982588</v>
      </c>
      <c r="AM128">
        <v>353.89274433265382</v>
      </c>
      <c r="AN128">
        <v>357.55179954019934</v>
      </c>
      <c r="AO128">
        <v>360.95067651129295</v>
      </c>
      <c r="AP128">
        <v>364.1571124765548</v>
      </c>
      <c r="AQ128">
        <v>367.40059083481174</v>
      </c>
      <c r="AR128">
        <v>370.71035851877633</v>
      </c>
      <c r="AS128">
        <v>374.12994685483119</v>
      </c>
      <c r="AT128">
        <v>377.63514391968187</v>
      </c>
      <c r="AU128">
        <v>381.13092468256588</v>
      </c>
      <c r="AV128">
        <v>384.55084137783223</v>
      </c>
      <c r="AW128">
        <v>387.7899052733066</v>
      </c>
      <c r="AX128">
        <v>390.8050447643617</v>
      </c>
      <c r="AY128">
        <v>393.57701084001081</v>
      </c>
      <c r="BA128" s="1">
        <v>-1</v>
      </c>
      <c r="BB128" t="str">
        <f t="shared" si="1"/>
        <v>Ba - Sul Baiano</v>
      </c>
      <c r="BC128" s="3" t="s">
        <v>144</v>
      </c>
      <c r="BD128" s="3" t="s">
        <v>144</v>
      </c>
      <c r="BE128" s="3" t="s">
        <v>144</v>
      </c>
      <c r="BF128" s="3" t="s">
        <v>144</v>
      </c>
      <c r="BG128" s="3" t="s">
        <v>144</v>
      </c>
      <c r="BH128" s="3" t="s">
        <v>144</v>
      </c>
      <c r="BI128" s="3" t="s">
        <v>144</v>
      </c>
      <c r="BJ128" s="3" t="s">
        <v>144</v>
      </c>
      <c r="BK128" s="3" t="s">
        <v>144</v>
      </c>
      <c r="BL128" s="3" t="s">
        <v>144</v>
      </c>
      <c r="BM128" s="3" t="s">
        <v>144</v>
      </c>
      <c r="BN128" s="3" t="s">
        <v>144</v>
      </c>
      <c r="BO128" s="3" t="s">
        <v>144</v>
      </c>
      <c r="BP128" s="3" t="s">
        <v>144</v>
      </c>
      <c r="BQ128" s="3" t="s">
        <v>144</v>
      </c>
      <c r="BR128" s="3" t="s">
        <v>144</v>
      </c>
      <c r="BS128" s="3" t="s">
        <v>144</v>
      </c>
      <c r="BT128" s="3" t="s">
        <v>144</v>
      </c>
      <c r="BU128" s="3" t="s">
        <v>144</v>
      </c>
      <c r="BV128" s="3" t="s">
        <v>144</v>
      </c>
      <c r="BW128" s="3" t="s">
        <v>144</v>
      </c>
      <c r="BX128" s="3" t="s">
        <v>144</v>
      </c>
      <c r="BY128" s="3" t="s">
        <v>144</v>
      </c>
      <c r="BZ128" s="3" t="s">
        <v>144</v>
      </c>
      <c r="CA128" s="3" t="s">
        <v>144</v>
      </c>
      <c r="CB128" s="3" t="s">
        <v>144</v>
      </c>
      <c r="CC128" s="3" t="s">
        <v>144</v>
      </c>
      <c r="CD128" s="3" t="s">
        <v>144</v>
      </c>
      <c r="CE128" s="3" t="s">
        <v>144</v>
      </c>
      <c r="CF128" s="3" t="s">
        <v>144</v>
      </c>
      <c r="CG128" s="3" t="s">
        <v>144</v>
      </c>
      <c r="CH128" s="3" t="s">
        <v>144</v>
      </c>
      <c r="CI128" s="3" t="s">
        <v>144</v>
      </c>
      <c r="CJ128" s="3" t="s">
        <v>144</v>
      </c>
      <c r="CK128" s="3" t="s">
        <v>144</v>
      </c>
      <c r="CL128" s="3" t="s">
        <v>144</v>
      </c>
      <c r="CM128" s="3" t="s">
        <v>144</v>
      </c>
      <c r="CN128" s="3" t="s">
        <v>144</v>
      </c>
      <c r="CO128" s="3" t="s">
        <v>144</v>
      </c>
      <c r="CP128" s="3" t="s">
        <v>144</v>
      </c>
      <c r="CQ128" s="3" t="s">
        <v>144</v>
      </c>
      <c r="CR128" s="3" t="s">
        <v>144</v>
      </c>
      <c r="CS128" s="3" t="s">
        <v>144</v>
      </c>
      <c r="CT128" s="3" t="s">
        <v>144</v>
      </c>
      <c r="CU128" s="3" t="s">
        <v>144</v>
      </c>
      <c r="CV128" s="3" t="s">
        <v>144</v>
      </c>
      <c r="CW128" s="3" t="s">
        <v>144</v>
      </c>
      <c r="CX128" s="3" t="s">
        <v>144</v>
      </c>
      <c r="CY128" s="3" t="s">
        <v>144</v>
      </c>
    </row>
    <row r="129" spans="1:103" x14ac:dyDescent="0.25">
      <c r="A129" t="s">
        <v>67</v>
      </c>
      <c r="B129" t="s">
        <v>4</v>
      </c>
      <c r="C129">
        <v>190.34690038200384</v>
      </c>
      <c r="D129">
        <v>86.071207842664236</v>
      </c>
      <c r="E129">
        <v>74.624264163470599</v>
      </c>
      <c r="F129">
        <v>103.73889606987774</v>
      </c>
      <c r="G129">
        <v>62.150815878241204</v>
      </c>
      <c r="H129">
        <v>120.1985407110235</v>
      </c>
      <c r="I129">
        <v>109.25246700081489</v>
      </c>
      <c r="J129">
        <v>154.17150620693536</v>
      </c>
      <c r="K129">
        <v>177.49151188446453</v>
      </c>
      <c r="L129">
        <v>186.59055335134644</v>
      </c>
      <c r="M129">
        <v>197.67453154522505</v>
      </c>
      <c r="N129">
        <v>177.52485622658239</v>
      </c>
      <c r="O129">
        <v>169.47491032635355</v>
      </c>
      <c r="P129">
        <v>149.94680938410613</v>
      </c>
      <c r="Q129">
        <v>137.94426826984312</v>
      </c>
      <c r="R129">
        <v>131.92025425939943</v>
      </c>
      <c r="S129">
        <v>127.84507489577024</v>
      </c>
      <c r="T129">
        <v>133.09180971096134</v>
      </c>
      <c r="U129">
        <v>137.04080498129437</v>
      </c>
      <c r="V129">
        <v>143.9644362064212</v>
      </c>
      <c r="W129">
        <v>148.56691790658795</v>
      </c>
      <c r="X129">
        <v>150.54452410831871</v>
      </c>
      <c r="Y129">
        <v>150.61642404410657</v>
      </c>
      <c r="Z129">
        <v>147.19063645828953</v>
      </c>
      <c r="AA129">
        <v>143.10303757093806</v>
      </c>
      <c r="AB129">
        <v>138.01213506592148</v>
      </c>
      <c r="AC129">
        <v>133.7662722217483</v>
      </c>
      <c r="AD129">
        <v>130.91240652848899</v>
      </c>
      <c r="AE129">
        <v>129.45298845208745</v>
      </c>
      <c r="AF129">
        <v>129.63750476014152</v>
      </c>
      <c r="AG129">
        <v>130.50694868204067</v>
      </c>
      <c r="AH129">
        <v>131.75972916056989</v>
      </c>
      <c r="AI129">
        <v>132.6483332915605</v>
      </c>
      <c r="AJ129">
        <v>132.84469522105107</v>
      </c>
      <c r="AK129">
        <v>132.29955448199971</v>
      </c>
      <c r="AL129">
        <v>131.03278644231179</v>
      </c>
      <c r="AM129">
        <v>129.41647357203323</v>
      </c>
      <c r="AN129">
        <v>127.69155070506073</v>
      </c>
      <c r="AO129">
        <v>126.17294200648485</v>
      </c>
      <c r="AP129">
        <v>125.02712803941935</v>
      </c>
      <c r="AQ129">
        <v>124.29414401602043</v>
      </c>
      <c r="AR129">
        <v>123.94323058809168</v>
      </c>
      <c r="AS129">
        <v>123.82425115981297</v>
      </c>
      <c r="AT129">
        <v>123.79974759740588</v>
      </c>
      <c r="AU129">
        <v>123.72003247163653</v>
      </c>
      <c r="AV129">
        <v>123.49073657296205</v>
      </c>
      <c r="AW129">
        <v>123.07785103289082</v>
      </c>
      <c r="AX129">
        <v>122.49552701076323</v>
      </c>
      <c r="AY129">
        <v>121.81004930529906</v>
      </c>
      <c r="BA129" s="1">
        <v>1</v>
      </c>
      <c r="BB129" t="str">
        <f t="shared" si="1"/>
        <v>Mg - Noroeste de Minas</v>
      </c>
      <c r="BC129" s="3">
        <v>189.39649497679264</v>
      </c>
      <c r="BD129" s="3">
        <v>-13.737498090109256</v>
      </c>
      <c r="BE129" s="3">
        <v>-79.834556011513484</v>
      </c>
      <c r="BF129" s="3">
        <v>-0.49645909352494755</v>
      </c>
      <c r="BG129" s="3">
        <v>-92.606446195455888</v>
      </c>
      <c r="BH129" s="3">
        <v>2.7895386546593244</v>
      </c>
      <c r="BI129" s="3">
        <v>-26.55421422714717</v>
      </c>
      <c r="BJ129" s="3">
        <v>29.437112537812794</v>
      </c>
      <c r="BK129" s="3">
        <v>58.840933489609569</v>
      </c>
      <c r="BL129" s="3">
        <v>48.981407763080341</v>
      </c>
      <c r="BM129" s="3">
        <v>60.720548625304303</v>
      </c>
      <c r="BN129" s="3">
        <v>22.720125251232304</v>
      </c>
      <c r="BO129" s="3">
        <v>14.510755800916399</v>
      </c>
      <c r="BP129" s="3">
        <v>-7.520108618264203</v>
      </c>
      <c r="BQ129" s="3">
        <v>-19.405585196221693</v>
      </c>
      <c r="BR129" s="3">
        <v>-19.414679469617511</v>
      </c>
      <c r="BS129" s="3">
        <v>-21.827582268387744</v>
      </c>
      <c r="BT129" s="3">
        <v>-10.533718732931618</v>
      </c>
      <c r="BU129" s="3">
        <v>-4.7667233805870524</v>
      </c>
      <c r="BV129" s="3">
        <v>3.8729556135581049</v>
      </c>
      <c r="BW129" s="3">
        <v>8.8950160465578278</v>
      </c>
      <c r="BX129" s="3">
        <v>9.3343980513431575</v>
      </c>
      <c r="BY129" s="3">
        <v>8.469537718547457</v>
      </c>
      <c r="BZ129" s="3">
        <v>2.9632126462516339</v>
      </c>
      <c r="CA129" s="3">
        <v>-2.0875289153840413</v>
      </c>
      <c r="CB129" s="3">
        <v>-7.6885855729556738</v>
      </c>
      <c r="CC129" s="3">
        <v>-11.616315080864467</v>
      </c>
      <c r="CD129" s="3">
        <v>-13.24826700068337</v>
      </c>
      <c r="CE129" s="3">
        <v>-13.390049086572589</v>
      </c>
      <c r="CF129" s="3">
        <v>-11.644012775145853</v>
      </c>
      <c r="CG129" s="3">
        <v>-9.6755402382252385</v>
      </c>
      <c r="CH129" s="3">
        <v>-7.7266841378863376</v>
      </c>
      <c r="CI129" s="3">
        <v>-6.615504938378109</v>
      </c>
      <c r="CJ129" s="3">
        <v>-6.6035336268570859</v>
      </c>
      <c r="CK129" s="3">
        <v>-7.4400157428145519</v>
      </c>
      <c r="CL129" s="3">
        <v>-9.0359098493963472</v>
      </c>
      <c r="CM129" s="3">
        <v>-10.791534682441522</v>
      </c>
      <c r="CN129" s="3">
        <v>-12.453974738998767</v>
      </c>
      <c r="CO129" s="3">
        <v>-13.701575978581928</v>
      </c>
      <c r="CP129" s="3">
        <v>-14.412648652127444</v>
      </c>
      <c r="CQ129" s="3">
        <v>-14.655215115373295</v>
      </c>
      <c r="CR129" s="3">
        <v>-14.51529145604546</v>
      </c>
      <c r="CS129" s="3">
        <v>-14.227446144119597</v>
      </c>
      <c r="CT129" s="3">
        <v>-13.952615626709559</v>
      </c>
      <c r="CU129" s="3">
        <v>-13.847858959118497</v>
      </c>
      <c r="CV129" s="3">
        <v>-13.988957329839963</v>
      </c>
      <c r="CW129" s="3">
        <v>-14.365743874224094</v>
      </c>
      <c r="CX129" s="3">
        <v>-14.926919971344006</v>
      </c>
      <c r="CY129" s="3">
        <v>-15.564239424178794</v>
      </c>
    </row>
    <row r="130" spans="1:103" x14ac:dyDescent="0.25">
      <c r="A130" t="s">
        <v>67</v>
      </c>
      <c r="B130" t="s">
        <v>5</v>
      </c>
      <c r="C130">
        <v>0.95040540521118611</v>
      </c>
      <c r="D130">
        <v>99.808705932773492</v>
      </c>
      <c r="E130">
        <v>154.45882017498408</v>
      </c>
      <c r="F130">
        <v>104.23535516340269</v>
      </c>
      <c r="G130">
        <v>154.75726207369709</v>
      </c>
      <c r="H130">
        <v>117.40900205636417</v>
      </c>
      <c r="I130">
        <v>135.80668122796206</v>
      </c>
      <c r="J130">
        <v>124.73439366912257</v>
      </c>
      <c r="K130">
        <v>118.65057839485496</v>
      </c>
      <c r="L130">
        <v>137.6091455882661</v>
      </c>
      <c r="M130">
        <v>136.95398291992075</v>
      </c>
      <c r="N130">
        <v>154.80473097535008</v>
      </c>
      <c r="O130">
        <v>154.96415452543715</v>
      </c>
      <c r="P130">
        <v>157.46691800237033</v>
      </c>
      <c r="Q130">
        <v>157.34985346606481</v>
      </c>
      <c r="R130">
        <v>151.33493372901694</v>
      </c>
      <c r="S130">
        <v>149.67265716415798</v>
      </c>
      <c r="T130">
        <v>143.62552844389296</v>
      </c>
      <c r="U130">
        <v>141.80752836188142</v>
      </c>
      <c r="V130">
        <v>140.09148059286309</v>
      </c>
      <c r="W130">
        <v>139.67190186003012</v>
      </c>
      <c r="X130">
        <v>141.21012605697555</v>
      </c>
      <c r="Y130">
        <v>142.14688632555911</v>
      </c>
      <c r="Z130">
        <v>144.2274238120379</v>
      </c>
      <c r="AA130">
        <v>145.1905664863221</v>
      </c>
      <c r="AB130">
        <v>145.70072063887716</v>
      </c>
      <c r="AC130">
        <v>145.38258730261276</v>
      </c>
      <c r="AD130">
        <v>144.16067352917236</v>
      </c>
      <c r="AE130">
        <v>142.84303753866004</v>
      </c>
      <c r="AF130">
        <v>141.28151753528738</v>
      </c>
      <c r="AG130">
        <v>140.18248892026591</v>
      </c>
      <c r="AH130">
        <v>139.48641329845623</v>
      </c>
      <c r="AI130">
        <v>139.26383822993861</v>
      </c>
      <c r="AJ130">
        <v>139.44822884790815</v>
      </c>
      <c r="AK130">
        <v>139.73957022481426</v>
      </c>
      <c r="AL130">
        <v>140.06869629170814</v>
      </c>
      <c r="AM130">
        <v>140.20800825447475</v>
      </c>
      <c r="AN130">
        <v>140.1455254440595</v>
      </c>
      <c r="AO130">
        <v>139.87451798506677</v>
      </c>
      <c r="AP130">
        <v>139.4397766915468</v>
      </c>
      <c r="AQ130">
        <v>138.94935913139372</v>
      </c>
      <c r="AR130">
        <v>138.45852204413714</v>
      </c>
      <c r="AS130">
        <v>138.05169730393257</v>
      </c>
      <c r="AT130">
        <v>137.75236322411544</v>
      </c>
      <c r="AU130">
        <v>137.56789143075503</v>
      </c>
      <c r="AV130">
        <v>137.47969390280201</v>
      </c>
      <c r="AW130">
        <v>137.44359490711491</v>
      </c>
      <c r="AX130">
        <v>137.42244698210723</v>
      </c>
      <c r="AY130">
        <v>137.37428872947785</v>
      </c>
      <c r="BA130" s="1">
        <v>-1</v>
      </c>
      <c r="BB130" t="str">
        <f t="shared" si="1"/>
        <v>Mg - Noroeste de Minas</v>
      </c>
      <c r="BC130" s="3" t="s">
        <v>144</v>
      </c>
      <c r="BD130" s="3" t="s">
        <v>144</v>
      </c>
      <c r="BE130" s="3" t="s">
        <v>144</v>
      </c>
      <c r="BF130" s="3" t="s">
        <v>144</v>
      </c>
      <c r="BG130" s="3" t="s">
        <v>144</v>
      </c>
      <c r="BH130" s="3" t="s">
        <v>144</v>
      </c>
      <c r="BI130" s="3" t="s">
        <v>144</v>
      </c>
      <c r="BJ130" s="3" t="s">
        <v>144</v>
      </c>
      <c r="BK130" s="3" t="s">
        <v>144</v>
      </c>
      <c r="BL130" s="3" t="s">
        <v>144</v>
      </c>
      <c r="BM130" s="3" t="s">
        <v>144</v>
      </c>
      <c r="BN130" s="3" t="s">
        <v>144</v>
      </c>
      <c r="BO130" s="3" t="s">
        <v>144</v>
      </c>
      <c r="BP130" s="3" t="s">
        <v>144</v>
      </c>
      <c r="BQ130" s="3" t="s">
        <v>144</v>
      </c>
      <c r="BR130" s="3" t="s">
        <v>144</v>
      </c>
      <c r="BS130" s="3" t="s">
        <v>144</v>
      </c>
      <c r="BT130" s="3" t="s">
        <v>144</v>
      </c>
      <c r="BU130" s="3" t="s">
        <v>144</v>
      </c>
      <c r="BV130" s="3" t="s">
        <v>144</v>
      </c>
      <c r="BW130" s="3" t="s">
        <v>144</v>
      </c>
      <c r="BX130" s="3" t="s">
        <v>144</v>
      </c>
      <c r="BY130" s="3" t="s">
        <v>144</v>
      </c>
      <c r="BZ130" s="3" t="s">
        <v>144</v>
      </c>
      <c r="CA130" s="3" t="s">
        <v>144</v>
      </c>
      <c r="CB130" s="3" t="s">
        <v>144</v>
      </c>
      <c r="CC130" s="3" t="s">
        <v>144</v>
      </c>
      <c r="CD130" s="3" t="s">
        <v>144</v>
      </c>
      <c r="CE130" s="3" t="s">
        <v>144</v>
      </c>
      <c r="CF130" s="3" t="s">
        <v>144</v>
      </c>
      <c r="CG130" s="3" t="s">
        <v>144</v>
      </c>
      <c r="CH130" s="3" t="s">
        <v>144</v>
      </c>
      <c r="CI130" s="3" t="s">
        <v>144</v>
      </c>
      <c r="CJ130" s="3" t="s">
        <v>144</v>
      </c>
      <c r="CK130" s="3" t="s">
        <v>144</v>
      </c>
      <c r="CL130" s="3" t="s">
        <v>144</v>
      </c>
      <c r="CM130" s="3" t="s">
        <v>144</v>
      </c>
      <c r="CN130" s="3" t="s">
        <v>144</v>
      </c>
      <c r="CO130" s="3" t="s">
        <v>144</v>
      </c>
      <c r="CP130" s="3" t="s">
        <v>144</v>
      </c>
      <c r="CQ130" s="3" t="s">
        <v>144</v>
      </c>
      <c r="CR130" s="3" t="s">
        <v>144</v>
      </c>
      <c r="CS130" s="3" t="s">
        <v>144</v>
      </c>
      <c r="CT130" s="3" t="s">
        <v>144</v>
      </c>
      <c r="CU130" s="3" t="s">
        <v>144</v>
      </c>
      <c r="CV130" s="3" t="s">
        <v>144</v>
      </c>
      <c r="CW130" s="3" t="s">
        <v>144</v>
      </c>
      <c r="CX130" s="3" t="s">
        <v>144</v>
      </c>
      <c r="CY130" s="3" t="s">
        <v>144</v>
      </c>
    </row>
    <row r="131" spans="1:103" x14ac:dyDescent="0.25">
      <c r="A131" t="s">
        <v>68</v>
      </c>
      <c r="B131" t="s">
        <v>4</v>
      </c>
      <c r="C131">
        <v>289.41420567380442</v>
      </c>
      <c r="D131">
        <v>204.92574998521957</v>
      </c>
      <c r="E131">
        <v>204.72059219245514</v>
      </c>
      <c r="F131">
        <v>140.06760244640819</v>
      </c>
      <c r="G131">
        <v>133.38832809132577</v>
      </c>
      <c r="H131">
        <v>211.02058283290813</v>
      </c>
      <c r="I131">
        <v>198.07399719505142</v>
      </c>
      <c r="J131">
        <v>248.76876872136305</v>
      </c>
      <c r="K131">
        <v>255.30768427619748</v>
      </c>
      <c r="L131">
        <v>280.17408549156534</v>
      </c>
      <c r="M131">
        <v>294.1964349129475</v>
      </c>
      <c r="N131">
        <v>281.9482691414126</v>
      </c>
      <c r="O131">
        <v>282.40259616162086</v>
      </c>
      <c r="P131">
        <v>267.20871450717732</v>
      </c>
      <c r="Q131">
        <v>265.87210807660585</v>
      </c>
      <c r="R131">
        <v>263.87680018451914</v>
      </c>
      <c r="S131">
        <v>265.72625148214166</v>
      </c>
      <c r="T131">
        <v>274.38924094037736</v>
      </c>
      <c r="U131">
        <v>280.86089885994005</v>
      </c>
      <c r="V131">
        <v>290.96713412914215</v>
      </c>
      <c r="W131">
        <v>296.99278726176397</v>
      </c>
      <c r="X131">
        <v>301.65332799274057</v>
      </c>
      <c r="Y131">
        <v>304.02019184293533</v>
      </c>
      <c r="Z131">
        <v>303.7480410718324</v>
      </c>
      <c r="AA131">
        <v>303.30012284213319</v>
      </c>
      <c r="AB131">
        <v>301.74096126968294</v>
      </c>
      <c r="AC131">
        <v>301.22611409862196</v>
      </c>
      <c r="AD131">
        <v>301.46688517528992</v>
      </c>
      <c r="AE131">
        <v>302.80690148639366</v>
      </c>
      <c r="AF131">
        <v>305.26257321703673</v>
      </c>
      <c r="AG131">
        <v>308.05348158358987</v>
      </c>
      <c r="AH131">
        <v>311.12414729901127</v>
      </c>
      <c r="AI131">
        <v>313.73994950537588</v>
      </c>
      <c r="AJ131">
        <v>315.80194412335055</v>
      </c>
      <c r="AK131">
        <v>317.18139611618079</v>
      </c>
      <c r="AL131">
        <v>317.92877257303246</v>
      </c>
      <c r="AM131">
        <v>318.35200603094125</v>
      </c>
      <c r="AN131">
        <v>318.61607884788742</v>
      </c>
      <c r="AO131">
        <v>319.01819251306495</v>
      </c>
      <c r="AP131">
        <v>319.66069155885867</v>
      </c>
      <c r="AQ131">
        <v>320.59369854541956</v>
      </c>
      <c r="AR131">
        <v>321.77767977743656</v>
      </c>
      <c r="AS131">
        <v>323.0828361975644</v>
      </c>
      <c r="AT131">
        <v>324.40275066310966</v>
      </c>
      <c r="AU131">
        <v>325.61041811457335</v>
      </c>
      <c r="AV131">
        <v>326.64502531955895</v>
      </c>
      <c r="AW131">
        <v>327.48426235064323</v>
      </c>
      <c r="AX131">
        <v>328.1500068689125</v>
      </c>
      <c r="AY131">
        <v>328.70138253468639</v>
      </c>
      <c r="BA131" s="1">
        <v>1</v>
      </c>
      <c r="BB131" t="str">
        <f t="shared" si="1"/>
        <v>Mg - Norte de Minas</v>
      </c>
      <c r="BC131" s="3">
        <v>171.37633184141458</v>
      </c>
      <c r="BD131" s="3">
        <v>92.606128042843139</v>
      </c>
      <c r="BE131" s="3">
        <v>3.6635782435047588</v>
      </c>
      <c r="BF131" s="3">
        <v>116.39312305578736</v>
      </c>
      <c r="BG131" s="3">
        <v>-12.106094155793869</v>
      </c>
      <c r="BH131" s="3">
        <v>85.685700168058972</v>
      </c>
      <c r="BI131" s="3">
        <v>49.172131568212706</v>
      </c>
      <c r="BJ131" s="3">
        <v>80.158759507604003</v>
      </c>
      <c r="BK131" s="3">
        <v>115.25346956430147</v>
      </c>
      <c r="BL131" s="3">
        <v>96.872612005665133</v>
      </c>
      <c r="BM131" s="3">
        <v>125.26561078079993</v>
      </c>
      <c r="BN131" s="3">
        <v>95.744585726471087</v>
      </c>
      <c r="BO131" s="3">
        <v>93.524428523289998</v>
      </c>
      <c r="BP131" s="3">
        <v>75.726800183608049</v>
      </c>
      <c r="BQ131" s="3">
        <v>56.90250674145841</v>
      </c>
      <c r="BR131" s="3">
        <v>51.230564085549219</v>
      </c>
      <c r="BS131" s="3">
        <v>36.680932433719505</v>
      </c>
      <c r="BT131" s="3">
        <v>37.670471674518552</v>
      </c>
      <c r="BU131" s="3">
        <v>34.532242800672265</v>
      </c>
      <c r="BV131" s="3">
        <v>36.050124784726961</v>
      </c>
      <c r="BW131" s="3">
        <v>38.008559946891296</v>
      </c>
      <c r="BX131" s="3">
        <v>36.305518242444919</v>
      </c>
      <c r="BY131" s="3">
        <v>35.566896394274465</v>
      </c>
      <c r="BZ131" s="3">
        <v>30.139252488790589</v>
      </c>
      <c r="CA131" s="3">
        <v>24.770626527017214</v>
      </c>
      <c r="CB131" s="3">
        <v>17.998892076046047</v>
      </c>
      <c r="CC131" s="3">
        <v>11.317403624358747</v>
      </c>
      <c r="CD131" s="3">
        <v>6.1009355247055055</v>
      </c>
      <c r="CE131" s="3">
        <v>1.4799230892170385</v>
      </c>
      <c r="CF131" s="3">
        <v>-1.2790164897387513</v>
      </c>
      <c r="CG131" s="3">
        <v>-3.435184265897874</v>
      </c>
      <c r="CH131" s="3">
        <v>-4.9143707654314994</v>
      </c>
      <c r="CI131" s="3">
        <v>-6.3020824913024285</v>
      </c>
      <c r="CJ131" s="3">
        <v>-8.1066027650988985</v>
      </c>
      <c r="CK131" s="3">
        <v>-10.227422485677948</v>
      </c>
      <c r="CL131" s="3">
        <v>-12.961508188129187</v>
      </c>
      <c r="CM131" s="3">
        <v>-15.95728595132681</v>
      </c>
      <c r="CN131" s="3">
        <v>-19.122665819558847</v>
      </c>
      <c r="CO131" s="3">
        <v>-22.208199584638635</v>
      </c>
      <c r="CP131" s="3">
        <v>-24.999296386365529</v>
      </c>
      <c r="CQ131" s="3">
        <v>-27.461554139168015</v>
      </c>
      <c r="CR131" s="3">
        <v>-29.517459606044099</v>
      </c>
      <c r="CS131" s="3">
        <v>-31.280786228508362</v>
      </c>
      <c r="CT131" s="3">
        <v>-32.835256912115653</v>
      </c>
      <c r="CU131" s="3">
        <v>-34.308617776442816</v>
      </c>
      <c r="CV131" s="3">
        <v>-35.810995543934325</v>
      </c>
      <c r="CW131" s="3">
        <v>-37.387818901941557</v>
      </c>
      <c r="CX131" s="3">
        <v>-39.066543684316969</v>
      </c>
      <c r="CY131" s="3">
        <v>-40.806667581264492</v>
      </c>
    </row>
    <row r="132" spans="1:103" x14ac:dyDescent="0.25">
      <c r="A132" t="s">
        <v>68</v>
      </c>
      <c r="B132" t="s">
        <v>5</v>
      </c>
      <c r="C132">
        <v>118.03787383238983</v>
      </c>
      <c r="D132">
        <v>112.31962194237643</v>
      </c>
      <c r="E132">
        <v>201.05701394895038</v>
      </c>
      <c r="F132">
        <v>23.674479390620832</v>
      </c>
      <c r="G132">
        <v>145.49442224711964</v>
      </c>
      <c r="H132">
        <v>125.33488266484916</v>
      </c>
      <c r="I132">
        <v>148.90186562683871</v>
      </c>
      <c r="J132">
        <v>168.61000921375904</v>
      </c>
      <c r="K132">
        <v>140.05421471189601</v>
      </c>
      <c r="L132">
        <v>183.3014734859002</v>
      </c>
      <c r="M132">
        <v>168.93082413214756</v>
      </c>
      <c r="N132">
        <v>186.20368341494151</v>
      </c>
      <c r="O132">
        <v>188.87816763833086</v>
      </c>
      <c r="P132">
        <v>191.48191432356927</v>
      </c>
      <c r="Q132">
        <v>208.96960133514744</v>
      </c>
      <c r="R132">
        <v>212.64623609896992</v>
      </c>
      <c r="S132">
        <v>229.04531904842216</v>
      </c>
      <c r="T132">
        <v>236.71876926585881</v>
      </c>
      <c r="U132">
        <v>246.32865605926779</v>
      </c>
      <c r="V132">
        <v>254.91700934441519</v>
      </c>
      <c r="W132">
        <v>258.98422731487267</v>
      </c>
      <c r="X132">
        <v>265.34780975029565</v>
      </c>
      <c r="Y132">
        <v>268.45329544866087</v>
      </c>
      <c r="Z132">
        <v>273.60878858304181</v>
      </c>
      <c r="AA132">
        <v>278.52949631511598</v>
      </c>
      <c r="AB132">
        <v>283.74206919363689</v>
      </c>
      <c r="AC132">
        <v>289.90871047426322</v>
      </c>
      <c r="AD132">
        <v>295.36594965058441</v>
      </c>
      <c r="AE132">
        <v>301.32697839717662</v>
      </c>
      <c r="AF132">
        <v>306.54158970677548</v>
      </c>
      <c r="AG132">
        <v>311.48866584948775</v>
      </c>
      <c r="AH132">
        <v>316.03851806444277</v>
      </c>
      <c r="AI132">
        <v>320.0420319966783</v>
      </c>
      <c r="AJ132">
        <v>323.90854688844945</v>
      </c>
      <c r="AK132">
        <v>327.40881860185874</v>
      </c>
      <c r="AL132">
        <v>330.89028076116165</v>
      </c>
      <c r="AM132">
        <v>334.30929198226806</v>
      </c>
      <c r="AN132">
        <v>337.73874466744627</v>
      </c>
      <c r="AO132">
        <v>341.22639209770358</v>
      </c>
      <c r="AP132">
        <v>344.6599879452242</v>
      </c>
      <c r="AQ132">
        <v>348.05525268458757</v>
      </c>
      <c r="AR132">
        <v>351.29513938348066</v>
      </c>
      <c r="AS132">
        <v>354.36362242607277</v>
      </c>
      <c r="AT132">
        <v>357.23800757522531</v>
      </c>
      <c r="AU132">
        <v>359.91903589101616</v>
      </c>
      <c r="AV132">
        <v>362.45602086349328</v>
      </c>
      <c r="AW132">
        <v>364.87208125258479</v>
      </c>
      <c r="AX132">
        <v>367.21655055322947</v>
      </c>
      <c r="AY132">
        <v>369.50805011595088</v>
      </c>
      <c r="BA132" s="1">
        <v>-1</v>
      </c>
      <c r="BB132" t="str">
        <f t="shared" si="1"/>
        <v>Mg - Norte de Minas</v>
      </c>
      <c r="BC132" s="3" t="s">
        <v>144</v>
      </c>
      <c r="BD132" s="3" t="s">
        <v>144</v>
      </c>
      <c r="BE132" s="3" t="s">
        <v>144</v>
      </c>
      <c r="BF132" s="3" t="s">
        <v>144</v>
      </c>
      <c r="BG132" s="3" t="s">
        <v>144</v>
      </c>
      <c r="BH132" s="3" t="s">
        <v>144</v>
      </c>
      <c r="BI132" s="3" t="s">
        <v>144</v>
      </c>
      <c r="BJ132" s="3" t="s">
        <v>144</v>
      </c>
      <c r="BK132" s="3" t="s">
        <v>144</v>
      </c>
      <c r="BL132" s="3" t="s">
        <v>144</v>
      </c>
      <c r="BM132" s="3" t="s">
        <v>144</v>
      </c>
      <c r="BN132" s="3" t="s">
        <v>144</v>
      </c>
      <c r="BO132" s="3" t="s">
        <v>144</v>
      </c>
      <c r="BP132" s="3" t="s">
        <v>144</v>
      </c>
      <c r="BQ132" s="3" t="s">
        <v>144</v>
      </c>
      <c r="BR132" s="3" t="s">
        <v>144</v>
      </c>
      <c r="BS132" s="3" t="s">
        <v>144</v>
      </c>
      <c r="BT132" s="3" t="s">
        <v>144</v>
      </c>
      <c r="BU132" s="3" t="s">
        <v>144</v>
      </c>
      <c r="BV132" s="3" t="s">
        <v>144</v>
      </c>
      <c r="BW132" s="3" t="s">
        <v>144</v>
      </c>
      <c r="BX132" s="3" t="s">
        <v>144</v>
      </c>
      <c r="BY132" s="3" t="s">
        <v>144</v>
      </c>
      <c r="BZ132" s="3" t="s">
        <v>144</v>
      </c>
      <c r="CA132" s="3" t="s">
        <v>144</v>
      </c>
      <c r="CB132" s="3" t="s">
        <v>144</v>
      </c>
      <c r="CC132" s="3" t="s">
        <v>144</v>
      </c>
      <c r="CD132" s="3" t="s">
        <v>144</v>
      </c>
      <c r="CE132" s="3" t="s">
        <v>144</v>
      </c>
      <c r="CF132" s="3" t="s">
        <v>144</v>
      </c>
      <c r="CG132" s="3" t="s">
        <v>144</v>
      </c>
      <c r="CH132" s="3" t="s">
        <v>144</v>
      </c>
      <c r="CI132" s="3" t="s">
        <v>144</v>
      </c>
      <c r="CJ132" s="3" t="s">
        <v>144</v>
      </c>
      <c r="CK132" s="3" t="s">
        <v>144</v>
      </c>
      <c r="CL132" s="3" t="s">
        <v>144</v>
      </c>
      <c r="CM132" s="3" t="s">
        <v>144</v>
      </c>
      <c r="CN132" s="3" t="s">
        <v>144</v>
      </c>
      <c r="CO132" s="3" t="s">
        <v>144</v>
      </c>
      <c r="CP132" s="3" t="s">
        <v>144</v>
      </c>
      <c r="CQ132" s="3" t="s">
        <v>144</v>
      </c>
      <c r="CR132" s="3" t="s">
        <v>144</v>
      </c>
      <c r="CS132" s="3" t="s">
        <v>144</v>
      </c>
      <c r="CT132" s="3" t="s">
        <v>144</v>
      </c>
      <c r="CU132" s="3" t="s">
        <v>144</v>
      </c>
      <c r="CV132" s="3" t="s">
        <v>144</v>
      </c>
      <c r="CW132" s="3" t="s">
        <v>144</v>
      </c>
      <c r="CX132" s="3" t="s">
        <v>144</v>
      </c>
      <c r="CY132" s="3" t="s">
        <v>144</v>
      </c>
    </row>
    <row r="133" spans="1:103" x14ac:dyDescent="0.25">
      <c r="A133" t="s">
        <v>69</v>
      </c>
      <c r="B133" t="s">
        <v>4</v>
      </c>
      <c r="C133">
        <v>109.10858256411919</v>
      </c>
      <c r="D133">
        <v>143.10111172601421</v>
      </c>
      <c r="E133">
        <v>95.335147135750816</v>
      </c>
      <c r="F133">
        <v>43.658121424439571</v>
      </c>
      <c r="G133">
        <v>-22.993931476539185</v>
      </c>
      <c r="H133">
        <v>23.705500011470733</v>
      </c>
      <c r="I133">
        <v>38.158361525579672</v>
      </c>
      <c r="J133">
        <v>52.957608281577649</v>
      </c>
      <c r="K133">
        <v>63.001132121489846</v>
      </c>
      <c r="L133">
        <v>64.958846658812973</v>
      </c>
      <c r="M133">
        <v>76.861894806947817</v>
      </c>
      <c r="N133">
        <v>69.015273333322028</v>
      </c>
      <c r="O133">
        <v>66.190741164254163</v>
      </c>
      <c r="P133">
        <v>61.270542999697419</v>
      </c>
      <c r="Q133">
        <v>59.084292775632804</v>
      </c>
      <c r="R133">
        <v>60.528814429183669</v>
      </c>
      <c r="S133">
        <v>58.768144499938685</v>
      </c>
      <c r="T133">
        <v>59.573253000852489</v>
      </c>
      <c r="U133">
        <v>58.577603698124456</v>
      </c>
      <c r="V133">
        <v>58.763064289758844</v>
      </c>
      <c r="W133">
        <v>59.347441667767121</v>
      </c>
      <c r="X133">
        <v>59.692083722603009</v>
      </c>
      <c r="Y133">
        <v>60.885816642912957</v>
      </c>
      <c r="Z133">
        <v>61.25716863163629</v>
      </c>
      <c r="AA133">
        <v>61.570893310263742</v>
      </c>
      <c r="AB133">
        <v>61.099581180872264</v>
      </c>
      <c r="AC133">
        <v>60.183538145438447</v>
      </c>
      <c r="AD133">
        <v>59.278200610906715</v>
      </c>
      <c r="AE133">
        <v>58.39702269812026</v>
      </c>
      <c r="AF133">
        <v>58.021386610694528</v>
      </c>
      <c r="AG133">
        <v>57.916676240035429</v>
      </c>
      <c r="AH133">
        <v>58.112086478807072</v>
      </c>
      <c r="AI133">
        <v>58.406710454067913</v>
      </c>
      <c r="AJ133">
        <v>58.62386949512193</v>
      </c>
      <c r="AK133">
        <v>58.745602335420145</v>
      </c>
      <c r="AL133">
        <v>58.68410788827881</v>
      </c>
      <c r="AM133">
        <v>58.526716121916905</v>
      </c>
      <c r="AN133">
        <v>58.292605934041511</v>
      </c>
      <c r="AO133">
        <v>58.037684409927792</v>
      </c>
      <c r="AP133">
        <v>57.804037672293987</v>
      </c>
      <c r="AQ133">
        <v>57.598360681801125</v>
      </c>
      <c r="AR133">
        <v>57.449345199708326</v>
      </c>
      <c r="AS133">
        <v>57.348533943031462</v>
      </c>
      <c r="AT133">
        <v>57.298621491649207</v>
      </c>
      <c r="AU133">
        <v>57.284515776971531</v>
      </c>
      <c r="AV133">
        <v>57.284452318258985</v>
      </c>
      <c r="AW133">
        <v>57.279902722573659</v>
      </c>
      <c r="AX133">
        <v>57.249238438887673</v>
      </c>
      <c r="AY133">
        <v>57.186764371930913</v>
      </c>
      <c r="BA133" s="1">
        <v>1</v>
      </c>
      <c r="BB133" t="str">
        <f t="shared" si="1"/>
        <v>Mg - Jequitinhonha</v>
      </c>
      <c r="BC133" s="3">
        <v>79.994304871791314</v>
      </c>
      <c r="BD133" s="3">
        <v>113.60346712031486</v>
      </c>
      <c r="BE133" s="3">
        <v>0.29726378274857268</v>
      </c>
      <c r="BF133" s="3">
        <v>-47.486901592832922</v>
      </c>
      <c r="BG133" s="3">
        <v>-115.59120236116841</v>
      </c>
      <c r="BH133" s="3">
        <v>-49.039799950638979</v>
      </c>
      <c r="BI133" s="3">
        <v>-7.4035039167499335</v>
      </c>
      <c r="BJ133" s="3">
        <v>3.8306325729898134</v>
      </c>
      <c r="BK133" s="3">
        <v>23.875976354079057</v>
      </c>
      <c r="BL133" s="3">
        <v>21.525273804179641</v>
      </c>
      <c r="BM133" s="3">
        <v>34.421734986062489</v>
      </c>
      <c r="BN133" s="3">
        <v>25.867035642447874</v>
      </c>
      <c r="BO133" s="3">
        <v>19.788292942587987</v>
      </c>
      <c r="BP133" s="3">
        <v>16.988426240993455</v>
      </c>
      <c r="BQ133" s="3">
        <v>12.625095965630919</v>
      </c>
      <c r="BR133" s="3">
        <v>13.937730024905612</v>
      </c>
      <c r="BS133" s="3">
        <v>9.7694777830265593</v>
      </c>
      <c r="BT133" s="3">
        <v>8.3859748320243028</v>
      </c>
      <c r="BU133" s="3">
        <v>6.8035614172504424</v>
      </c>
      <c r="BV133" s="3">
        <v>6.6004872521295326</v>
      </c>
      <c r="BW133" s="3">
        <v>8.7619347613467085</v>
      </c>
      <c r="BX133" s="3">
        <v>10.439349136722349</v>
      </c>
      <c r="BY133" s="3">
        <v>13.100983219618108</v>
      </c>
      <c r="BZ133" s="3">
        <v>14.250558727561838</v>
      </c>
      <c r="CA133" s="3">
        <v>14.365963299150415</v>
      </c>
      <c r="CB133" s="3">
        <v>13.279957264504887</v>
      </c>
      <c r="CC133" s="3">
        <v>11.228657043556488</v>
      </c>
      <c r="CD133" s="3">
        <v>9.402472689675669</v>
      </c>
      <c r="CE133" s="3">
        <v>7.820932184284402</v>
      </c>
      <c r="CF133" s="3">
        <v>7.1155974849631747</v>
      </c>
      <c r="CG133" s="3">
        <v>7.0269422108566317</v>
      </c>
      <c r="CH133" s="3">
        <v>7.3747098169302845</v>
      </c>
      <c r="CI133" s="3">
        <v>7.9406906008084235</v>
      </c>
      <c r="CJ133" s="3">
        <v>8.3701872112539277</v>
      </c>
      <c r="CK133" s="3">
        <v>8.6416026910920465</v>
      </c>
      <c r="CL133" s="3">
        <v>8.6250985149146189</v>
      </c>
      <c r="CM133" s="3">
        <v>8.3974890233908255</v>
      </c>
      <c r="CN133" s="3">
        <v>8.0121804023055958</v>
      </c>
      <c r="CO133" s="3">
        <v>7.5288022107973376</v>
      </c>
      <c r="CP133" s="3">
        <v>7.0484045422626878</v>
      </c>
      <c r="CQ133" s="3">
        <v>6.6102919120902044</v>
      </c>
      <c r="CR133" s="3">
        <v>6.2849134177359787</v>
      </c>
      <c r="CS133" s="3">
        <v>6.0862441160145409</v>
      </c>
      <c r="CT133" s="3">
        <v>6.0101093877033946</v>
      </c>
      <c r="CU133" s="3">
        <v>6.0246682497297641</v>
      </c>
      <c r="CV133" s="3">
        <v>6.0703890044666409</v>
      </c>
      <c r="CW133" s="3">
        <v>6.098665972282987</v>
      </c>
      <c r="CX133" s="3">
        <v>6.0647868059966044</v>
      </c>
      <c r="CY133" s="3">
        <v>5.955659283564728</v>
      </c>
    </row>
    <row r="134" spans="1:103" x14ac:dyDescent="0.25">
      <c r="A134" t="s">
        <v>69</v>
      </c>
      <c r="B134" t="s">
        <v>5</v>
      </c>
      <c r="C134">
        <v>29.114277692327867</v>
      </c>
      <c r="D134">
        <v>29.49764460569935</v>
      </c>
      <c r="E134">
        <v>95.037883353002243</v>
      </c>
      <c r="F134">
        <v>91.145023017272493</v>
      </c>
      <c r="G134">
        <v>92.597270884629225</v>
      </c>
      <c r="H134">
        <v>72.745299962109712</v>
      </c>
      <c r="I134">
        <v>45.561865442329605</v>
      </c>
      <c r="J134">
        <v>49.126975708587835</v>
      </c>
      <c r="K134">
        <v>39.125155767410789</v>
      </c>
      <c r="L134">
        <v>43.433572854633333</v>
      </c>
      <c r="M134">
        <v>42.440159820885327</v>
      </c>
      <c r="N134">
        <v>43.148237690874154</v>
      </c>
      <c r="O134">
        <v>46.402448221666177</v>
      </c>
      <c r="P134">
        <v>44.282116758703964</v>
      </c>
      <c r="Q134">
        <v>46.459196810001885</v>
      </c>
      <c r="R134">
        <v>46.591084404278057</v>
      </c>
      <c r="S134">
        <v>48.998666716912126</v>
      </c>
      <c r="T134">
        <v>51.187278168828186</v>
      </c>
      <c r="U134">
        <v>51.774042280874013</v>
      </c>
      <c r="V134">
        <v>52.162577037629312</v>
      </c>
      <c r="W134">
        <v>50.585506906420413</v>
      </c>
      <c r="X134">
        <v>49.25273458588066</v>
      </c>
      <c r="Y134">
        <v>47.784833423294849</v>
      </c>
      <c r="Z134">
        <v>47.006609904074452</v>
      </c>
      <c r="AA134">
        <v>47.204930011113326</v>
      </c>
      <c r="AB134">
        <v>47.819623916367377</v>
      </c>
      <c r="AC134">
        <v>48.954881101881959</v>
      </c>
      <c r="AD134">
        <v>49.875727921231046</v>
      </c>
      <c r="AE134">
        <v>50.576090513835858</v>
      </c>
      <c r="AF134">
        <v>50.905789125731353</v>
      </c>
      <c r="AG134">
        <v>50.889734029178797</v>
      </c>
      <c r="AH134">
        <v>50.737376661876787</v>
      </c>
      <c r="AI134">
        <v>50.466019853259489</v>
      </c>
      <c r="AJ134">
        <v>50.253682283868002</v>
      </c>
      <c r="AK134">
        <v>50.103999644328098</v>
      </c>
      <c r="AL134">
        <v>50.059009373364191</v>
      </c>
      <c r="AM134">
        <v>50.12922709852608</v>
      </c>
      <c r="AN134">
        <v>50.280425531735915</v>
      </c>
      <c r="AO134">
        <v>50.508882199130454</v>
      </c>
      <c r="AP134">
        <v>50.755633130031299</v>
      </c>
      <c r="AQ134">
        <v>50.988068769710921</v>
      </c>
      <c r="AR134">
        <v>51.164431781972347</v>
      </c>
      <c r="AS134">
        <v>51.262289827016922</v>
      </c>
      <c r="AT134">
        <v>51.288512103945813</v>
      </c>
      <c r="AU134">
        <v>51.259847527241767</v>
      </c>
      <c r="AV134">
        <v>51.214063313792344</v>
      </c>
      <c r="AW134">
        <v>51.181236750290672</v>
      </c>
      <c r="AX134">
        <v>51.184451632891069</v>
      </c>
      <c r="AY134">
        <v>51.231105088366185</v>
      </c>
      <c r="BA134" s="1">
        <v>-1</v>
      </c>
      <c r="BB134" t="str">
        <f t="shared" ref="BB134:BB197" si="2">A134</f>
        <v>Mg - Jequitinhonha</v>
      </c>
      <c r="BC134" s="3" t="s">
        <v>144</v>
      </c>
      <c r="BD134" s="3" t="s">
        <v>144</v>
      </c>
      <c r="BE134" s="3" t="s">
        <v>144</v>
      </c>
      <c r="BF134" s="3" t="s">
        <v>144</v>
      </c>
      <c r="BG134" s="3" t="s">
        <v>144</v>
      </c>
      <c r="BH134" s="3" t="s">
        <v>144</v>
      </c>
      <c r="BI134" s="3" t="s">
        <v>144</v>
      </c>
      <c r="BJ134" s="3" t="s">
        <v>144</v>
      </c>
      <c r="BK134" s="3" t="s">
        <v>144</v>
      </c>
      <c r="BL134" s="3" t="s">
        <v>144</v>
      </c>
      <c r="BM134" s="3" t="s">
        <v>144</v>
      </c>
      <c r="BN134" s="3" t="s">
        <v>144</v>
      </c>
      <c r="BO134" s="3" t="s">
        <v>144</v>
      </c>
      <c r="BP134" s="3" t="s">
        <v>144</v>
      </c>
      <c r="BQ134" s="3" t="s">
        <v>144</v>
      </c>
      <c r="BR134" s="3" t="s">
        <v>144</v>
      </c>
      <c r="BS134" s="3" t="s">
        <v>144</v>
      </c>
      <c r="BT134" s="3" t="s">
        <v>144</v>
      </c>
      <c r="BU134" s="3" t="s">
        <v>144</v>
      </c>
      <c r="BV134" s="3" t="s">
        <v>144</v>
      </c>
      <c r="BW134" s="3" t="s">
        <v>144</v>
      </c>
      <c r="BX134" s="3" t="s">
        <v>144</v>
      </c>
      <c r="BY134" s="3" t="s">
        <v>144</v>
      </c>
      <c r="BZ134" s="3" t="s">
        <v>144</v>
      </c>
      <c r="CA134" s="3" t="s">
        <v>144</v>
      </c>
      <c r="CB134" s="3" t="s">
        <v>144</v>
      </c>
      <c r="CC134" s="3" t="s">
        <v>144</v>
      </c>
      <c r="CD134" s="3" t="s">
        <v>144</v>
      </c>
      <c r="CE134" s="3" t="s">
        <v>144</v>
      </c>
      <c r="CF134" s="3" t="s">
        <v>144</v>
      </c>
      <c r="CG134" s="3" t="s">
        <v>144</v>
      </c>
      <c r="CH134" s="3" t="s">
        <v>144</v>
      </c>
      <c r="CI134" s="3" t="s">
        <v>144</v>
      </c>
      <c r="CJ134" s="3" t="s">
        <v>144</v>
      </c>
      <c r="CK134" s="3" t="s">
        <v>144</v>
      </c>
      <c r="CL134" s="3" t="s">
        <v>144</v>
      </c>
      <c r="CM134" s="3" t="s">
        <v>144</v>
      </c>
      <c r="CN134" s="3" t="s">
        <v>144</v>
      </c>
      <c r="CO134" s="3" t="s">
        <v>144</v>
      </c>
      <c r="CP134" s="3" t="s">
        <v>144</v>
      </c>
      <c r="CQ134" s="3" t="s">
        <v>144</v>
      </c>
      <c r="CR134" s="3" t="s">
        <v>144</v>
      </c>
      <c r="CS134" s="3" t="s">
        <v>144</v>
      </c>
      <c r="CT134" s="3" t="s">
        <v>144</v>
      </c>
      <c r="CU134" s="3" t="s">
        <v>144</v>
      </c>
      <c r="CV134" s="3" t="s">
        <v>144</v>
      </c>
      <c r="CW134" s="3" t="s">
        <v>144</v>
      </c>
      <c r="CX134" s="3" t="s">
        <v>144</v>
      </c>
      <c r="CY134" s="3" t="s">
        <v>144</v>
      </c>
    </row>
    <row r="135" spans="1:103" x14ac:dyDescent="0.25">
      <c r="A135" t="s">
        <v>70</v>
      </c>
      <c r="B135" t="s">
        <v>4</v>
      </c>
      <c r="C135">
        <v>66.562118500368641</v>
      </c>
      <c r="D135">
        <v>26.473477775345696</v>
      </c>
      <c r="E135">
        <v>39.212960951962735</v>
      </c>
      <c r="F135">
        <v>33.921808101820247</v>
      </c>
      <c r="G135">
        <v>26.085851212678016</v>
      </c>
      <c r="H135">
        <v>51.480449905289625</v>
      </c>
      <c r="I135">
        <v>46.581656585150242</v>
      </c>
      <c r="J135">
        <v>65.578612166677885</v>
      </c>
      <c r="K135">
        <v>70.882345763054929</v>
      </c>
      <c r="L135">
        <v>78.520679792644458</v>
      </c>
      <c r="M135">
        <v>83.720069354393871</v>
      </c>
      <c r="N135">
        <v>78.965856802741826</v>
      </c>
      <c r="O135">
        <v>78.414932518147538</v>
      </c>
      <c r="P135">
        <v>71.659587464427688</v>
      </c>
      <c r="Q135">
        <v>68.293568039746319</v>
      </c>
      <c r="R135">
        <v>64.962638561749969</v>
      </c>
      <c r="S135">
        <v>62.765290186368986</v>
      </c>
      <c r="T135">
        <v>63.614379624190967</v>
      </c>
      <c r="U135">
        <v>64.209424162487309</v>
      </c>
      <c r="V135">
        <v>66.558493811726905</v>
      </c>
      <c r="W135">
        <v>68.037682367504871</v>
      </c>
      <c r="X135">
        <v>69.103535196414484</v>
      </c>
      <c r="Y135">
        <v>69.409107818326277</v>
      </c>
      <c r="Z135">
        <v>68.538630786570167</v>
      </c>
      <c r="AA135">
        <v>67.373791056603508</v>
      </c>
      <c r="AB135">
        <v>65.642738103255724</v>
      </c>
      <c r="AC135">
        <v>64.139982432311896</v>
      </c>
      <c r="AD135">
        <v>62.920656145319505</v>
      </c>
      <c r="AE135">
        <v>62.139783561365491</v>
      </c>
      <c r="AF135">
        <v>61.891831171555523</v>
      </c>
      <c r="AG135">
        <v>61.912157400848926</v>
      </c>
      <c r="AH135">
        <v>62.168625043124308</v>
      </c>
      <c r="AI135">
        <v>62.382792275548994</v>
      </c>
      <c r="AJ135">
        <v>62.463235788994972</v>
      </c>
      <c r="AK135">
        <v>62.332015064124327</v>
      </c>
      <c r="AL135">
        <v>61.963261987300228</v>
      </c>
      <c r="AM135">
        <v>61.446502906772025</v>
      </c>
      <c r="AN135">
        <v>60.837241951381628</v>
      </c>
      <c r="AO135">
        <v>60.250520711698854</v>
      </c>
      <c r="AP135">
        <v>59.749041351577716</v>
      </c>
      <c r="AQ135">
        <v>59.373675602428342</v>
      </c>
      <c r="AR135">
        <v>59.132811687623224</v>
      </c>
      <c r="AS135">
        <v>58.990790364029273</v>
      </c>
      <c r="AT135">
        <v>58.909298711017435</v>
      </c>
      <c r="AU135">
        <v>58.834443708243889</v>
      </c>
      <c r="AV135">
        <v>58.72944473452948</v>
      </c>
      <c r="AW135">
        <v>58.572288288569304</v>
      </c>
      <c r="AX135">
        <v>58.359164807305355</v>
      </c>
      <c r="AY135">
        <v>58.105389444847887</v>
      </c>
      <c r="BA135" s="1">
        <v>1</v>
      </c>
      <c r="BB135" t="str">
        <f t="shared" si="2"/>
        <v>Mg - Vale do Mucuri</v>
      </c>
      <c r="BC135" s="3">
        <v>96.517983037415945</v>
      </c>
      <c r="BD135" s="3">
        <v>5.8759042458077744</v>
      </c>
      <c r="BE135" s="3">
        <v>-34.942421255994269</v>
      </c>
      <c r="BF135" s="3">
        <v>2.8142754722330707</v>
      </c>
      <c r="BG135" s="3">
        <v>-29.297415121127997</v>
      </c>
      <c r="BH135" s="3">
        <v>2.9235436841485836</v>
      </c>
      <c r="BI135" s="3">
        <v>-13.612677272325826</v>
      </c>
      <c r="BJ135" s="3">
        <v>1.1722333098227438</v>
      </c>
      <c r="BK135" s="3">
        <v>16.688429764690397</v>
      </c>
      <c r="BL135" s="3">
        <v>14.988948119239836</v>
      </c>
      <c r="BM135" s="3">
        <v>24.344441003461576</v>
      </c>
      <c r="BN135" s="3">
        <v>15.009798051325909</v>
      </c>
      <c r="BO135" s="3">
        <v>15.743593160497497</v>
      </c>
      <c r="BP135" s="3">
        <v>10.319566081572894</v>
      </c>
      <c r="BQ135" s="3">
        <v>4.4958163145720036</v>
      </c>
      <c r="BR135" s="3">
        <v>1.7156782743763017</v>
      </c>
      <c r="BS135" s="3">
        <v>-3.5617229619119826</v>
      </c>
      <c r="BT135" s="3">
        <v>-3.3658786272151033</v>
      </c>
      <c r="BU135" s="3">
        <v>-4.057701672892037</v>
      </c>
      <c r="BV135" s="3">
        <v>-2.5401834500274134</v>
      </c>
      <c r="BW135" s="3">
        <v>-0.74215126609294657</v>
      </c>
      <c r="BX135" s="3">
        <v>8.2929601653589202E-2</v>
      </c>
      <c r="BY135" s="3">
        <v>0.94612389620036197</v>
      </c>
      <c r="BZ135" s="3">
        <v>-8.2661999589049628E-2</v>
      </c>
      <c r="CA135" s="3">
        <v>-1.4528176417205856</v>
      </c>
      <c r="CB135" s="3">
        <v>-3.5861790918273755</v>
      </c>
      <c r="CC135" s="3">
        <v>-5.740506487287405</v>
      </c>
      <c r="CD135" s="3">
        <v>-7.410402383139008</v>
      </c>
      <c r="CE135" s="3">
        <v>-8.7546971604200081</v>
      </c>
      <c r="CF135" s="3">
        <v>-9.3620995932659099</v>
      </c>
      <c r="CG135" s="3">
        <v>-9.6681314781940699</v>
      </c>
      <c r="CH135" s="3">
        <v>-9.6758693993579925</v>
      </c>
      <c r="CI135" s="3">
        <v>-9.6434390912026089</v>
      </c>
      <c r="CJ135" s="3">
        <v>-9.7576623474538806</v>
      </c>
      <c r="CK135" s="3">
        <v>-10.024060966638736</v>
      </c>
      <c r="CL135" s="3">
        <v>-10.55100911449351</v>
      </c>
      <c r="CM135" s="3">
        <v>-11.228787880393014</v>
      </c>
      <c r="CN135" s="3">
        <v>-12.025566652069529</v>
      </c>
      <c r="CO135" s="3">
        <v>-12.838991473558195</v>
      </c>
      <c r="CP135" s="3">
        <v>-13.579508465464372</v>
      </c>
      <c r="CQ135" s="3">
        <v>-14.20888861194701</v>
      </c>
      <c r="CR135" s="3">
        <v>-14.684391570802141</v>
      </c>
      <c r="CS135" s="3">
        <v>-15.035504257343455</v>
      </c>
      <c r="CT135" s="3">
        <v>-15.292543819548804</v>
      </c>
      <c r="CU135" s="3">
        <v>-15.510974711142616</v>
      </c>
      <c r="CV135" s="3">
        <v>-15.742126991267554</v>
      </c>
      <c r="CW135" s="3">
        <v>-16.015738880184465</v>
      </c>
      <c r="CX135" s="3">
        <v>-16.348978499154306</v>
      </c>
      <c r="CY135" s="3">
        <v>-16.729870616759698</v>
      </c>
    </row>
    <row r="136" spans="1:103" x14ac:dyDescent="0.25">
      <c r="A136" t="s">
        <v>70</v>
      </c>
      <c r="B136" t="s">
        <v>5</v>
      </c>
      <c r="C136">
        <v>-29.955864537047308</v>
      </c>
      <c r="D136">
        <v>20.597573529537922</v>
      </c>
      <c r="E136">
        <v>74.155382207957004</v>
      </c>
      <c r="F136">
        <v>31.107532629587176</v>
      </c>
      <c r="G136">
        <v>55.383266333806013</v>
      </c>
      <c r="H136">
        <v>48.556906221141041</v>
      </c>
      <c r="I136">
        <v>60.194333857476067</v>
      </c>
      <c r="J136">
        <v>64.406378856855142</v>
      </c>
      <c r="K136">
        <v>54.193915998364531</v>
      </c>
      <c r="L136">
        <v>63.531731673404622</v>
      </c>
      <c r="M136">
        <v>59.375628350932296</v>
      </c>
      <c r="N136">
        <v>63.956058751415917</v>
      </c>
      <c r="O136">
        <v>62.671339357650041</v>
      </c>
      <c r="P136">
        <v>61.340021382854793</v>
      </c>
      <c r="Q136">
        <v>63.797751725174315</v>
      </c>
      <c r="R136">
        <v>63.246960287373668</v>
      </c>
      <c r="S136">
        <v>66.327013148280969</v>
      </c>
      <c r="T136">
        <v>66.98025825140607</v>
      </c>
      <c r="U136">
        <v>68.267125835379346</v>
      </c>
      <c r="V136">
        <v>69.098677261754318</v>
      </c>
      <c r="W136">
        <v>68.779833633597818</v>
      </c>
      <c r="X136">
        <v>69.020605594760895</v>
      </c>
      <c r="Y136">
        <v>68.462983922125915</v>
      </c>
      <c r="Z136">
        <v>68.621292786159216</v>
      </c>
      <c r="AA136">
        <v>68.826608698324094</v>
      </c>
      <c r="AB136">
        <v>69.228917195083099</v>
      </c>
      <c r="AC136">
        <v>69.880488919599301</v>
      </c>
      <c r="AD136">
        <v>70.331058528458513</v>
      </c>
      <c r="AE136">
        <v>70.894480721785499</v>
      </c>
      <c r="AF136">
        <v>71.253930764821433</v>
      </c>
      <c r="AG136">
        <v>71.580288879042996</v>
      </c>
      <c r="AH136">
        <v>71.844494442482301</v>
      </c>
      <c r="AI136">
        <v>72.026231366751603</v>
      </c>
      <c r="AJ136">
        <v>72.220898136448852</v>
      </c>
      <c r="AK136">
        <v>72.356076030763063</v>
      </c>
      <c r="AL136">
        <v>72.514271101793739</v>
      </c>
      <c r="AM136">
        <v>72.675290787165039</v>
      </c>
      <c r="AN136">
        <v>72.862808603451157</v>
      </c>
      <c r="AO136">
        <v>73.08951218525705</v>
      </c>
      <c r="AP136">
        <v>73.328549817042088</v>
      </c>
      <c r="AQ136">
        <v>73.582564214375353</v>
      </c>
      <c r="AR136">
        <v>73.817203258425366</v>
      </c>
      <c r="AS136">
        <v>74.026294621372728</v>
      </c>
      <c r="AT136">
        <v>74.201842530566239</v>
      </c>
      <c r="AU136">
        <v>74.345418419386505</v>
      </c>
      <c r="AV136">
        <v>74.471571725797034</v>
      </c>
      <c r="AW136">
        <v>74.588027168753769</v>
      </c>
      <c r="AX136">
        <v>74.708143306459661</v>
      </c>
      <c r="AY136">
        <v>74.835260061607585</v>
      </c>
      <c r="BA136" s="1">
        <v>-1</v>
      </c>
      <c r="BB136" t="str">
        <f t="shared" si="2"/>
        <v>Mg - Vale do Mucuri</v>
      </c>
      <c r="BC136" s="3" t="s">
        <v>144</v>
      </c>
      <c r="BD136" s="3" t="s">
        <v>144</v>
      </c>
      <c r="BE136" s="3" t="s">
        <v>144</v>
      </c>
      <c r="BF136" s="3" t="s">
        <v>144</v>
      </c>
      <c r="BG136" s="3" t="s">
        <v>144</v>
      </c>
      <c r="BH136" s="3" t="s">
        <v>144</v>
      </c>
      <c r="BI136" s="3" t="s">
        <v>144</v>
      </c>
      <c r="BJ136" s="3" t="s">
        <v>144</v>
      </c>
      <c r="BK136" s="3" t="s">
        <v>144</v>
      </c>
      <c r="BL136" s="3" t="s">
        <v>144</v>
      </c>
      <c r="BM136" s="3" t="s">
        <v>144</v>
      </c>
      <c r="BN136" s="3" t="s">
        <v>144</v>
      </c>
      <c r="BO136" s="3" t="s">
        <v>144</v>
      </c>
      <c r="BP136" s="3" t="s">
        <v>144</v>
      </c>
      <c r="BQ136" s="3" t="s">
        <v>144</v>
      </c>
      <c r="BR136" s="3" t="s">
        <v>144</v>
      </c>
      <c r="BS136" s="3" t="s">
        <v>144</v>
      </c>
      <c r="BT136" s="3" t="s">
        <v>144</v>
      </c>
      <c r="BU136" s="3" t="s">
        <v>144</v>
      </c>
      <c r="BV136" s="3" t="s">
        <v>144</v>
      </c>
      <c r="BW136" s="3" t="s">
        <v>144</v>
      </c>
      <c r="BX136" s="3" t="s">
        <v>144</v>
      </c>
      <c r="BY136" s="3" t="s">
        <v>144</v>
      </c>
      <c r="BZ136" s="3" t="s">
        <v>144</v>
      </c>
      <c r="CA136" s="3" t="s">
        <v>144</v>
      </c>
      <c r="CB136" s="3" t="s">
        <v>144</v>
      </c>
      <c r="CC136" s="3" t="s">
        <v>144</v>
      </c>
      <c r="CD136" s="3" t="s">
        <v>144</v>
      </c>
      <c r="CE136" s="3" t="s">
        <v>144</v>
      </c>
      <c r="CF136" s="3" t="s">
        <v>144</v>
      </c>
      <c r="CG136" s="3" t="s">
        <v>144</v>
      </c>
      <c r="CH136" s="3" t="s">
        <v>144</v>
      </c>
      <c r="CI136" s="3" t="s">
        <v>144</v>
      </c>
      <c r="CJ136" s="3" t="s">
        <v>144</v>
      </c>
      <c r="CK136" s="3" t="s">
        <v>144</v>
      </c>
      <c r="CL136" s="3" t="s">
        <v>144</v>
      </c>
      <c r="CM136" s="3" t="s">
        <v>144</v>
      </c>
      <c r="CN136" s="3" t="s">
        <v>144</v>
      </c>
      <c r="CO136" s="3" t="s">
        <v>144</v>
      </c>
      <c r="CP136" s="3" t="s">
        <v>144</v>
      </c>
      <c r="CQ136" s="3" t="s">
        <v>144</v>
      </c>
      <c r="CR136" s="3" t="s">
        <v>144</v>
      </c>
      <c r="CS136" s="3" t="s">
        <v>144</v>
      </c>
      <c r="CT136" s="3" t="s">
        <v>144</v>
      </c>
      <c r="CU136" s="3" t="s">
        <v>144</v>
      </c>
      <c r="CV136" s="3" t="s">
        <v>144</v>
      </c>
      <c r="CW136" s="3" t="s">
        <v>144</v>
      </c>
      <c r="CX136" s="3" t="s">
        <v>144</v>
      </c>
      <c r="CY136" s="3" t="s">
        <v>144</v>
      </c>
    </row>
    <row r="137" spans="1:103" x14ac:dyDescent="0.25">
      <c r="A137" t="s">
        <v>71</v>
      </c>
      <c r="B137" t="s">
        <v>4</v>
      </c>
      <c r="C137">
        <v>1491.505794274655</v>
      </c>
      <c r="D137">
        <v>1060.8794072764142</v>
      </c>
      <c r="E137">
        <v>855.81911645792945</v>
      </c>
      <c r="F137">
        <v>520.96785097367763</v>
      </c>
      <c r="G137">
        <v>401.5791454524516</v>
      </c>
      <c r="H137">
        <v>868.89040093160634</v>
      </c>
      <c r="I137">
        <v>883.47184245403878</v>
      </c>
      <c r="J137">
        <v>1204.6066363972809</v>
      </c>
      <c r="K137">
        <v>1344.6434420295554</v>
      </c>
      <c r="L137">
        <v>1484.9621750487756</v>
      </c>
      <c r="M137">
        <v>1541.3293257562373</v>
      </c>
      <c r="N137">
        <v>1406.4465608482788</v>
      </c>
      <c r="O137">
        <v>1326.0914339566375</v>
      </c>
      <c r="P137">
        <v>1183.5296023939809</v>
      </c>
      <c r="Q137">
        <v>1121.1600855927622</v>
      </c>
      <c r="R137">
        <v>1090.7531705033987</v>
      </c>
      <c r="S137">
        <v>1095.1588301080205</v>
      </c>
      <c r="T137">
        <v>1154.228500624987</v>
      </c>
      <c r="U137">
        <v>1209.7491317953691</v>
      </c>
      <c r="V137">
        <v>1281.7534021301378</v>
      </c>
      <c r="W137">
        <v>1329.0341292065582</v>
      </c>
      <c r="X137">
        <v>1356.7031293286707</v>
      </c>
      <c r="Y137">
        <v>1363.2354603234658</v>
      </c>
      <c r="Z137">
        <v>1346.1328318971725</v>
      </c>
      <c r="AA137">
        <v>1322.7172976722318</v>
      </c>
      <c r="AB137">
        <v>1293.5145849246826</v>
      </c>
      <c r="AC137">
        <v>1272.9879115456849</v>
      </c>
      <c r="AD137">
        <v>1263.6103480553118</v>
      </c>
      <c r="AE137">
        <v>1266.7180007597897</v>
      </c>
      <c r="AF137">
        <v>1281.4338641483034</v>
      </c>
      <c r="AG137">
        <v>1300.8197168158927</v>
      </c>
      <c r="AH137">
        <v>1321.5195313209092</v>
      </c>
      <c r="AI137">
        <v>1337.7065788467596</v>
      </c>
      <c r="AJ137">
        <v>1347.4696557812872</v>
      </c>
      <c r="AK137">
        <v>1350.4388416781287</v>
      </c>
      <c r="AL137">
        <v>1347.7163097799837</v>
      </c>
      <c r="AM137">
        <v>1342.3027361414602</v>
      </c>
      <c r="AN137">
        <v>1336.4030496026435</v>
      </c>
      <c r="AO137">
        <v>1332.4569173945363</v>
      </c>
      <c r="AP137">
        <v>1331.5199599087377</v>
      </c>
      <c r="AQ137">
        <v>1333.782590653082</v>
      </c>
      <c r="AR137">
        <v>1338.6832432360659</v>
      </c>
      <c r="AS137">
        <v>1344.9562084402337</v>
      </c>
      <c r="AT137">
        <v>1351.4247732451629</v>
      </c>
      <c r="AU137">
        <v>1356.9340849911214</v>
      </c>
      <c r="AV137">
        <v>1360.8462433648099</v>
      </c>
      <c r="AW137">
        <v>1362.9873095938549</v>
      </c>
      <c r="AX137">
        <v>1363.611042276134</v>
      </c>
      <c r="AY137">
        <v>1363.3180215757418</v>
      </c>
      <c r="BA137" s="1">
        <v>1</v>
      </c>
      <c r="BB137" t="str">
        <f t="shared" si="2"/>
        <v>Mg - Triang Mineiro</v>
      </c>
      <c r="BC137" s="3">
        <v>2023.56177904372</v>
      </c>
      <c r="BD137" s="3">
        <v>445.58086590460061</v>
      </c>
      <c r="BE137" s="3">
        <v>-523.1728876241126</v>
      </c>
      <c r="BF137" s="3">
        <v>-86.666687394056908</v>
      </c>
      <c r="BG137" s="3">
        <v>-697.2251229069999</v>
      </c>
      <c r="BH137" s="3">
        <v>218.73810575482196</v>
      </c>
      <c r="BI137" s="3">
        <v>11.94510627047805</v>
      </c>
      <c r="BJ137" s="3">
        <v>365.31326796231008</v>
      </c>
      <c r="BK137" s="3">
        <v>603.9747062833012</v>
      </c>
      <c r="BL137" s="3">
        <v>501.77820586921723</v>
      </c>
      <c r="BM137" s="3">
        <v>583.22783724626072</v>
      </c>
      <c r="BN137" s="3">
        <v>260.63653411178984</v>
      </c>
      <c r="BO137" s="3">
        <v>191.83444072404359</v>
      </c>
      <c r="BP137" s="3">
        <v>46.902491944244048</v>
      </c>
      <c r="BQ137" s="3">
        <v>-28.981099271206404</v>
      </c>
      <c r="BR137" s="3">
        <v>-12.426901569064967</v>
      </c>
      <c r="BS137" s="3">
        <v>-34.830904809923595</v>
      </c>
      <c r="BT137" s="3">
        <v>45.375944533280972</v>
      </c>
      <c r="BU137" s="3">
        <v>80.412922677074675</v>
      </c>
      <c r="BV137" s="3">
        <v>135.82829594772375</v>
      </c>
      <c r="BW137" s="3">
        <v>167.65485207069173</v>
      </c>
      <c r="BX137" s="3">
        <v>163.53779075328839</v>
      </c>
      <c r="BY137" s="3">
        <v>153.14377153657711</v>
      </c>
      <c r="BZ137" s="3">
        <v>107.40702137776361</v>
      </c>
      <c r="CA137" s="3">
        <v>66.235074905415104</v>
      </c>
      <c r="CB137" s="3">
        <v>22.420239234443898</v>
      </c>
      <c r="CC137" s="3">
        <v>-7.8906754130534864</v>
      </c>
      <c r="CD137" s="3">
        <v>-19.088210248648465</v>
      </c>
      <c r="CE137" s="3">
        <v>-19.399713408925891</v>
      </c>
      <c r="CF137" s="3">
        <v>-6.1427394927607111</v>
      </c>
      <c r="CG137" s="3">
        <v>7.123344961576322</v>
      </c>
      <c r="CH137" s="3">
        <v>18.610076446137555</v>
      </c>
      <c r="CI137" s="3">
        <v>22.980961830953447</v>
      </c>
      <c r="CJ137" s="3">
        <v>18.848849639360424</v>
      </c>
      <c r="CK137" s="3">
        <v>9.140543125411341</v>
      </c>
      <c r="CL137" s="3">
        <v>-5.2472018068356192</v>
      </c>
      <c r="CM137" s="3">
        <v>-19.752871319108408</v>
      </c>
      <c r="CN137" s="3">
        <v>-32.832066604621559</v>
      </c>
      <c r="CO137" s="3">
        <v>-42.582732465940126</v>
      </c>
      <c r="CP137" s="3">
        <v>-48.408469197602699</v>
      </c>
      <c r="CQ137" s="3">
        <v>-51.085520064816365</v>
      </c>
      <c r="CR137" s="3">
        <v>-51.242510836673091</v>
      </c>
      <c r="CS137" s="3">
        <v>-50.566736399372758</v>
      </c>
      <c r="CT137" s="3">
        <v>-50.129784296554817</v>
      </c>
      <c r="CU137" s="3">
        <v>-50.973481035804298</v>
      </c>
      <c r="CV137" s="3">
        <v>-53.589071012503382</v>
      </c>
      <c r="CW137" s="3">
        <v>-57.82696118500121</v>
      </c>
      <c r="CX137" s="3">
        <v>-63.279535024920051</v>
      </c>
      <c r="CY137" s="3">
        <v>-69.121870393234076</v>
      </c>
    </row>
    <row r="138" spans="1:103" x14ac:dyDescent="0.25">
      <c r="A138" t="s">
        <v>71</v>
      </c>
      <c r="B138" t="s">
        <v>5</v>
      </c>
      <c r="C138">
        <v>-532.05598476906505</v>
      </c>
      <c r="D138">
        <v>615.2985413718136</v>
      </c>
      <c r="E138">
        <v>1378.9920040820421</v>
      </c>
      <c r="F138">
        <v>607.63453836773454</v>
      </c>
      <c r="G138">
        <v>1098.8042683594515</v>
      </c>
      <c r="H138">
        <v>650.15229517678438</v>
      </c>
      <c r="I138">
        <v>871.52673618356073</v>
      </c>
      <c r="J138">
        <v>839.29336843497083</v>
      </c>
      <c r="K138">
        <v>740.66873574625424</v>
      </c>
      <c r="L138">
        <v>983.1839691795584</v>
      </c>
      <c r="M138">
        <v>958.10148850997655</v>
      </c>
      <c r="N138">
        <v>1145.8100267364889</v>
      </c>
      <c r="O138">
        <v>1134.2569932325939</v>
      </c>
      <c r="P138">
        <v>1136.6271104497368</v>
      </c>
      <c r="Q138">
        <v>1150.1411848639686</v>
      </c>
      <c r="R138">
        <v>1103.1800720724636</v>
      </c>
      <c r="S138">
        <v>1129.9897349179441</v>
      </c>
      <c r="T138">
        <v>1108.852556091706</v>
      </c>
      <c r="U138">
        <v>1129.3362091182944</v>
      </c>
      <c r="V138">
        <v>1145.9251061824141</v>
      </c>
      <c r="W138">
        <v>1161.3792771358665</v>
      </c>
      <c r="X138">
        <v>1193.1653385753823</v>
      </c>
      <c r="Y138">
        <v>1210.0916887868887</v>
      </c>
      <c r="Z138">
        <v>1238.7258105194089</v>
      </c>
      <c r="AA138">
        <v>1256.4822227668167</v>
      </c>
      <c r="AB138">
        <v>1271.0943456902387</v>
      </c>
      <c r="AC138">
        <v>1280.8785869587384</v>
      </c>
      <c r="AD138">
        <v>1282.6985583039602</v>
      </c>
      <c r="AE138">
        <v>1286.1177141687156</v>
      </c>
      <c r="AF138">
        <v>1287.5766036410641</v>
      </c>
      <c r="AG138">
        <v>1293.6963718543163</v>
      </c>
      <c r="AH138">
        <v>1302.9094548747717</v>
      </c>
      <c r="AI138">
        <v>1314.7256170158062</v>
      </c>
      <c r="AJ138">
        <v>1328.6208061419268</v>
      </c>
      <c r="AK138">
        <v>1341.2982985527174</v>
      </c>
      <c r="AL138">
        <v>1352.9635115868193</v>
      </c>
      <c r="AM138">
        <v>1362.0556074605686</v>
      </c>
      <c r="AN138">
        <v>1369.235116207265</v>
      </c>
      <c r="AO138">
        <v>1375.0396498604764</v>
      </c>
      <c r="AP138">
        <v>1379.9284291063404</v>
      </c>
      <c r="AQ138">
        <v>1384.8681107178984</v>
      </c>
      <c r="AR138">
        <v>1389.925754072739</v>
      </c>
      <c r="AS138">
        <v>1395.5229448396065</v>
      </c>
      <c r="AT138">
        <v>1401.5545575417177</v>
      </c>
      <c r="AU138">
        <v>1407.9075660269257</v>
      </c>
      <c r="AV138">
        <v>1414.4353143773133</v>
      </c>
      <c r="AW138">
        <v>1420.8142707788561</v>
      </c>
      <c r="AX138">
        <v>1426.890577301054</v>
      </c>
      <c r="AY138">
        <v>1432.4398919689759</v>
      </c>
      <c r="BA138" s="1">
        <v>-1</v>
      </c>
      <c r="BB138" t="str">
        <f t="shared" si="2"/>
        <v>Mg - Triang Mineiro</v>
      </c>
      <c r="BC138" s="3" t="s">
        <v>144</v>
      </c>
      <c r="BD138" s="3" t="s">
        <v>144</v>
      </c>
      <c r="BE138" s="3" t="s">
        <v>144</v>
      </c>
      <c r="BF138" s="3" t="s">
        <v>144</v>
      </c>
      <c r="BG138" s="3" t="s">
        <v>144</v>
      </c>
      <c r="BH138" s="3" t="s">
        <v>144</v>
      </c>
      <c r="BI138" s="3" t="s">
        <v>144</v>
      </c>
      <c r="BJ138" s="3" t="s">
        <v>144</v>
      </c>
      <c r="BK138" s="3" t="s">
        <v>144</v>
      </c>
      <c r="BL138" s="3" t="s">
        <v>144</v>
      </c>
      <c r="BM138" s="3" t="s">
        <v>144</v>
      </c>
      <c r="BN138" s="3" t="s">
        <v>144</v>
      </c>
      <c r="BO138" s="3" t="s">
        <v>144</v>
      </c>
      <c r="BP138" s="3" t="s">
        <v>144</v>
      </c>
      <c r="BQ138" s="3" t="s">
        <v>144</v>
      </c>
      <c r="BR138" s="3" t="s">
        <v>144</v>
      </c>
      <c r="BS138" s="3" t="s">
        <v>144</v>
      </c>
      <c r="BT138" s="3" t="s">
        <v>144</v>
      </c>
      <c r="BU138" s="3" t="s">
        <v>144</v>
      </c>
      <c r="BV138" s="3" t="s">
        <v>144</v>
      </c>
      <c r="BW138" s="3" t="s">
        <v>144</v>
      </c>
      <c r="BX138" s="3" t="s">
        <v>144</v>
      </c>
      <c r="BY138" s="3" t="s">
        <v>144</v>
      </c>
      <c r="BZ138" s="3" t="s">
        <v>144</v>
      </c>
      <c r="CA138" s="3" t="s">
        <v>144</v>
      </c>
      <c r="CB138" s="3" t="s">
        <v>144</v>
      </c>
      <c r="CC138" s="3" t="s">
        <v>144</v>
      </c>
      <c r="CD138" s="3" t="s">
        <v>144</v>
      </c>
      <c r="CE138" s="3" t="s">
        <v>144</v>
      </c>
      <c r="CF138" s="3" t="s">
        <v>144</v>
      </c>
      <c r="CG138" s="3" t="s">
        <v>144</v>
      </c>
      <c r="CH138" s="3" t="s">
        <v>144</v>
      </c>
      <c r="CI138" s="3" t="s">
        <v>144</v>
      </c>
      <c r="CJ138" s="3" t="s">
        <v>144</v>
      </c>
      <c r="CK138" s="3" t="s">
        <v>144</v>
      </c>
      <c r="CL138" s="3" t="s">
        <v>144</v>
      </c>
      <c r="CM138" s="3" t="s">
        <v>144</v>
      </c>
      <c r="CN138" s="3" t="s">
        <v>144</v>
      </c>
      <c r="CO138" s="3" t="s">
        <v>144</v>
      </c>
      <c r="CP138" s="3" t="s">
        <v>144</v>
      </c>
      <c r="CQ138" s="3" t="s">
        <v>144</v>
      </c>
      <c r="CR138" s="3" t="s">
        <v>144</v>
      </c>
      <c r="CS138" s="3" t="s">
        <v>144</v>
      </c>
      <c r="CT138" s="3" t="s">
        <v>144</v>
      </c>
      <c r="CU138" s="3" t="s">
        <v>144</v>
      </c>
      <c r="CV138" s="3" t="s">
        <v>144</v>
      </c>
      <c r="CW138" s="3" t="s">
        <v>144</v>
      </c>
      <c r="CX138" s="3" t="s">
        <v>144</v>
      </c>
      <c r="CY138" s="3" t="s">
        <v>144</v>
      </c>
    </row>
    <row r="139" spans="1:103" x14ac:dyDescent="0.25">
      <c r="A139" t="s">
        <v>72</v>
      </c>
      <c r="B139" t="s">
        <v>4</v>
      </c>
      <c r="C139">
        <v>289.64168776747704</v>
      </c>
      <c r="D139">
        <v>161.07797868500913</v>
      </c>
      <c r="E139">
        <v>119.67048443309548</v>
      </c>
      <c r="F139">
        <v>70.458595094432795</v>
      </c>
      <c r="G139">
        <v>100.11606821925919</v>
      </c>
      <c r="H139">
        <v>154.49785891366597</v>
      </c>
      <c r="I139">
        <v>127.39167373454421</v>
      </c>
      <c r="J139">
        <v>150.36296523087859</v>
      </c>
      <c r="K139">
        <v>145.82793353606402</v>
      </c>
      <c r="L139">
        <v>159.39916675912482</v>
      </c>
      <c r="M139">
        <v>157.66356856116218</v>
      </c>
      <c r="N139">
        <v>141.42191165769771</v>
      </c>
      <c r="O139">
        <v>137.55118386816417</v>
      </c>
      <c r="P139">
        <v>125.01602405991709</v>
      </c>
      <c r="Q139">
        <v>123.24872135789828</v>
      </c>
      <c r="R139">
        <v>118.42780235454377</v>
      </c>
      <c r="S139">
        <v>116.19008612008474</v>
      </c>
      <c r="T139">
        <v>117.47625530811897</v>
      </c>
      <c r="U139">
        <v>117.02708324039351</v>
      </c>
      <c r="V139">
        <v>119.15607353066804</v>
      </c>
      <c r="W139">
        <v>118.50021001521861</v>
      </c>
      <c r="X139">
        <v>117.82427843343419</v>
      </c>
      <c r="Y139">
        <v>115.99164668763574</v>
      </c>
      <c r="Z139">
        <v>112.95125505481897</v>
      </c>
      <c r="AA139">
        <v>110.05768366102896</v>
      </c>
      <c r="AB139">
        <v>106.53704983605269</v>
      </c>
      <c r="AC139">
        <v>103.89513205549748</v>
      </c>
      <c r="AD139">
        <v>101.71936301119092</v>
      </c>
      <c r="AE139">
        <v>100.29997670692333</v>
      </c>
      <c r="AF139">
        <v>99.536647408134129</v>
      </c>
      <c r="AG139">
        <v>98.93983608876762</v>
      </c>
      <c r="AH139">
        <v>98.523715158337595</v>
      </c>
      <c r="AI139">
        <v>97.830029858548542</v>
      </c>
      <c r="AJ139">
        <v>96.895766567839345</v>
      </c>
      <c r="AK139">
        <v>95.65978120242238</v>
      </c>
      <c r="AL139">
        <v>94.193962652977902</v>
      </c>
      <c r="AM139">
        <v>92.681815810832504</v>
      </c>
      <c r="AN139">
        <v>91.187018548991063</v>
      </c>
      <c r="AO139">
        <v>89.861845589597479</v>
      </c>
      <c r="AP139">
        <v>88.721961821358462</v>
      </c>
      <c r="AQ139">
        <v>87.781957584620699</v>
      </c>
      <c r="AR139">
        <v>87.007681535677648</v>
      </c>
      <c r="AS139">
        <v>86.326472230044757</v>
      </c>
      <c r="AT139">
        <v>85.688746137946509</v>
      </c>
      <c r="AU139">
        <v>85.028679015406652</v>
      </c>
      <c r="AV139">
        <v>84.322029847802256</v>
      </c>
      <c r="AW139">
        <v>83.55859034145864</v>
      </c>
      <c r="AX139">
        <v>82.752179223216856</v>
      </c>
      <c r="AY139">
        <v>81.934663734865993</v>
      </c>
      <c r="BA139" s="1">
        <v>1</v>
      </c>
      <c r="BB139" t="str">
        <f t="shared" si="2"/>
        <v>Mg - Central Mineira</v>
      </c>
      <c r="BC139" s="3">
        <v>348.38388372622774</v>
      </c>
      <c r="BD139" s="3">
        <v>81.208093512213395</v>
      </c>
      <c r="BE139" s="3">
        <v>-105.76361159578178</v>
      </c>
      <c r="BF139" s="3">
        <v>-51.240956113485794</v>
      </c>
      <c r="BG139" s="3">
        <v>-66.580735824582305</v>
      </c>
      <c r="BH139" s="3">
        <v>18.75393167343293</v>
      </c>
      <c r="BI139" s="3">
        <v>-38.096506546591769</v>
      </c>
      <c r="BJ139" s="3">
        <v>-15.952256361796827</v>
      </c>
      <c r="BK139" s="3">
        <v>9.7018546894452413</v>
      </c>
      <c r="BL139" s="3">
        <v>10.357992980246252</v>
      </c>
      <c r="BM139" s="3">
        <v>24.660832831779516</v>
      </c>
      <c r="BN139" s="3">
        <v>0.89977985779520964</v>
      </c>
      <c r="BO139" s="3">
        <v>5.2058167134508153</v>
      </c>
      <c r="BP139" s="3">
        <v>-1.2409834316669333</v>
      </c>
      <c r="BQ139" s="3">
        <v>-5.2546727117322831</v>
      </c>
      <c r="BR139" s="3">
        <v>-6.6614373732970478</v>
      </c>
      <c r="BS139" s="3">
        <v>-14.372311363459971</v>
      </c>
      <c r="BT139" s="3">
        <v>-12.594028102039516</v>
      </c>
      <c r="BU139" s="3">
        <v>-14.541031635381373</v>
      </c>
      <c r="BV139" s="3">
        <v>-12.393374292253839</v>
      </c>
      <c r="BW139" s="3">
        <v>-10.5872875329392</v>
      </c>
      <c r="BX139" s="3">
        <v>-9.9043543361792103</v>
      </c>
      <c r="BY139" s="3">
        <v>-8.4863034485306059</v>
      </c>
      <c r="BZ139" s="3">
        <v>-10.118198853133791</v>
      </c>
      <c r="CA139" s="3">
        <v>-11.763025991222662</v>
      </c>
      <c r="CB139" s="3">
        <v>-14.79008909183527</v>
      </c>
      <c r="CC139" s="3">
        <v>-17.629079363069252</v>
      </c>
      <c r="CD139" s="3">
        <v>-19.694394954236571</v>
      </c>
      <c r="CE139" s="3">
        <v>-21.350516799916591</v>
      </c>
      <c r="CF139" s="3">
        <v>-21.886473138535578</v>
      </c>
      <c r="CG139" s="3">
        <v>-22.202581121233891</v>
      </c>
      <c r="CH139" s="3">
        <v>-22.153243688127745</v>
      </c>
      <c r="CI139" s="3">
        <v>-22.192910975023707</v>
      </c>
      <c r="CJ139" s="3">
        <v>-22.502427989664298</v>
      </c>
      <c r="CK139" s="3">
        <v>-22.999384248323608</v>
      </c>
      <c r="CL139" s="3">
        <v>-23.827002048056187</v>
      </c>
      <c r="CM139" s="3">
        <v>-24.755583001583787</v>
      </c>
      <c r="CN139" s="3">
        <v>-25.793061820769921</v>
      </c>
      <c r="CO139" s="3">
        <v>-26.806351639017265</v>
      </c>
      <c r="CP139" s="3">
        <v>-27.714720214061757</v>
      </c>
      <c r="CQ139" s="3">
        <v>-28.497911415993627</v>
      </c>
      <c r="CR139" s="3">
        <v>-29.097377242899327</v>
      </c>
      <c r="CS139" s="3">
        <v>-29.564349020564961</v>
      </c>
      <c r="CT139" s="3">
        <v>-29.921161978843443</v>
      </c>
      <c r="CU139" s="3">
        <v>-30.237546701116642</v>
      </c>
      <c r="CV139" s="3">
        <v>-30.572721787249407</v>
      </c>
      <c r="CW139" s="3">
        <v>-30.959787967387925</v>
      </c>
      <c r="CX139" s="3">
        <v>-31.421588232621318</v>
      </c>
      <c r="CY139" s="3">
        <v>-31.937530508709642</v>
      </c>
    </row>
    <row r="140" spans="1:103" x14ac:dyDescent="0.25">
      <c r="A140" t="s">
        <v>72</v>
      </c>
      <c r="B140" t="s">
        <v>5</v>
      </c>
      <c r="C140">
        <v>-58.742195958750678</v>
      </c>
      <c r="D140">
        <v>79.869885172795733</v>
      </c>
      <c r="E140">
        <v>225.43409602887726</v>
      </c>
      <c r="F140">
        <v>121.69955120791859</v>
      </c>
      <c r="G140">
        <v>166.6968040438415</v>
      </c>
      <c r="H140">
        <v>135.74392724023303</v>
      </c>
      <c r="I140">
        <v>165.48818028113598</v>
      </c>
      <c r="J140">
        <v>166.31522159267541</v>
      </c>
      <c r="K140">
        <v>136.12607884661878</v>
      </c>
      <c r="L140">
        <v>149.04117377887857</v>
      </c>
      <c r="M140">
        <v>133.00273572938266</v>
      </c>
      <c r="N140">
        <v>140.5221317999025</v>
      </c>
      <c r="O140">
        <v>132.34536715471336</v>
      </c>
      <c r="P140">
        <v>126.25700749158402</v>
      </c>
      <c r="Q140">
        <v>128.50339406963056</v>
      </c>
      <c r="R140">
        <v>125.08923972784082</v>
      </c>
      <c r="S140">
        <v>130.56239748354471</v>
      </c>
      <c r="T140">
        <v>130.07028341015848</v>
      </c>
      <c r="U140">
        <v>131.56811487577488</v>
      </c>
      <c r="V140">
        <v>131.54944782292188</v>
      </c>
      <c r="W140">
        <v>129.08749754815781</v>
      </c>
      <c r="X140">
        <v>127.7286327696134</v>
      </c>
      <c r="Y140">
        <v>124.47795013616634</v>
      </c>
      <c r="Z140">
        <v>123.06945390795276</v>
      </c>
      <c r="AA140">
        <v>121.82070965225162</v>
      </c>
      <c r="AB140">
        <v>121.32713892788796</v>
      </c>
      <c r="AC140">
        <v>121.52421141856674</v>
      </c>
      <c r="AD140">
        <v>121.41375796542749</v>
      </c>
      <c r="AE140">
        <v>121.65049350683992</v>
      </c>
      <c r="AF140">
        <v>121.42312054666971</v>
      </c>
      <c r="AG140">
        <v>121.14241721000151</v>
      </c>
      <c r="AH140">
        <v>120.67695884646534</v>
      </c>
      <c r="AI140">
        <v>120.02294083357225</v>
      </c>
      <c r="AJ140">
        <v>119.39819455750364</v>
      </c>
      <c r="AK140">
        <v>118.65916545074599</v>
      </c>
      <c r="AL140">
        <v>118.02096470103409</v>
      </c>
      <c r="AM140">
        <v>117.43739881241629</v>
      </c>
      <c r="AN140">
        <v>116.98008036976098</v>
      </c>
      <c r="AO140">
        <v>116.66819722861474</v>
      </c>
      <c r="AP140">
        <v>116.43668203542022</v>
      </c>
      <c r="AQ140">
        <v>116.27986900061433</v>
      </c>
      <c r="AR140">
        <v>116.10505877857697</v>
      </c>
      <c r="AS140">
        <v>115.89082125060972</v>
      </c>
      <c r="AT140">
        <v>115.60990811678995</v>
      </c>
      <c r="AU140">
        <v>115.26622571652329</v>
      </c>
      <c r="AV140">
        <v>114.89475163505166</v>
      </c>
      <c r="AW140">
        <v>114.51837830884656</v>
      </c>
      <c r="AX140">
        <v>114.17376745583817</v>
      </c>
      <c r="AY140">
        <v>113.87219424357563</v>
      </c>
      <c r="BA140" s="1">
        <v>-1</v>
      </c>
      <c r="BB140" t="str">
        <f t="shared" si="2"/>
        <v>Mg - Central Mineira</v>
      </c>
      <c r="BC140" s="3" t="s">
        <v>144</v>
      </c>
      <c r="BD140" s="3" t="s">
        <v>144</v>
      </c>
      <c r="BE140" s="3" t="s">
        <v>144</v>
      </c>
      <c r="BF140" s="3" t="s">
        <v>144</v>
      </c>
      <c r="BG140" s="3" t="s">
        <v>144</v>
      </c>
      <c r="BH140" s="3" t="s">
        <v>144</v>
      </c>
      <c r="BI140" s="3" t="s">
        <v>144</v>
      </c>
      <c r="BJ140" s="3" t="s">
        <v>144</v>
      </c>
      <c r="BK140" s="3" t="s">
        <v>144</v>
      </c>
      <c r="BL140" s="3" t="s">
        <v>144</v>
      </c>
      <c r="BM140" s="3" t="s">
        <v>144</v>
      </c>
      <c r="BN140" s="3" t="s">
        <v>144</v>
      </c>
      <c r="BO140" s="3" t="s">
        <v>144</v>
      </c>
      <c r="BP140" s="3" t="s">
        <v>144</v>
      </c>
      <c r="BQ140" s="3" t="s">
        <v>144</v>
      </c>
      <c r="BR140" s="3" t="s">
        <v>144</v>
      </c>
      <c r="BS140" s="3" t="s">
        <v>144</v>
      </c>
      <c r="BT140" s="3" t="s">
        <v>144</v>
      </c>
      <c r="BU140" s="3" t="s">
        <v>144</v>
      </c>
      <c r="BV140" s="3" t="s">
        <v>144</v>
      </c>
      <c r="BW140" s="3" t="s">
        <v>144</v>
      </c>
      <c r="BX140" s="3" t="s">
        <v>144</v>
      </c>
      <c r="BY140" s="3" t="s">
        <v>144</v>
      </c>
      <c r="BZ140" s="3" t="s">
        <v>144</v>
      </c>
      <c r="CA140" s="3" t="s">
        <v>144</v>
      </c>
      <c r="CB140" s="3" t="s">
        <v>144</v>
      </c>
      <c r="CC140" s="3" t="s">
        <v>144</v>
      </c>
      <c r="CD140" s="3" t="s">
        <v>144</v>
      </c>
      <c r="CE140" s="3" t="s">
        <v>144</v>
      </c>
      <c r="CF140" s="3" t="s">
        <v>144</v>
      </c>
      <c r="CG140" s="3" t="s">
        <v>144</v>
      </c>
      <c r="CH140" s="3" t="s">
        <v>144</v>
      </c>
      <c r="CI140" s="3" t="s">
        <v>144</v>
      </c>
      <c r="CJ140" s="3" t="s">
        <v>144</v>
      </c>
      <c r="CK140" s="3" t="s">
        <v>144</v>
      </c>
      <c r="CL140" s="3" t="s">
        <v>144</v>
      </c>
      <c r="CM140" s="3" t="s">
        <v>144</v>
      </c>
      <c r="CN140" s="3" t="s">
        <v>144</v>
      </c>
      <c r="CO140" s="3" t="s">
        <v>144</v>
      </c>
      <c r="CP140" s="3" t="s">
        <v>144</v>
      </c>
      <c r="CQ140" s="3" t="s">
        <v>144</v>
      </c>
      <c r="CR140" s="3" t="s">
        <v>144</v>
      </c>
      <c r="CS140" s="3" t="s">
        <v>144</v>
      </c>
      <c r="CT140" s="3" t="s">
        <v>144</v>
      </c>
      <c r="CU140" s="3" t="s">
        <v>144</v>
      </c>
      <c r="CV140" s="3" t="s">
        <v>144</v>
      </c>
      <c r="CW140" s="3" t="s">
        <v>144</v>
      </c>
      <c r="CX140" s="3" t="s">
        <v>144</v>
      </c>
      <c r="CY140" s="3" t="s">
        <v>144</v>
      </c>
    </row>
    <row r="141" spans="1:103" x14ac:dyDescent="0.25">
      <c r="A141" t="s">
        <v>73</v>
      </c>
      <c r="B141" t="s">
        <v>4</v>
      </c>
      <c r="C141">
        <v>6010.6785778146959</v>
      </c>
      <c r="D141">
        <v>4936.6488790687517</v>
      </c>
      <c r="E141">
        <v>5000.6274885384591</v>
      </c>
      <c r="F141">
        <v>4415.222491097079</v>
      </c>
      <c r="G141">
        <v>4766.0525220186282</v>
      </c>
      <c r="H141">
        <v>6022.0692770242867</v>
      </c>
      <c r="I141">
        <v>5858.9116129782769</v>
      </c>
      <c r="J141">
        <v>6530.3640886493522</v>
      </c>
      <c r="K141">
        <v>6516.411952874415</v>
      </c>
      <c r="L141">
        <v>6747.409049064051</v>
      </c>
      <c r="M141">
        <v>6739.0951030602064</v>
      </c>
      <c r="N141">
        <v>6372.3592688377703</v>
      </c>
      <c r="O141">
        <v>6206.1833084258888</v>
      </c>
      <c r="P141">
        <v>5875.4673361093764</v>
      </c>
      <c r="Q141">
        <v>5801.5811690870232</v>
      </c>
      <c r="R141">
        <v>5749.0241973671027</v>
      </c>
      <c r="S141">
        <v>5777.4388723831225</v>
      </c>
      <c r="T141">
        <v>5894.0270267507358</v>
      </c>
      <c r="U141">
        <v>5962.7617134588727</v>
      </c>
      <c r="V141">
        <v>6056.1027729535563</v>
      </c>
      <c r="W141">
        <v>6067.0790098372081</v>
      </c>
      <c r="X141">
        <v>6047.7828441447864</v>
      </c>
      <c r="Y141">
        <v>5992.9122019454626</v>
      </c>
      <c r="Z141">
        <v>5909.7087240994078</v>
      </c>
      <c r="AA141">
        <v>5836.1344882155527</v>
      </c>
      <c r="AB141">
        <v>5760.6530785456507</v>
      </c>
      <c r="AC141">
        <v>5712.1972333527747</v>
      </c>
      <c r="AD141">
        <v>5682.2834911373693</v>
      </c>
      <c r="AE141">
        <v>5672.4680813479308</v>
      </c>
      <c r="AF141">
        <v>5678.5009260507732</v>
      </c>
      <c r="AG141">
        <v>5686.9706597198738</v>
      </c>
      <c r="AH141">
        <v>5695.4640374540995</v>
      </c>
      <c r="AI141">
        <v>5693.4068834295585</v>
      </c>
      <c r="AJ141">
        <v>5680.7187808369608</v>
      </c>
      <c r="AK141">
        <v>5657.3798140798499</v>
      </c>
      <c r="AL141">
        <v>5626.5327252328771</v>
      </c>
      <c r="AM141">
        <v>5594.3439891073449</v>
      </c>
      <c r="AN141">
        <v>5564.2421623130685</v>
      </c>
      <c r="AO141">
        <v>5540.4935738556524</v>
      </c>
      <c r="AP141">
        <v>5523.6681961138202</v>
      </c>
      <c r="AQ141">
        <v>5513.1745966668614</v>
      </c>
      <c r="AR141">
        <v>5507.0171547097343</v>
      </c>
      <c r="AS141">
        <v>5502.3130663805714</v>
      </c>
      <c r="AT141">
        <v>5497.0276156424852</v>
      </c>
      <c r="AU141">
        <v>5489.3956807643544</v>
      </c>
      <c r="AV141">
        <v>5479.016080145997</v>
      </c>
      <c r="AW141">
        <v>5466.2052217783403</v>
      </c>
      <c r="AX141">
        <v>5451.8996357839014</v>
      </c>
      <c r="AY141">
        <v>5437.3706205320041</v>
      </c>
      <c r="BA141" s="1">
        <v>1</v>
      </c>
      <c r="BB141" t="str">
        <f t="shared" si="2"/>
        <v>Mg - Metropol de BH</v>
      </c>
      <c r="BC141" s="3">
        <v>4701.8868899654772</v>
      </c>
      <c r="BD141" s="3">
        <v>2928.0556957976787</v>
      </c>
      <c r="BE141" s="3">
        <v>913.04256316799137</v>
      </c>
      <c r="BF141" s="3">
        <v>2216.0581742562763</v>
      </c>
      <c r="BG141" s="3">
        <v>1418.1959444791191</v>
      </c>
      <c r="BH141" s="3">
        <v>2488.7408588497192</v>
      </c>
      <c r="BI141" s="3">
        <v>1857.9602394236717</v>
      </c>
      <c r="BJ141" s="3">
        <v>2007.5776888693963</v>
      </c>
      <c r="BK141" s="3">
        <v>2237.9866551192736</v>
      </c>
      <c r="BL141" s="3">
        <v>1917.5219072338241</v>
      </c>
      <c r="BM141" s="3">
        <v>2001.8580902016483</v>
      </c>
      <c r="BN141" s="3">
        <v>1514.6459122553024</v>
      </c>
      <c r="BO141" s="3">
        <v>1396.9459026470795</v>
      </c>
      <c r="BP141" s="3">
        <v>1192.5244212840244</v>
      </c>
      <c r="BQ141" s="3">
        <v>1034.260923493508</v>
      </c>
      <c r="BR141" s="3">
        <v>1015.1272163714075</v>
      </c>
      <c r="BS141" s="3">
        <v>898.1775506960148</v>
      </c>
      <c r="BT141" s="3">
        <v>914.44220419796693</v>
      </c>
      <c r="BU141" s="3">
        <v>852.79899254453903</v>
      </c>
      <c r="BV141" s="3">
        <v>810.01723980132101</v>
      </c>
      <c r="BW141" s="3">
        <v>751.73446354027146</v>
      </c>
      <c r="BX141" s="3">
        <v>656.55631344375342</v>
      </c>
      <c r="BY141" s="3">
        <v>581.62735904840156</v>
      </c>
      <c r="BZ141" s="3">
        <v>475.19958365527418</v>
      </c>
      <c r="CA141" s="3">
        <v>386.06949980106037</v>
      </c>
      <c r="CB141" s="3">
        <v>295.15691592975327</v>
      </c>
      <c r="CC141" s="3">
        <v>214.08061495088259</v>
      </c>
      <c r="CD141" s="3">
        <v>150.80662752531043</v>
      </c>
      <c r="CE141" s="3">
        <v>92.416497011796309</v>
      </c>
      <c r="CF141" s="3">
        <v>48.578727499928391</v>
      </c>
      <c r="CG141" s="3">
        <v>4.9603686875143467</v>
      </c>
      <c r="CH141" s="3">
        <v>-37.200072775723129</v>
      </c>
      <c r="CI141" s="3">
        <v>-82.52994734143158</v>
      </c>
      <c r="CJ141" s="3">
        <v>-133.51091546097996</v>
      </c>
      <c r="CK141" s="3">
        <v>-186.46886173116854</v>
      </c>
      <c r="CL141" s="3">
        <v>-242.12134826728106</v>
      </c>
      <c r="CM141" s="3">
        <v>-295.63765296127622</v>
      </c>
      <c r="CN141" s="3">
        <v>-346.18100976369715</v>
      </c>
      <c r="CO141" s="3">
        <v>-392.26658520155797</v>
      </c>
      <c r="CP141" s="3">
        <v>-433.45353311842882</v>
      </c>
      <c r="CQ141" s="3">
        <v>-471.08239801650234</v>
      </c>
      <c r="CR141" s="3">
        <v>-505.62824247829121</v>
      </c>
      <c r="CS141" s="3">
        <v>-538.80882125860444</v>
      </c>
      <c r="CT141" s="3">
        <v>-571.31512384776215</v>
      </c>
      <c r="CU141" s="3">
        <v>-603.81418332307567</v>
      </c>
      <c r="CV141" s="3">
        <v>-636.56437824123623</v>
      </c>
      <c r="CW141" s="3">
        <v>-669.2497590622761</v>
      </c>
      <c r="CX141" s="3">
        <v>-701.61918920154676</v>
      </c>
      <c r="CY141" s="3">
        <v>-733.05701393972959</v>
      </c>
    </row>
    <row r="142" spans="1:103" x14ac:dyDescent="0.25">
      <c r="A142" t="s">
        <v>73</v>
      </c>
      <c r="B142" t="s">
        <v>5</v>
      </c>
      <c r="C142">
        <v>1308.7916878492192</v>
      </c>
      <c r="D142">
        <v>2008.5931832710733</v>
      </c>
      <c r="E142">
        <v>4087.5849253704678</v>
      </c>
      <c r="F142">
        <v>2199.1643168408027</v>
      </c>
      <c r="G142">
        <v>3347.8565775395091</v>
      </c>
      <c r="H142">
        <v>3533.3284181745676</v>
      </c>
      <c r="I142">
        <v>4000.9513735546052</v>
      </c>
      <c r="J142">
        <v>4522.7863997799559</v>
      </c>
      <c r="K142">
        <v>4278.4252977551414</v>
      </c>
      <c r="L142">
        <v>4829.8871418302269</v>
      </c>
      <c r="M142">
        <v>4737.237012858558</v>
      </c>
      <c r="N142">
        <v>4857.7133565824679</v>
      </c>
      <c r="O142">
        <v>4809.2374057788093</v>
      </c>
      <c r="P142">
        <v>4682.9429148253521</v>
      </c>
      <c r="Q142">
        <v>4767.3202455935152</v>
      </c>
      <c r="R142">
        <v>4733.8969809956952</v>
      </c>
      <c r="S142">
        <v>4879.2613216871077</v>
      </c>
      <c r="T142">
        <v>4979.5848225527689</v>
      </c>
      <c r="U142">
        <v>5109.9627209143337</v>
      </c>
      <c r="V142">
        <v>5246.0855331522353</v>
      </c>
      <c r="W142">
        <v>5315.3445462969366</v>
      </c>
      <c r="X142">
        <v>5391.226530701033</v>
      </c>
      <c r="Y142">
        <v>5411.284842897061</v>
      </c>
      <c r="Z142">
        <v>5434.5091404441337</v>
      </c>
      <c r="AA142">
        <v>5450.0649884144923</v>
      </c>
      <c r="AB142">
        <v>5465.4961626158974</v>
      </c>
      <c r="AC142">
        <v>5498.1166184018921</v>
      </c>
      <c r="AD142">
        <v>5531.4768636120589</v>
      </c>
      <c r="AE142">
        <v>5580.0515843361345</v>
      </c>
      <c r="AF142">
        <v>5629.9221985508448</v>
      </c>
      <c r="AG142">
        <v>5682.0102910323594</v>
      </c>
      <c r="AH142">
        <v>5732.6641102298227</v>
      </c>
      <c r="AI142">
        <v>5775.9368307709901</v>
      </c>
      <c r="AJ142">
        <v>5814.2296962979408</v>
      </c>
      <c r="AK142">
        <v>5843.8486758110184</v>
      </c>
      <c r="AL142">
        <v>5868.6540735001581</v>
      </c>
      <c r="AM142">
        <v>5889.9816420686211</v>
      </c>
      <c r="AN142">
        <v>5910.4231720767657</v>
      </c>
      <c r="AO142">
        <v>5932.7601590572103</v>
      </c>
      <c r="AP142">
        <v>5957.121729232249</v>
      </c>
      <c r="AQ142">
        <v>5984.2569946833637</v>
      </c>
      <c r="AR142">
        <v>6012.6453971880255</v>
      </c>
      <c r="AS142">
        <v>6041.1218876391758</v>
      </c>
      <c r="AT142">
        <v>6068.3427394902474</v>
      </c>
      <c r="AU142">
        <v>6093.2098640874301</v>
      </c>
      <c r="AV142">
        <v>6115.5804583872332</v>
      </c>
      <c r="AW142">
        <v>6135.4549808406164</v>
      </c>
      <c r="AX142">
        <v>6153.5188249854482</v>
      </c>
      <c r="AY142">
        <v>6170.4276344717337</v>
      </c>
      <c r="BA142" s="1">
        <v>-1</v>
      </c>
      <c r="BB142" t="str">
        <f t="shared" si="2"/>
        <v>Mg - Metropol de BH</v>
      </c>
      <c r="BC142" s="3" t="s">
        <v>144</v>
      </c>
      <c r="BD142" s="3" t="s">
        <v>144</v>
      </c>
      <c r="BE142" s="3" t="s">
        <v>144</v>
      </c>
      <c r="BF142" s="3" t="s">
        <v>144</v>
      </c>
      <c r="BG142" s="3" t="s">
        <v>144</v>
      </c>
      <c r="BH142" s="3" t="s">
        <v>144</v>
      </c>
      <c r="BI142" s="3" t="s">
        <v>144</v>
      </c>
      <c r="BJ142" s="3" t="s">
        <v>144</v>
      </c>
      <c r="BK142" s="3" t="s">
        <v>144</v>
      </c>
      <c r="BL142" s="3" t="s">
        <v>144</v>
      </c>
      <c r="BM142" s="3" t="s">
        <v>144</v>
      </c>
      <c r="BN142" s="3" t="s">
        <v>144</v>
      </c>
      <c r="BO142" s="3" t="s">
        <v>144</v>
      </c>
      <c r="BP142" s="3" t="s">
        <v>144</v>
      </c>
      <c r="BQ142" s="3" t="s">
        <v>144</v>
      </c>
      <c r="BR142" s="3" t="s">
        <v>144</v>
      </c>
      <c r="BS142" s="3" t="s">
        <v>144</v>
      </c>
      <c r="BT142" s="3" t="s">
        <v>144</v>
      </c>
      <c r="BU142" s="3" t="s">
        <v>144</v>
      </c>
      <c r="BV142" s="3" t="s">
        <v>144</v>
      </c>
      <c r="BW142" s="3" t="s">
        <v>144</v>
      </c>
      <c r="BX142" s="3" t="s">
        <v>144</v>
      </c>
      <c r="BY142" s="3" t="s">
        <v>144</v>
      </c>
      <c r="BZ142" s="3" t="s">
        <v>144</v>
      </c>
      <c r="CA142" s="3" t="s">
        <v>144</v>
      </c>
      <c r="CB142" s="3" t="s">
        <v>144</v>
      </c>
      <c r="CC142" s="3" t="s">
        <v>144</v>
      </c>
      <c r="CD142" s="3" t="s">
        <v>144</v>
      </c>
      <c r="CE142" s="3" t="s">
        <v>144</v>
      </c>
      <c r="CF142" s="3" t="s">
        <v>144</v>
      </c>
      <c r="CG142" s="3" t="s">
        <v>144</v>
      </c>
      <c r="CH142" s="3" t="s">
        <v>144</v>
      </c>
      <c r="CI142" s="3" t="s">
        <v>144</v>
      </c>
      <c r="CJ142" s="3" t="s">
        <v>144</v>
      </c>
      <c r="CK142" s="3" t="s">
        <v>144</v>
      </c>
      <c r="CL142" s="3" t="s">
        <v>144</v>
      </c>
      <c r="CM142" s="3" t="s">
        <v>144</v>
      </c>
      <c r="CN142" s="3" t="s">
        <v>144</v>
      </c>
      <c r="CO142" s="3" t="s">
        <v>144</v>
      </c>
      <c r="CP142" s="3" t="s">
        <v>144</v>
      </c>
      <c r="CQ142" s="3" t="s">
        <v>144</v>
      </c>
      <c r="CR142" s="3" t="s">
        <v>144</v>
      </c>
      <c r="CS142" s="3" t="s">
        <v>144</v>
      </c>
      <c r="CT142" s="3" t="s">
        <v>144</v>
      </c>
      <c r="CU142" s="3" t="s">
        <v>144</v>
      </c>
      <c r="CV142" s="3" t="s">
        <v>144</v>
      </c>
      <c r="CW142" s="3" t="s">
        <v>144</v>
      </c>
      <c r="CX142" s="3" t="s">
        <v>144</v>
      </c>
      <c r="CY142" s="3" t="s">
        <v>144</v>
      </c>
    </row>
    <row r="143" spans="1:103" x14ac:dyDescent="0.25">
      <c r="A143" t="s">
        <v>74</v>
      </c>
      <c r="B143" t="s">
        <v>4</v>
      </c>
      <c r="C143">
        <v>662.45941571411765</v>
      </c>
      <c r="D143">
        <v>559.50096790950249</v>
      </c>
      <c r="E143">
        <v>524.58463473721713</v>
      </c>
      <c r="F143">
        <v>373.48367702743735</v>
      </c>
      <c r="G143">
        <v>433.55751697867527</v>
      </c>
      <c r="H143">
        <v>535.534576708499</v>
      </c>
      <c r="I143">
        <v>513.43481909866</v>
      </c>
      <c r="J143">
        <v>561.39532135802131</v>
      </c>
      <c r="K143">
        <v>539.47184274783331</v>
      </c>
      <c r="L143">
        <v>561.94950711714466</v>
      </c>
      <c r="M143">
        <v>541.51857583545279</v>
      </c>
      <c r="N143">
        <v>496.58856961172444</v>
      </c>
      <c r="O143">
        <v>466.10985638230767</v>
      </c>
      <c r="P143">
        <v>424.62155919397213</v>
      </c>
      <c r="Q143">
        <v>413.44225274132293</v>
      </c>
      <c r="R143">
        <v>401.88010786642445</v>
      </c>
      <c r="S143">
        <v>402.36257540300278</v>
      </c>
      <c r="T143">
        <v>408.19207527119426</v>
      </c>
      <c r="U143">
        <v>410.08856253480258</v>
      </c>
      <c r="V143">
        <v>413.18975930329299</v>
      </c>
      <c r="W143">
        <v>407.12966541606278</v>
      </c>
      <c r="X143">
        <v>398.973710139248</v>
      </c>
      <c r="Y143">
        <v>386.91671044607534</v>
      </c>
      <c r="Z143">
        <v>373.41382964695339</v>
      </c>
      <c r="AA143">
        <v>361.13896803559629</v>
      </c>
      <c r="AB143">
        <v>349.2370117250851</v>
      </c>
      <c r="AC143">
        <v>340.45102304646537</v>
      </c>
      <c r="AD143">
        <v>333.50834920499494</v>
      </c>
      <c r="AE143">
        <v>328.87199019644117</v>
      </c>
      <c r="AF143">
        <v>325.70281019837739</v>
      </c>
      <c r="AG143">
        <v>322.86637237858895</v>
      </c>
      <c r="AH143">
        <v>320.00769115782151</v>
      </c>
      <c r="AI143">
        <v>316.07770427014356</v>
      </c>
      <c r="AJ143">
        <v>311.17415036532651</v>
      </c>
      <c r="AK143">
        <v>305.26089175992314</v>
      </c>
      <c r="AL143">
        <v>298.7953309863052</v>
      </c>
      <c r="AM143">
        <v>292.38600463391532</v>
      </c>
      <c r="AN143">
        <v>286.41261605003012</v>
      </c>
      <c r="AO143">
        <v>281.28123260127614</v>
      </c>
      <c r="AP143">
        <v>276.98591557345088</v>
      </c>
      <c r="AQ143">
        <v>273.43392291899011</v>
      </c>
      <c r="AR143">
        <v>270.36237346167985</v>
      </c>
      <c r="AS143">
        <v>267.47084740349305</v>
      </c>
      <c r="AT143">
        <v>264.54877729316058</v>
      </c>
      <c r="AU143">
        <v>261.43426784924674</v>
      </c>
      <c r="AV143">
        <v>258.11322740178241</v>
      </c>
      <c r="AW143">
        <v>254.63303327309234</v>
      </c>
      <c r="AX143">
        <v>251.10438629342534</v>
      </c>
      <c r="AY143">
        <v>247.65495319193286</v>
      </c>
      <c r="BA143" s="1">
        <v>1</v>
      </c>
      <c r="BB143" t="str">
        <f t="shared" si="2"/>
        <v>Mg - Vale do Rio Doce</v>
      </c>
      <c r="BC143" s="3">
        <v>358.03724718926651</v>
      </c>
      <c r="BD143" s="3">
        <v>274.16085622453664</v>
      </c>
      <c r="BE143" s="3">
        <v>-19.98322511239644</v>
      </c>
      <c r="BF143" s="3">
        <v>184.13842347017527</v>
      </c>
      <c r="BG143" s="3">
        <v>98.184225626746013</v>
      </c>
      <c r="BH143" s="3">
        <v>193.98805561023966</v>
      </c>
      <c r="BI143" s="3">
        <v>163.27408833365598</v>
      </c>
      <c r="BJ143" s="3">
        <v>162.5780432715278</v>
      </c>
      <c r="BK143" s="3">
        <v>217.09809881796696</v>
      </c>
      <c r="BL143" s="3">
        <v>175.71535526095937</v>
      </c>
      <c r="BM143" s="3">
        <v>188.41778469370473</v>
      </c>
      <c r="BN143" s="3">
        <v>141.86992816933332</v>
      </c>
      <c r="BO143" s="3">
        <v>121.96707411629865</v>
      </c>
      <c r="BP143" s="3">
        <v>104.13254308957926</v>
      </c>
      <c r="BQ143" s="3">
        <v>78.98621905209626</v>
      </c>
      <c r="BR143" s="3">
        <v>76.417114929233833</v>
      </c>
      <c r="BS143" s="3">
        <v>61.783676573359912</v>
      </c>
      <c r="BT143" s="3">
        <v>62.070724219702129</v>
      </c>
      <c r="BU143" s="3">
        <v>57.694984800216218</v>
      </c>
      <c r="BV143" s="3">
        <v>53.016640590059581</v>
      </c>
      <c r="BW143" s="3">
        <v>49.522144983777935</v>
      </c>
      <c r="BX143" s="3">
        <v>40.16612767384737</v>
      </c>
      <c r="BY143" s="3">
        <v>32.938060293592002</v>
      </c>
      <c r="BZ143" s="3">
        <v>21.734037324257145</v>
      </c>
      <c r="CA143" s="3">
        <v>11.17055296176278</v>
      </c>
      <c r="CB143" s="3">
        <v>0.76973064642544387</v>
      </c>
      <c r="CC143" s="3">
        <v>-9.23116030480071</v>
      </c>
      <c r="CD143" s="3">
        <v>-16.785693681305474</v>
      </c>
      <c r="CE143" s="3">
        <v>-23.640152045563752</v>
      </c>
      <c r="CF143" s="3">
        <v>-28.622214179021739</v>
      </c>
      <c r="CG143" s="3">
        <v>-33.146155657971235</v>
      </c>
      <c r="CH143" s="3">
        <v>-37.4900871973677</v>
      </c>
      <c r="CI143" s="3">
        <v>-41.984710508231501</v>
      </c>
      <c r="CJ143" s="3">
        <v>-47.22811932673136</v>
      </c>
      <c r="CK143" s="3">
        <v>-52.790073744832739</v>
      </c>
      <c r="CL143" s="3">
        <v>-58.798897693448225</v>
      </c>
      <c r="CM143" s="3">
        <v>-64.762601529525227</v>
      </c>
      <c r="CN143" s="3">
        <v>-70.472673113361338</v>
      </c>
      <c r="CO143" s="3">
        <v>-75.769884006151301</v>
      </c>
      <c r="CP143" s="3">
        <v>-80.492399607137656</v>
      </c>
      <c r="CQ143" s="3">
        <v>-84.76273491423774</v>
      </c>
      <c r="CR143" s="3">
        <v>-88.607649344972003</v>
      </c>
      <c r="CS143" s="3">
        <v>-92.209387296644934</v>
      </c>
      <c r="CT143" s="3">
        <v>-95.686006919034412</v>
      </c>
      <c r="CU143" s="3">
        <v>-99.131313728564805</v>
      </c>
      <c r="CV143" s="3">
        <v>-102.61977261568705</v>
      </c>
      <c r="CW143" s="3">
        <v>-106.13634813277065</v>
      </c>
      <c r="CX143" s="3">
        <v>-109.66460780474753</v>
      </c>
      <c r="CY143" s="3">
        <v>-113.13598485338201</v>
      </c>
    </row>
    <row r="144" spans="1:103" x14ac:dyDescent="0.25">
      <c r="A144" t="s">
        <v>74</v>
      </c>
      <c r="B144" t="s">
        <v>5</v>
      </c>
      <c r="C144">
        <v>304.42216852485114</v>
      </c>
      <c r="D144">
        <v>285.34011168496585</v>
      </c>
      <c r="E144">
        <v>544.56785984961357</v>
      </c>
      <c r="F144">
        <v>189.34525355726208</v>
      </c>
      <c r="G144">
        <v>335.37329135192925</v>
      </c>
      <c r="H144">
        <v>341.54652109825935</v>
      </c>
      <c r="I144">
        <v>350.16073076500402</v>
      </c>
      <c r="J144">
        <v>398.8172780864935</v>
      </c>
      <c r="K144">
        <v>322.37374392986635</v>
      </c>
      <c r="L144">
        <v>386.23415185618529</v>
      </c>
      <c r="M144">
        <v>353.10079114174806</v>
      </c>
      <c r="N144">
        <v>354.71864144239112</v>
      </c>
      <c r="O144">
        <v>344.14278226600902</v>
      </c>
      <c r="P144">
        <v>320.48901610439287</v>
      </c>
      <c r="Q144">
        <v>334.45603368922667</v>
      </c>
      <c r="R144">
        <v>325.46299293719062</v>
      </c>
      <c r="S144">
        <v>340.57889882964287</v>
      </c>
      <c r="T144">
        <v>346.12135105149213</v>
      </c>
      <c r="U144">
        <v>352.39357773458636</v>
      </c>
      <c r="V144">
        <v>360.17311871323341</v>
      </c>
      <c r="W144">
        <v>357.60752043228484</v>
      </c>
      <c r="X144">
        <v>358.80758246540063</v>
      </c>
      <c r="Y144">
        <v>353.97865015248334</v>
      </c>
      <c r="Z144">
        <v>351.67979232269624</v>
      </c>
      <c r="AA144">
        <v>349.96841507383351</v>
      </c>
      <c r="AB144">
        <v>348.46728107865965</v>
      </c>
      <c r="AC144">
        <v>349.68218335126608</v>
      </c>
      <c r="AD144">
        <v>350.29404288630042</v>
      </c>
      <c r="AE144">
        <v>352.51214224200493</v>
      </c>
      <c r="AF144">
        <v>354.32502437739913</v>
      </c>
      <c r="AG144">
        <v>356.01252803656018</v>
      </c>
      <c r="AH144">
        <v>357.49777835518921</v>
      </c>
      <c r="AI144">
        <v>358.06241477837506</v>
      </c>
      <c r="AJ144">
        <v>358.40226969205787</v>
      </c>
      <c r="AK144">
        <v>358.05096550475588</v>
      </c>
      <c r="AL144">
        <v>357.59422867975343</v>
      </c>
      <c r="AM144">
        <v>357.14860616344055</v>
      </c>
      <c r="AN144">
        <v>356.88528916339146</v>
      </c>
      <c r="AO144">
        <v>357.05111660742745</v>
      </c>
      <c r="AP144">
        <v>357.47831518058854</v>
      </c>
      <c r="AQ144">
        <v>358.19665783322785</v>
      </c>
      <c r="AR144">
        <v>358.97002280665185</v>
      </c>
      <c r="AS144">
        <v>359.68023470013799</v>
      </c>
      <c r="AT144">
        <v>360.234784212195</v>
      </c>
      <c r="AU144">
        <v>360.56558157781154</v>
      </c>
      <c r="AV144">
        <v>360.73300001746946</v>
      </c>
      <c r="AW144">
        <v>360.76938140586299</v>
      </c>
      <c r="AX144">
        <v>360.76899409817287</v>
      </c>
      <c r="AY144">
        <v>360.79093804531487</v>
      </c>
      <c r="BA144" s="1">
        <v>-1</v>
      </c>
      <c r="BB144" t="str">
        <f t="shared" si="2"/>
        <v>Mg - Vale do Rio Doce</v>
      </c>
      <c r="BC144" s="3" t="s">
        <v>144</v>
      </c>
      <c r="BD144" s="3" t="s">
        <v>144</v>
      </c>
      <c r="BE144" s="3" t="s">
        <v>144</v>
      </c>
      <c r="BF144" s="3" t="s">
        <v>144</v>
      </c>
      <c r="BG144" s="3" t="s">
        <v>144</v>
      </c>
      <c r="BH144" s="3" t="s">
        <v>144</v>
      </c>
      <c r="BI144" s="3" t="s">
        <v>144</v>
      </c>
      <c r="BJ144" s="3" t="s">
        <v>144</v>
      </c>
      <c r="BK144" s="3" t="s">
        <v>144</v>
      </c>
      <c r="BL144" s="3" t="s">
        <v>144</v>
      </c>
      <c r="BM144" s="3" t="s">
        <v>144</v>
      </c>
      <c r="BN144" s="3" t="s">
        <v>144</v>
      </c>
      <c r="BO144" s="3" t="s">
        <v>144</v>
      </c>
      <c r="BP144" s="3" t="s">
        <v>144</v>
      </c>
      <c r="BQ144" s="3" t="s">
        <v>144</v>
      </c>
      <c r="BR144" s="3" t="s">
        <v>144</v>
      </c>
      <c r="BS144" s="3" t="s">
        <v>144</v>
      </c>
      <c r="BT144" s="3" t="s">
        <v>144</v>
      </c>
      <c r="BU144" s="3" t="s">
        <v>144</v>
      </c>
      <c r="BV144" s="3" t="s">
        <v>144</v>
      </c>
      <c r="BW144" s="3" t="s">
        <v>144</v>
      </c>
      <c r="BX144" s="3" t="s">
        <v>144</v>
      </c>
      <c r="BY144" s="3" t="s">
        <v>144</v>
      </c>
      <c r="BZ144" s="3" t="s">
        <v>144</v>
      </c>
      <c r="CA144" s="3" t="s">
        <v>144</v>
      </c>
      <c r="CB144" s="3" t="s">
        <v>144</v>
      </c>
      <c r="CC144" s="3" t="s">
        <v>144</v>
      </c>
      <c r="CD144" s="3" t="s">
        <v>144</v>
      </c>
      <c r="CE144" s="3" t="s">
        <v>144</v>
      </c>
      <c r="CF144" s="3" t="s">
        <v>144</v>
      </c>
      <c r="CG144" s="3" t="s">
        <v>144</v>
      </c>
      <c r="CH144" s="3" t="s">
        <v>144</v>
      </c>
      <c r="CI144" s="3" t="s">
        <v>144</v>
      </c>
      <c r="CJ144" s="3" t="s">
        <v>144</v>
      </c>
      <c r="CK144" s="3" t="s">
        <v>144</v>
      </c>
      <c r="CL144" s="3" t="s">
        <v>144</v>
      </c>
      <c r="CM144" s="3" t="s">
        <v>144</v>
      </c>
      <c r="CN144" s="3" t="s">
        <v>144</v>
      </c>
      <c r="CO144" s="3" t="s">
        <v>144</v>
      </c>
      <c r="CP144" s="3" t="s">
        <v>144</v>
      </c>
      <c r="CQ144" s="3" t="s">
        <v>144</v>
      </c>
      <c r="CR144" s="3" t="s">
        <v>144</v>
      </c>
      <c r="CS144" s="3" t="s">
        <v>144</v>
      </c>
      <c r="CT144" s="3" t="s">
        <v>144</v>
      </c>
      <c r="CU144" s="3" t="s">
        <v>144</v>
      </c>
      <c r="CV144" s="3" t="s">
        <v>144</v>
      </c>
      <c r="CW144" s="3" t="s">
        <v>144</v>
      </c>
      <c r="CX144" s="3" t="s">
        <v>144</v>
      </c>
      <c r="CY144" s="3" t="s">
        <v>144</v>
      </c>
    </row>
    <row r="145" spans="1:103" x14ac:dyDescent="0.25">
      <c r="A145" t="s">
        <v>75</v>
      </c>
      <c r="B145" t="s">
        <v>4</v>
      </c>
      <c r="C145">
        <v>945.40941472555255</v>
      </c>
      <c r="D145">
        <v>500.38443929475829</v>
      </c>
      <c r="E145">
        <v>223.18648499606368</v>
      </c>
      <c r="F145">
        <v>73.686554970854999</v>
      </c>
      <c r="G145">
        <v>214.86668447135526</v>
      </c>
      <c r="H145">
        <v>384.25575303611248</v>
      </c>
      <c r="I145">
        <v>368.19056279911155</v>
      </c>
      <c r="J145">
        <v>486.24665865073996</v>
      </c>
      <c r="K145">
        <v>536.36711095946225</v>
      </c>
      <c r="L145">
        <v>610.84440930379697</v>
      </c>
      <c r="M145">
        <v>608.47237341361563</v>
      </c>
      <c r="N145">
        <v>558.40421457460081</v>
      </c>
      <c r="O145">
        <v>528.43899214405474</v>
      </c>
      <c r="P145">
        <v>481.22968138896817</v>
      </c>
      <c r="Q145">
        <v>467.93408733539962</v>
      </c>
      <c r="R145">
        <v>455.01095196677937</v>
      </c>
      <c r="S145">
        <v>459.16700940471577</v>
      </c>
      <c r="T145">
        <v>476.54185495163307</v>
      </c>
      <c r="U145">
        <v>492.84606243111193</v>
      </c>
      <c r="V145">
        <v>513.90237674820139</v>
      </c>
      <c r="W145">
        <v>524.73552645901134</v>
      </c>
      <c r="X145">
        <v>531.69997417674801</v>
      </c>
      <c r="Y145">
        <v>531.25252888704256</v>
      </c>
      <c r="Z145">
        <v>524.72163184673582</v>
      </c>
      <c r="AA145">
        <v>516.12076886764373</v>
      </c>
      <c r="AB145">
        <v>505.43957075384816</v>
      </c>
      <c r="AC145">
        <v>497.81280062690155</v>
      </c>
      <c r="AD145">
        <v>493.16731201817248</v>
      </c>
      <c r="AE145">
        <v>492.76365118143951</v>
      </c>
      <c r="AF145">
        <v>495.8787180894592</v>
      </c>
      <c r="AG145">
        <v>500.630755177146</v>
      </c>
      <c r="AH145">
        <v>505.95645653802262</v>
      </c>
      <c r="AI145">
        <v>509.81864488038821</v>
      </c>
      <c r="AJ145">
        <v>511.75776770936659</v>
      </c>
      <c r="AK145">
        <v>511.46083179811939</v>
      </c>
      <c r="AL145">
        <v>509.41652913061529</v>
      </c>
      <c r="AM145">
        <v>506.55294378537457</v>
      </c>
      <c r="AN145">
        <v>503.59448376272275</v>
      </c>
      <c r="AO145">
        <v>501.35416711623219</v>
      </c>
      <c r="AP145">
        <v>500.10916170148118</v>
      </c>
      <c r="AQ145">
        <v>499.93732391726559</v>
      </c>
      <c r="AR145">
        <v>500.61077320465358</v>
      </c>
      <c r="AS145">
        <v>501.72871271939346</v>
      </c>
      <c r="AT145">
        <v>502.91929872820367</v>
      </c>
      <c r="AU145">
        <v>503.81874358431298</v>
      </c>
      <c r="AV145">
        <v>504.24684881942045</v>
      </c>
      <c r="AW145">
        <v>504.14679722439752</v>
      </c>
      <c r="AX145">
        <v>503.60670280111174</v>
      </c>
      <c r="AY145">
        <v>502.81070652486534</v>
      </c>
      <c r="BA145" s="1">
        <v>1</v>
      </c>
      <c r="BB145" t="str">
        <f t="shared" si="2"/>
        <v>Mg - Oeste de Minas</v>
      </c>
      <c r="BC145" s="3">
        <v>1269.0074575042754</v>
      </c>
      <c r="BD145" s="3">
        <v>140.66393758047963</v>
      </c>
      <c r="BE145" s="3">
        <v>-572.72250943297524</v>
      </c>
      <c r="BF145" s="3">
        <v>-168.43904530385208</v>
      </c>
      <c r="BG145" s="3">
        <v>-174.29964277474016</v>
      </c>
      <c r="BH145" s="3">
        <v>179.27243033651825</v>
      </c>
      <c r="BI145" s="3">
        <v>-60.105295382537406</v>
      </c>
      <c r="BJ145" s="3">
        <v>54.059202872924232</v>
      </c>
      <c r="BK145" s="3">
        <v>178.22296671918969</v>
      </c>
      <c r="BL145" s="3">
        <v>163.4167133454394</v>
      </c>
      <c r="BM145" s="3">
        <v>197.73981881335334</v>
      </c>
      <c r="BN145" s="3">
        <v>72.080645696575232</v>
      </c>
      <c r="BO145" s="3">
        <v>74.15161880199372</v>
      </c>
      <c r="BP145" s="3">
        <v>35.909867910842081</v>
      </c>
      <c r="BQ145" s="3">
        <v>12.221551111388635</v>
      </c>
      <c r="BR145" s="3">
        <v>8.3129094054012853</v>
      </c>
      <c r="BS145" s="3">
        <v>-16.935109456213013</v>
      </c>
      <c r="BT145" s="3">
        <v>0.66360723323731463</v>
      </c>
      <c r="BU145" s="3">
        <v>3.2483869183977276E-2</v>
      </c>
      <c r="BV145" s="3">
        <v>12.505466971741612</v>
      </c>
      <c r="BW145" s="3">
        <v>19.668074187269042</v>
      </c>
      <c r="BX145" s="3">
        <v>18.660076047923781</v>
      </c>
      <c r="BY145" s="3">
        <v>19.242807596801754</v>
      </c>
      <c r="BZ145" s="3">
        <v>6.5155102173325758</v>
      </c>
      <c r="CA145" s="3">
        <v>-5.1420734583617786</v>
      </c>
      <c r="CB145" s="3">
        <v>-20.799340638658748</v>
      </c>
      <c r="CC145" s="3">
        <v>-33.782187005024525</v>
      </c>
      <c r="CD145" s="3">
        <v>-41.873349062274144</v>
      </c>
      <c r="CE145" s="3">
        <v>-47.348707652736039</v>
      </c>
      <c r="CF145" s="3">
        <v>-47.76417839737212</v>
      </c>
      <c r="CG145" s="3">
        <v>-47.559618247278252</v>
      </c>
      <c r="CH145" s="3">
        <v>-46.531329265546901</v>
      </c>
      <c r="CI145" s="3">
        <v>-46.7733710282929</v>
      </c>
      <c r="CJ145" s="3">
        <v>-49.017425357253728</v>
      </c>
      <c r="CK145" s="3">
        <v>-52.624694110855046</v>
      </c>
      <c r="CL145" s="3">
        <v>-57.853881315969431</v>
      </c>
      <c r="CM145" s="3">
        <v>-63.35684422664275</v>
      </c>
      <c r="CN145" s="3">
        <v>-68.897827920828774</v>
      </c>
      <c r="CO145" s="3">
        <v>-73.79733966445832</v>
      </c>
      <c r="CP145" s="3">
        <v>-77.746333993650069</v>
      </c>
      <c r="CQ145" s="3">
        <v>-80.826437854020526</v>
      </c>
      <c r="CR145" s="3">
        <v>-83.002103689353703</v>
      </c>
      <c r="CS145" s="3">
        <v>-84.695530474389898</v>
      </c>
      <c r="CT145" s="3">
        <v>-86.1386157018419</v>
      </c>
      <c r="CU145" s="3">
        <v>-87.675678506445024</v>
      </c>
      <c r="CV145" s="3">
        <v>-89.527615655099964</v>
      </c>
      <c r="CW145" s="3">
        <v>-91.746744080003339</v>
      </c>
      <c r="CX145" s="3">
        <v>-94.32368986177255</v>
      </c>
      <c r="CY145" s="3">
        <v>-97.074363604963366</v>
      </c>
    </row>
    <row r="146" spans="1:103" x14ac:dyDescent="0.25">
      <c r="A146" t="s">
        <v>75</v>
      </c>
      <c r="B146" t="s">
        <v>5</v>
      </c>
      <c r="C146">
        <v>-323.59804277872291</v>
      </c>
      <c r="D146">
        <v>359.72050171427867</v>
      </c>
      <c r="E146">
        <v>795.9089944290389</v>
      </c>
      <c r="F146">
        <v>242.1256002747071</v>
      </c>
      <c r="G146">
        <v>389.16632724609542</v>
      </c>
      <c r="H146">
        <v>204.98332269959423</v>
      </c>
      <c r="I146">
        <v>428.29585818164895</v>
      </c>
      <c r="J146">
        <v>432.18745577781573</v>
      </c>
      <c r="K146">
        <v>358.14414424027257</v>
      </c>
      <c r="L146">
        <v>447.42769595835756</v>
      </c>
      <c r="M146">
        <v>410.73255460026229</v>
      </c>
      <c r="N146">
        <v>486.32356887802558</v>
      </c>
      <c r="O146">
        <v>454.28737334206102</v>
      </c>
      <c r="P146">
        <v>445.31981347812609</v>
      </c>
      <c r="Q146">
        <v>455.71253622401099</v>
      </c>
      <c r="R146">
        <v>446.69804256137809</v>
      </c>
      <c r="S146">
        <v>476.10211886092878</v>
      </c>
      <c r="T146">
        <v>475.87824771839576</v>
      </c>
      <c r="U146">
        <v>492.81357856192795</v>
      </c>
      <c r="V146">
        <v>501.39690977645978</v>
      </c>
      <c r="W146">
        <v>505.0674522717423</v>
      </c>
      <c r="X146">
        <v>513.03989812882423</v>
      </c>
      <c r="Y146">
        <v>512.0097212902408</v>
      </c>
      <c r="Z146">
        <v>518.20612162940324</v>
      </c>
      <c r="AA146">
        <v>521.26284232600551</v>
      </c>
      <c r="AB146">
        <v>526.23891139250691</v>
      </c>
      <c r="AC146">
        <v>531.59498763192607</v>
      </c>
      <c r="AD146">
        <v>535.04066108044663</v>
      </c>
      <c r="AE146">
        <v>540.11235883417555</v>
      </c>
      <c r="AF146">
        <v>543.64289648683132</v>
      </c>
      <c r="AG146">
        <v>548.19037342442425</v>
      </c>
      <c r="AH146">
        <v>552.48778580356952</v>
      </c>
      <c r="AI146">
        <v>556.59201590868111</v>
      </c>
      <c r="AJ146">
        <v>560.77519306662032</v>
      </c>
      <c r="AK146">
        <v>564.08552590897443</v>
      </c>
      <c r="AL146">
        <v>567.27041044658472</v>
      </c>
      <c r="AM146">
        <v>569.90978801201732</v>
      </c>
      <c r="AN146">
        <v>572.49231168355152</v>
      </c>
      <c r="AO146">
        <v>575.15150678069051</v>
      </c>
      <c r="AP146">
        <v>577.85549569513125</v>
      </c>
      <c r="AQ146">
        <v>580.76376177128611</v>
      </c>
      <c r="AR146">
        <v>583.61287689400729</v>
      </c>
      <c r="AS146">
        <v>586.42424319378335</v>
      </c>
      <c r="AT146">
        <v>589.05791443004557</v>
      </c>
      <c r="AU146">
        <v>591.49442209075801</v>
      </c>
      <c r="AV146">
        <v>593.77446447452041</v>
      </c>
      <c r="AW146">
        <v>595.89354130440086</v>
      </c>
      <c r="AX146">
        <v>597.93039266288429</v>
      </c>
      <c r="AY146">
        <v>599.8850701298287</v>
      </c>
      <c r="BA146" s="1">
        <v>-1</v>
      </c>
      <c r="BB146" t="str">
        <f t="shared" si="2"/>
        <v>Mg - Oeste de Minas</v>
      </c>
      <c r="BC146" s="3" t="s">
        <v>144</v>
      </c>
      <c r="BD146" s="3" t="s">
        <v>144</v>
      </c>
      <c r="BE146" s="3" t="s">
        <v>144</v>
      </c>
      <c r="BF146" s="3" t="s">
        <v>144</v>
      </c>
      <c r="BG146" s="3" t="s">
        <v>144</v>
      </c>
      <c r="BH146" s="3" t="s">
        <v>144</v>
      </c>
      <c r="BI146" s="3" t="s">
        <v>144</v>
      </c>
      <c r="BJ146" s="3" t="s">
        <v>144</v>
      </c>
      <c r="BK146" s="3" t="s">
        <v>144</v>
      </c>
      <c r="BL146" s="3" t="s">
        <v>144</v>
      </c>
      <c r="BM146" s="3" t="s">
        <v>144</v>
      </c>
      <c r="BN146" s="3" t="s">
        <v>144</v>
      </c>
      <c r="BO146" s="3" t="s">
        <v>144</v>
      </c>
      <c r="BP146" s="3" t="s">
        <v>144</v>
      </c>
      <c r="BQ146" s="3" t="s">
        <v>144</v>
      </c>
      <c r="BR146" s="3" t="s">
        <v>144</v>
      </c>
      <c r="BS146" s="3" t="s">
        <v>144</v>
      </c>
      <c r="BT146" s="3" t="s">
        <v>144</v>
      </c>
      <c r="BU146" s="3" t="s">
        <v>144</v>
      </c>
      <c r="BV146" s="3" t="s">
        <v>144</v>
      </c>
      <c r="BW146" s="3" t="s">
        <v>144</v>
      </c>
      <c r="BX146" s="3" t="s">
        <v>144</v>
      </c>
      <c r="BY146" s="3" t="s">
        <v>144</v>
      </c>
      <c r="BZ146" s="3" t="s">
        <v>144</v>
      </c>
      <c r="CA146" s="3" t="s">
        <v>144</v>
      </c>
      <c r="CB146" s="3" t="s">
        <v>144</v>
      </c>
      <c r="CC146" s="3" t="s">
        <v>144</v>
      </c>
      <c r="CD146" s="3" t="s">
        <v>144</v>
      </c>
      <c r="CE146" s="3" t="s">
        <v>144</v>
      </c>
      <c r="CF146" s="3" t="s">
        <v>144</v>
      </c>
      <c r="CG146" s="3" t="s">
        <v>144</v>
      </c>
      <c r="CH146" s="3" t="s">
        <v>144</v>
      </c>
      <c r="CI146" s="3" t="s">
        <v>144</v>
      </c>
      <c r="CJ146" s="3" t="s">
        <v>144</v>
      </c>
      <c r="CK146" s="3" t="s">
        <v>144</v>
      </c>
      <c r="CL146" s="3" t="s">
        <v>144</v>
      </c>
      <c r="CM146" s="3" t="s">
        <v>144</v>
      </c>
      <c r="CN146" s="3" t="s">
        <v>144</v>
      </c>
      <c r="CO146" s="3" t="s">
        <v>144</v>
      </c>
      <c r="CP146" s="3" t="s">
        <v>144</v>
      </c>
      <c r="CQ146" s="3" t="s">
        <v>144</v>
      </c>
      <c r="CR146" s="3" t="s">
        <v>144</v>
      </c>
      <c r="CS146" s="3" t="s">
        <v>144</v>
      </c>
      <c r="CT146" s="3" t="s">
        <v>144</v>
      </c>
      <c r="CU146" s="3" t="s">
        <v>144</v>
      </c>
      <c r="CV146" s="3" t="s">
        <v>144</v>
      </c>
      <c r="CW146" s="3" t="s">
        <v>144</v>
      </c>
      <c r="CX146" s="3" t="s">
        <v>144</v>
      </c>
      <c r="CY146" s="3" t="s">
        <v>144</v>
      </c>
    </row>
    <row r="147" spans="1:103" x14ac:dyDescent="0.25">
      <c r="A147" t="s">
        <v>76</v>
      </c>
      <c r="B147" t="s">
        <v>4</v>
      </c>
      <c r="C147">
        <v>1975.1135521644919</v>
      </c>
      <c r="D147">
        <v>1376.7716723223668</v>
      </c>
      <c r="E147">
        <v>955.11770822971289</v>
      </c>
      <c r="F147">
        <v>444.09938679814258</v>
      </c>
      <c r="G147">
        <v>241.64180094414615</v>
      </c>
      <c r="H147">
        <v>418.87348354865958</v>
      </c>
      <c r="I147">
        <v>350.12489256975709</v>
      </c>
      <c r="J147">
        <v>774.6983606833204</v>
      </c>
      <c r="K147">
        <v>1140.4642774497754</v>
      </c>
      <c r="L147">
        <v>1485.6273613318876</v>
      </c>
      <c r="M147">
        <v>1556.9274818308504</v>
      </c>
      <c r="N147">
        <v>1356.1084454157603</v>
      </c>
      <c r="O147">
        <v>1141.5666713575008</v>
      </c>
      <c r="P147">
        <v>874.04805734320144</v>
      </c>
      <c r="Q147">
        <v>722.32832429757627</v>
      </c>
      <c r="R147">
        <v>646.66576492865488</v>
      </c>
      <c r="S147">
        <v>661.43360730142172</v>
      </c>
      <c r="T147">
        <v>742.46063845582694</v>
      </c>
      <c r="U147">
        <v>817.03877980070661</v>
      </c>
      <c r="V147">
        <v>887.47344781350773</v>
      </c>
      <c r="W147">
        <v>918.60297173148922</v>
      </c>
      <c r="X147">
        <v>928.47500973666524</v>
      </c>
      <c r="Y147">
        <v>918.85312982386722</v>
      </c>
      <c r="Z147">
        <v>892.04413195102313</v>
      </c>
      <c r="AA147">
        <v>858.77285070218488</v>
      </c>
      <c r="AB147">
        <v>816.50401428543262</v>
      </c>
      <c r="AC147">
        <v>777.35039032526947</v>
      </c>
      <c r="AD147">
        <v>744.92979304903304</v>
      </c>
      <c r="AE147">
        <v>725.90884864289865</v>
      </c>
      <c r="AF147">
        <v>723.06861869822217</v>
      </c>
      <c r="AG147">
        <v>732.38112961834838</v>
      </c>
      <c r="AH147">
        <v>749.20333932150265</v>
      </c>
      <c r="AI147">
        <v>764.47207867503721</v>
      </c>
      <c r="AJ147">
        <v>772.6156138964094</v>
      </c>
      <c r="AK147">
        <v>770.46137142186501</v>
      </c>
      <c r="AL147">
        <v>758.70332765213323</v>
      </c>
      <c r="AM147">
        <v>741.31309072896249</v>
      </c>
      <c r="AN147">
        <v>722.52309287419871</v>
      </c>
      <c r="AO147">
        <v>706.56094845628797</v>
      </c>
      <c r="AP147">
        <v>695.47555322486369</v>
      </c>
      <c r="AQ147">
        <v>689.64389837814099</v>
      </c>
      <c r="AR147">
        <v>687.99363958874437</v>
      </c>
      <c r="AS147">
        <v>688.63608051979293</v>
      </c>
      <c r="AT147">
        <v>689.83607366100978</v>
      </c>
      <c r="AU147">
        <v>690.12628361810118</v>
      </c>
      <c r="AV147">
        <v>688.74201220177531</v>
      </c>
      <c r="AW147">
        <v>685.44780507325811</v>
      </c>
      <c r="AX147">
        <v>680.47806315377898</v>
      </c>
      <c r="AY147">
        <v>674.41619875671483</v>
      </c>
      <c r="BA147" s="1">
        <v>1</v>
      </c>
      <c r="BB147" t="str">
        <f t="shared" si="2"/>
        <v>Mg - Sul-Sudoeste MG</v>
      </c>
      <c r="BC147" s="3">
        <v>1628.4863317056845</v>
      </c>
      <c r="BD147" s="3">
        <v>731.18789375126198</v>
      </c>
      <c r="BE147" s="3">
        <v>-572.53945377205218</v>
      </c>
      <c r="BF147" s="3">
        <v>-775.69850218175407</v>
      </c>
      <c r="BG147" s="3">
        <v>-1288.1203701399106</v>
      </c>
      <c r="BH147" s="3">
        <v>-722.98667194710515</v>
      </c>
      <c r="BI147" s="3">
        <v>-528.98630258451703</v>
      </c>
      <c r="BJ147" s="3">
        <v>56.028355046110846</v>
      </c>
      <c r="BK147" s="3">
        <v>636.97678867907166</v>
      </c>
      <c r="BL147" s="3">
        <v>809.51605028979645</v>
      </c>
      <c r="BM147" s="3">
        <v>775.16999746277156</v>
      </c>
      <c r="BN147" s="3">
        <v>312.21114367151267</v>
      </c>
      <c r="BO147" s="3">
        <v>-43.598729570434671</v>
      </c>
      <c r="BP147" s="3">
        <v>-315.95088301243709</v>
      </c>
      <c r="BQ147" s="3">
        <v>-418.28625508998971</v>
      </c>
      <c r="BR147" s="3">
        <v>-354.70532107017061</v>
      </c>
      <c r="BS147" s="3">
        <v>-259.39717529542929</v>
      </c>
      <c r="BT147" s="3">
        <v>-111.76260252085285</v>
      </c>
      <c r="BU147" s="3">
        <v>-25.250245548700832</v>
      </c>
      <c r="BV147" s="3">
        <v>24.058889819839351</v>
      </c>
      <c r="BW147" s="3">
        <v>34.185263220038905</v>
      </c>
      <c r="BX147" s="3">
        <v>16.072824798117949</v>
      </c>
      <c r="BY147" s="3">
        <v>-1.6388626686361931</v>
      </c>
      <c r="BZ147" s="3">
        <v>-35.902868610509358</v>
      </c>
      <c r="CA147" s="3">
        <v>-72.06454357927214</v>
      </c>
      <c r="CB147" s="3">
        <v>-115.96534572435803</v>
      </c>
      <c r="CC147" s="3">
        <v>-156.77271956093091</v>
      </c>
      <c r="CD147" s="3">
        <v>-182.92971825728557</v>
      </c>
      <c r="CE147" s="3">
        <v>-191.7013657927879</v>
      </c>
      <c r="CF147" s="3">
        <v>-178.56167819839015</v>
      </c>
      <c r="CG147" s="3">
        <v>-153.74138540910258</v>
      </c>
      <c r="CH147" s="3">
        <v>-126.07807459954995</v>
      </c>
      <c r="CI147" s="3">
        <v>-106.60164348601415</v>
      </c>
      <c r="CJ147" s="3">
        <v>-101.80976298977214</v>
      </c>
      <c r="CK147" s="3">
        <v>-110.96589560145412</v>
      </c>
      <c r="CL147" s="3">
        <v>-130.40741259300125</v>
      </c>
      <c r="CM147" s="3">
        <v>-152.53760528455803</v>
      </c>
      <c r="CN147" s="3">
        <v>-171.69517476063845</v>
      </c>
      <c r="CO147" s="3">
        <v>-184.15650245383858</v>
      </c>
      <c r="CP147" s="3">
        <v>-189.17997348112021</v>
      </c>
      <c r="CQ147" s="3">
        <v>-188.56300911306266</v>
      </c>
      <c r="CR147" s="3">
        <v>-184.68635788736549</v>
      </c>
      <c r="CS147" s="3">
        <v>-180.27196140468288</v>
      </c>
      <c r="CT147" s="3">
        <v>-177.05875585151239</v>
      </c>
      <c r="CU147" s="3">
        <v>-176.05350036957441</v>
      </c>
      <c r="CV147" s="3">
        <v>-177.52102040302884</v>
      </c>
      <c r="CW147" s="3">
        <v>-181.13424689691396</v>
      </c>
      <c r="CX147" s="3">
        <v>-186.3293385391795</v>
      </c>
      <c r="CY147" s="3">
        <v>-192.25121294289579</v>
      </c>
    </row>
    <row r="148" spans="1:103" x14ac:dyDescent="0.25">
      <c r="A148" t="s">
        <v>76</v>
      </c>
      <c r="B148" t="s">
        <v>5</v>
      </c>
      <c r="C148">
        <v>346.62722045880741</v>
      </c>
      <c r="D148">
        <v>645.58377857110486</v>
      </c>
      <c r="E148">
        <v>1527.6571620017651</v>
      </c>
      <c r="F148">
        <v>1219.7978889798967</v>
      </c>
      <c r="G148">
        <v>1529.7621710840567</v>
      </c>
      <c r="H148">
        <v>1141.8601554957647</v>
      </c>
      <c r="I148">
        <v>879.11119515427413</v>
      </c>
      <c r="J148">
        <v>718.67000563720956</v>
      </c>
      <c r="K148">
        <v>503.48748877070369</v>
      </c>
      <c r="L148">
        <v>676.11131104209119</v>
      </c>
      <c r="M148">
        <v>781.75748436807885</v>
      </c>
      <c r="N148">
        <v>1043.8973017442477</v>
      </c>
      <c r="O148">
        <v>1185.1654009279355</v>
      </c>
      <c r="P148">
        <v>1189.9989403556385</v>
      </c>
      <c r="Q148">
        <v>1140.614579387566</v>
      </c>
      <c r="R148">
        <v>1001.3710859988255</v>
      </c>
      <c r="S148">
        <v>920.83078259685101</v>
      </c>
      <c r="T148">
        <v>854.22324097667979</v>
      </c>
      <c r="U148">
        <v>842.28902534940744</v>
      </c>
      <c r="V148">
        <v>863.41455799366838</v>
      </c>
      <c r="W148">
        <v>884.41770851145031</v>
      </c>
      <c r="X148">
        <v>912.40218493854729</v>
      </c>
      <c r="Y148">
        <v>920.49199249250341</v>
      </c>
      <c r="Z148">
        <v>927.94700056153249</v>
      </c>
      <c r="AA148">
        <v>930.83739428145702</v>
      </c>
      <c r="AB148">
        <v>932.46936000979065</v>
      </c>
      <c r="AC148">
        <v>934.12310988620038</v>
      </c>
      <c r="AD148">
        <v>927.85951130631861</v>
      </c>
      <c r="AE148">
        <v>917.61021443568654</v>
      </c>
      <c r="AF148">
        <v>901.63029689661232</v>
      </c>
      <c r="AG148">
        <v>886.12251502745096</v>
      </c>
      <c r="AH148">
        <v>875.2814139210526</v>
      </c>
      <c r="AI148">
        <v>871.07372216105136</v>
      </c>
      <c r="AJ148">
        <v>874.42537688618154</v>
      </c>
      <c r="AK148">
        <v>881.42726702331913</v>
      </c>
      <c r="AL148">
        <v>889.11074024513448</v>
      </c>
      <c r="AM148">
        <v>893.85069601352052</v>
      </c>
      <c r="AN148">
        <v>894.21826763483716</v>
      </c>
      <c r="AO148">
        <v>890.71745091012656</v>
      </c>
      <c r="AP148">
        <v>884.6555267059839</v>
      </c>
      <c r="AQ148">
        <v>878.20690749120365</v>
      </c>
      <c r="AR148">
        <v>872.67999747610986</v>
      </c>
      <c r="AS148">
        <v>868.90804192447581</v>
      </c>
      <c r="AT148">
        <v>866.89482951252216</v>
      </c>
      <c r="AU148">
        <v>866.17978398767559</v>
      </c>
      <c r="AV148">
        <v>866.26303260480415</v>
      </c>
      <c r="AW148">
        <v>866.58205197017207</v>
      </c>
      <c r="AX148">
        <v>866.80740169295848</v>
      </c>
      <c r="AY148">
        <v>866.66741169961062</v>
      </c>
      <c r="BA148" s="1">
        <v>-1</v>
      </c>
      <c r="BB148" t="str">
        <f t="shared" si="2"/>
        <v>Mg - Sul-Sudoeste MG</v>
      </c>
      <c r="BC148" s="3" t="s">
        <v>144</v>
      </c>
      <c r="BD148" s="3" t="s">
        <v>144</v>
      </c>
      <c r="BE148" s="3" t="s">
        <v>144</v>
      </c>
      <c r="BF148" s="3" t="s">
        <v>144</v>
      </c>
      <c r="BG148" s="3" t="s">
        <v>144</v>
      </c>
      <c r="BH148" s="3" t="s">
        <v>144</v>
      </c>
      <c r="BI148" s="3" t="s">
        <v>144</v>
      </c>
      <c r="BJ148" s="3" t="s">
        <v>144</v>
      </c>
      <c r="BK148" s="3" t="s">
        <v>144</v>
      </c>
      <c r="BL148" s="3" t="s">
        <v>144</v>
      </c>
      <c r="BM148" s="3" t="s">
        <v>144</v>
      </c>
      <c r="BN148" s="3" t="s">
        <v>144</v>
      </c>
      <c r="BO148" s="3" t="s">
        <v>144</v>
      </c>
      <c r="BP148" s="3" t="s">
        <v>144</v>
      </c>
      <c r="BQ148" s="3" t="s">
        <v>144</v>
      </c>
      <c r="BR148" s="3" t="s">
        <v>144</v>
      </c>
      <c r="BS148" s="3" t="s">
        <v>144</v>
      </c>
      <c r="BT148" s="3" t="s">
        <v>144</v>
      </c>
      <c r="BU148" s="3" t="s">
        <v>144</v>
      </c>
      <c r="BV148" s="3" t="s">
        <v>144</v>
      </c>
      <c r="BW148" s="3" t="s">
        <v>144</v>
      </c>
      <c r="BX148" s="3" t="s">
        <v>144</v>
      </c>
      <c r="BY148" s="3" t="s">
        <v>144</v>
      </c>
      <c r="BZ148" s="3" t="s">
        <v>144</v>
      </c>
      <c r="CA148" s="3" t="s">
        <v>144</v>
      </c>
      <c r="CB148" s="3" t="s">
        <v>144</v>
      </c>
      <c r="CC148" s="3" t="s">
        <v>144</v>
      </c>
      <c r="CD148" s="3" t="s">
        <v>144</v>
      </c>
      <c r="CE148" s="3" t="s">
        <v>144</v>
      </c>
      <c r="CF148" s="3" t="s">
        <v>144</v>
      </c>
      <c r="CG148" s="3" t="s">
        <v>144</v>
      </c>
      <c r="CH148" s="3" t="s">
        <v>144</v>
      </c>
      <c r="CI148" s="3" t="s">
        <v>144</v>
      </c>
      <c r="CJ148" s="3" t="s">
        <v>144</v>
      </c>
      <c r="CK148" s="3" t="s">
        <v>144</v>
      </c>
      <c r="CL148" s="3" t="s">
        <v>144</v>
      </c>
      <c r="CM148" s="3" t="s">
        <v>144</v>
      </c>
      <c r="CN148" s="3" t="s">
        <v>144</v>
      </c>
      <c r="CO148" s="3" t="s">
        <v>144</v>
      </c>
      <c r="CP148" s="3" t="s">
        <v>144</v>
      </c>
      <c r="CQ148" s="3" t="s">
        <v>144</v>
      </c>
      <c r="CR148" s="3" t="s">
        <v>144</v>
      </c>
      <c r="CS148" s="3" t="s">
        <v>144</v>
      </c>
      <c r="CT148" s="3" t="s">
        <v>144</v>
      </c>
      <c r="CU148" s="3" t="s">
        <v>144</v>
      </c>
      <c r="CV148" s="3" t="s">
        <v>144</v>
      </c>
      <c r="CW148" s="3" t="s">
        <v>144</v>
      </c>
      <c r="CX148" s="3" t="s">
        <v>144</v>
      </c>
      <c r="CY148" s="3" t="s">
        <v>144</v>
      </c>
    </row>
    <row r="149" spans="1:103" x14ac:dyDescent="0.25">
      <c r="A149" t="s">
        <v>77</v>
      </c>
      <c r="B149" t="s">
        <v>4</v>
      </c>
      <c r="C149">
        <v>197.37603169712597</v>
      </c>
      <c r="D149">
        <v>172.24180804242084</v>
      </c>
      <c r="E149">
        <v>95.318414022243942</v>
      </c>
      <c r="F149">
        <v>56.552972293965098</v>
      </c>
      <c r="G149">
        <v>91.42130782826969</v>
      </c>
      <c r="H149">
        <v>123.88819607750806</v>
      </c>
      <c r="I149">
        <v>134.50481651870368</v>
      </c>
      <c r="J149">
        <v>154.7398832683017</v>
      </c>
      <c r="K149">
        <v>174.69561459333758</v>
      </c>
      <c r="L149">
        <v>196.43229520681442</v>
      </c>
      <c r="M149">
        <v>198.6918620097378</v>
      </c>
      <c r="N149">
        <v>191.16285815033751</v>
      </c>
      <c r="O149">
        <v>181.26181366473912</v>
      </c>
      <c r="P149">
        <v>171.18892167699497</v>
      </c>
      <c r="Q149">
        <v>165.29776334041341</v>
      </c>
      <c r="R149">
        <v>159.97709239662547</v>
      </c>
      <c r="S149">
        <v>158.31687905429257</v>
      </c>
      <c r="T149">
        <v>159.18338644187401</v>
      </c>
      <c r="U149">
        <v>162.05669370783355</v>
      </c>
      <c r="V149">
        <v>166.27390274064476</v>
      </c>
      <c r="W149">
        <v>169.8681695925155</v>
      </c>
      <c r="X149">
        <v>172.82634094265617</v>
      </c>
      <c r="Y149">
        <v>173.97943013381217</v>
      </c>
      <c r="Z149">
        <v>173.38070814804459</v>
      </c>
      <c r="AA149">
        <v>171.23262050226938</v>
      </c>
      <c r="AB149">
        <v>168.10920609682591</v>
      </c>
      <c r="AC149">
        <v>165.0969817646361</v>
      </c>
      <c r="AD149">
        <v>162.75611898556281</v>
      </c>
      <c r="AE149">
        <v>161.60968421864348</v>
      </c>
      <c r="AF149">
        <v>161.58090304414847</v>
      </c>
      <c r="AG149">
        <v>162.35724930827402</v>
      </c>
      <c r="AH149">
        <v>163.49350295533898</v>
      </c>
      <c r="AI149">
        <v>164.48467298461705</v>
      </c>
      <c r="AJ149">
        <v>165.05597649755862</v>
      </c>
      <c r="AK149">
        <v>165.05650322638249</v>
      </c>
      <c r="AL149">
        <v>164.55815121189212</v>
      </c>
      <c r="AM149">
        <v>163.72907838410117</v>
      </c>
      <c r="AN149">
        <v>162.77130093048231</v>
      </c>
      <c r="AO149">
        <v>161.88361050485616</v>
      </c>
      <c r="AP149">
        <v>161.18820959706113</v>
      </c>
      <c r="AQ149">
        <v>160.75318672831611</v>
      </c>
      <c r="AR149">
        <v>160.56867930018714</v>
      </c>
      <c r="AS149">
        <v>160.57585558043087</v>
      </c>
      <c r="AT149">
        <v>160.68645624237158</v>
      </c>
      <c r="AU149">
        <v>160.80203257542919</v>
      </c>
      <c r="AV149">
        <v>160.84495411816818</v>
      </c>
      <c r="AW149">
        <v>160.7663396688634</v>
      </c>
      <c r="AX149">
        <v>160.55898781303549</v>
      </c>
      <c r="AY149">
        <v>160.25042419020591</v>
      </c>
      <c r="BA149" s="1">
        <v>1</v>
      </c>
      <c r="BB149" t="str">
        <f t="shared" si="2"/>
        <v>Mg - Campo das Vertentes</v>
      </c>
      <c r="BC149" s="3">
        <v>102.59554131866248</v>
      </c>
      <c r="BD149" s="3">
        <v>91.049840591818636</v>
      </c>
      <c r="BE149" s="3">
        <v>-71.866813240251005</v>
      </c>
      <c r="BF149" s="3">
        <v>-19.749447741771419</v>
      </c>
      <c r="BG149" s="3">
        <v>-58.84938354098999</v>
      </c>
      <c r="BH149" s="3">
        <v>-7.1220688573663011</v>
      </c>
      <c r="BI149" s="3">
        <v>1.5195091697522969</v>
      </c>
      <c r="BJ149" s="3">
        <v>8.2529619916226125</v>
      </c>
      <c r="BK149" s="3">
        <v>50.785276018398051</v>
      </c>
      <c r="BL149" s="3">
        <v>50.456559127893428</v>
      </c>
      <c r="BM149" s="3">
        <v>63.377447116567311</v>
      </c>
      <c r="BN149" s="3">
        <v>46.103911537875462</v>
      </c>
      <c r="BO149" s="3">
        <v>33.107674537569238</v>
      </c>
      <c r="BP149" s="3">
        <v>23.181293527024877</v>
      </c>
      <c r="BQ149" s="3">
        <v>8.4527057734092352</v>
      </c>
      <c r="BR149" s="3">
        <v>3.8446554409642033</v>
      </c>
      <c r="BS149" s="3">
        <v>-4.4234873428839308</v>
      </c>
      <c r="BT149" s="3">
        <v>-4.8231744479756742</v>
      </c>
      <c r="BU149" s="3">
        <v>-3.7620208566241047</v>
      </c>
      <c r="BV149" s="3">
        <v>-1.3914157173016122</v>
      </c>
      <c r="BW149" s="3">
        <v>2.7743687707419724</v>
      </c>
      <c r="BX149" s="3">
        <v>4.0697326029431906</v>
      </c>
      <c r="BY149" s="3">
        <v>4.9112889072411861</v>
      </c>
      <c r="BZ149" s="3">
        <v>2.4209151019659885</v>
      </c>
      <c r="CA149" s="3">
        <v>-1.7453577636728426</v>
      </c>
      <c r="CB149" s="3">
        <v>-6.8961972389180346</v>
      </c>
      <c r="CC149" s="3">
        <v>-12.334058139570516</v>
      </c>
      <c r="CD149" s="3">
        <v>-16.348834177252456</v>
      </c>
      <c r="CE149" s="3">
        <v>-19.245482378534831</v>
      </c>
      <c r="CF149" s="3">
        <v>-20.494682933511683</v>
      </c>
      <c r="CG149" s="3">
        <v>-20.798901121462535</v>
      </c>
      <c r="CH149" s="3">
        <v>-20.676890482524442</v>
      </c>
      <c r="CI149" s="3">
        <v>-20.562505956553622</v>
      </c>
      <c r="CJ149" s="3">
        <v>-21.002135682254789</v>
      </c>
      <c r="CK149" s="3">
        <v>-21.965032380419956</v>
      </c>
      <c r="CL149" s="3">
        <v>-23.527405618746201</v>
      </c>
      <c r="CM149" s="3">
        <v>-25.443161112940857</v>
      </c>
      <c r="CN149" s="3">
        <v>-27.494171073832746</v>
      </c>
      <c r="CO149" s="3">
        <v>-29.48744410503889</v>
      </c>
      <c r="CP149" s="3">
        <v>-31.217727979408522</v>
      </c>
      <c r="CQ149" s="3">
        <v>-32.636184388529841</v>
      </c>
      <c r="CR149" s="3">
        <v>-33.704782894014755</v>
      </c>
      <c r="CS149" s="3">
        <v>-34.498833919365012</v>
      </c>
      <c r="CT149" s="3">
        <v>-35.122068378583123</v>
      </c>
      <c r="CU149" s="3">
        <v>-35.690230772283996</v>
      </c>
      <c r="CV149" s="3">
        <v>-36.318594470076789</v>
      </c>
      <c r="CW149" s="3">
        <v>-37.064327521395967</v>
      </c>
      <c r="CX149" s="3">
        <v>-37.94981031180896</v>
      </c>
      <c r="CY149" s="3">
        <v>-38.940853459123957</v>
      </c>
    </row>
    <row r="150" spans="1:103" x14ac:dyDescent="0.25">
      <c r="A150" t="s">
        <v>77</v>
      </c>
      <c r="B150" t="s">
        <v>5</v>
      </c>
      <c r="C150">
        <v>94.780490378463483</v>
      </c>
      <c r="D150">
        <v>81.191967450602206</v>
      </c>
      <c r="E150">
        <v>167.18522726249495</v>
      </c>
      <c r="F150">
        <v>76.302420035736517</v>
      </c>
      <c r="G150">
        <v>150.27069136925968</v>
      </c>
      <c r="H150">
        <v>131.01026493487436</v>
      </c>
      <c r="I150">
        <v>132.98530734895138</v>
      </c>
      <c r="J150">
        <v>146.48692127667908</v>
      </c>
      <c r="K150">
        <v>123.91033857493953</v>
      </c>
      <c r="L150">
        <v>145.97573607892099</v>
      </c>
      <c r="M150">
        <v>135.31441489317049</v>
      </c>
      <c r="N150">
        <v>145.05894661246205</v>
      </c>
      <c r="O150">
        <v>148.15413912716988</v>
      </c>
      <c r="P150">
        <v>148.00762814997009</v>
      </c>
      <c r="Q150">
        <v>156.84505756700418</v>
      </c>
      <c r="R150">
        <v>156.13243695566126</v>
      </c>
      <c r="S150">
        <v>162.7403663971765</v>
      </c>
      <c r="T150">
        <v>164.00656088984968</v>
      </c>
      <c r="U150">
        <v>165.81871456445765</v>
      </c>
      <c r="V150">
        <v>167.66531845794637</v>
      </c>
      <c r="W150">
        <v>167.09380082177353</v>
      </c>
      <c r="X150">
        <v>168.75660833971298</v>
      </c>
      <c r="Y150">
        <v>169.06814122657099</v>
      </c>
      <c r="Z150">
        <v>170.9597930460786</v>
      </c>
      <c r="AA150">
        <v>172.97797826594223</v>
      </c>
      <c r="AB150">
        <v>175.00540333574395</v>
      </c>
      <c r="AC150">
        <v>177.43103990420661</v>
      </c>
      <c r="AD150">
        <v>179.10495316281526</v>
      </c>
      <c r="AE150">
        <v>180.85516659717831</v>
      </c>
      <c r="AF150">
        <v>182.07558597766015</v>
      </c>
      <c r="AG150">
        <v>183.15615042973656</v>
      </c>
      <c r="AH150">
        <v>184.17039343786342</v>
      </c>
      <c r="AI150">
        <v>185.04717894117067</v>
      </c>
      <c r="AJ150">
        <v>186.05811217981341</v>
      </c>
      <c r="AK150">
        <v>187.02153560680244</v>
      </c>
      <c r="AL150">
        <v>188.08555683063832</v>
      </c>
      <c r="AM150">
        <v>189.17223949704203</v>
      </c>
      <c r="AN150">
        <v>190.26547200431506</v>
      </c>
      <c r="AO150">
        <v>191.37105460989505</v>
      </c>
      <c r="AP150">
        <v>192.40593757646965</v>
      </c>
      <c r="AQ150">
        <v>193.38937111684595</v>
      </c>
      <c r="AR150">
        <v>194.2734621942019</v>
      </c>
      <c r="AS150">
        <v>195.07468949979588</v>
      </c>
      <c r="AT150">
        <v>195.8085246209547</v>
      </c>
      <c r="AU150">
        <v>196.49226334771319</v>
      </c>
      <c r="AV150">
        <v>197.16354858824496</v>
      </c>
      <c r="AW150">
        <v>197.83066719025936</v>
      </c>
      <c r="AX150">
        <v>198.50879812484445</v>
      </c>
      <c r="AY150">
        <v>199.19127764932986</v>
      </c>
      <c r="BA150" s="1">
        <v>-1</v>
      </c>
      <c r="BB150" t="str">
        <f t="shared" si="2"/>
        <v>Mg - Campo das Vertentes</v>
      </c>
      <c r="BC150" s="3" t="s">
        <v>144</v>
      </c>
      <c r="BD150" s="3" t="s">
        <v>144</v>
      </c>
      <c r="BE150" s="3" t="s">
        <v>144</v>
      </c>
      <c r="BF150" s="3" t="s">
        <v>144</v>
      </c>
      <c r="BG150" s="3" t="s">
        <v>144</v>
      </c>
      <c r="BH150" s="3" t="s">
        <v>144</v>
      </c>
      <c r="BI150" s="3" t="s">
        <v>144</v>
      </c>
      <c r="BJ150" s="3" t="s">
        <v>144</v>
      </c>
      <c r="BK150" s="3" t="s">
        <v>144</v>
      </c>
      <c r="BL150" s="3" t="s">
        <v>144</v>
      </c>
      <c r="BM150" s="3" t="s">
        <v>144</v>
      </c>
      <c r="BN150" s="3" t="s">
        <v>144</v>
      </c>
      <c r="BO150" s="3" t="s">
        <v>144</v>
      </c>
      <c r="BP150" s="3" t="s">
        <v>144</v>
      </c>
      <c r="BQ150" s="3" t="s">
        <v>144</v>
      </c>
      <c r="BR150" s="3" t="s">
        <v>144</v>
      </c>
      <c r="BS150" s="3" t="s">
        <v>144</v>
      </c>
      <c r="BT150" s="3" t="s">
        <v>144</v>
      </c>
      <c r="BU150" s="3" t="s">
        <v>144</v>
      </c>
      <c r="BV150" s="3" t="s">
        <v>144</v>
      </c>
      <c r="BW150" s="3" t="s">
        <v>144</v>
      </c>
      <c r="BX150" s="3" t="s">
        <v>144</v>
      </c>
      <c r="BY150" s="3" t="s">
        <v>144</v>
      </c>
      <c r="BZ150" s="3" t="s">
        <v>144</v>
      </c>
      <c r="CA150" s="3" t="s">
        <v>144</v>
      </c>
      <c r="CB150" s="3" t="s">
        <v>144</v>
      </c>
      <c r="CC150" s="3" t="s">
        <v>144</v>
      </c>
      <c r="CD150" s="3" t="s">
        <v>144</v>
      </c>
      <c r="CE150" s="3" t="s">
        <v>144</v>
      </c>
      <c r="CF150" s="3" t="s">
        <v>144</v>
      </c>
      <c r="CG150" s="3" t="s">
        <v>144</v>
      </c>
      <c r="CH150" s="3" t="s">
        <v>144</v>
      </c>
      <c r="CI150" s="3" t="s">
        <v>144</v>
      </c>
      <c r="CJ150" s="3" t="s">
        <v>144</v>
      </c>
      <c r="CK150" s="3" t="s">
        <v>144</v>
      </c>
      <c r="CL150" s="3" t="s">
        <v>144</v>
      </c>
      <c r="CM150" s="3" t="s">
        <v>144</v>
      </c>
      <c r="CN150" s="3" t="s">
        <v>144</v>
      </c>
      <c r="CO150" s="3" t="s">
        <v>144</v>
      </c>
      <c r="CP150" s="3" t="s">
        <v>144</v>
      </c>
      <c r="CQ150" s="3" t="s">
        <v>144</v>
      </c>
      <c r="CR150" s="3" t="s">
        <v>144</v>
      </c>
      <c r="CS150" s="3" t="s">
        <v>144</v>
      </c>
      <c r="CT150" s="3" t="s">
        <v>144</v>
      </c>
      <c r="CU150" s="3" t="s">
        <v>144</v>
      </c>
      <c r="CV150" s="3" t="s">
        <v>144</v>
      </c>
      <c r="CW150" s="3" t="s">
        <v>144</v>
      </c>
      <c r="CX150" s="3" t="s">
        <v>144</v>
      </c>
      <c r="CY150" s="3" t="s">
        <v>144</v>
      </c>
    </row>
    <row r="151" spans="1:103" x14ac:dyDescent="0.25">
      <c r="A151" t="s">
        <v>78</v>
      </c>
      <c r="B151" t="s">
        <v>4</v>
      </c>
      <c r="C151">
        <v>1099.8041201055296</v>
      </c>
      <c r="D151">
        <v>655.1815868389275</v>
      </c>
      <c r="E151">
        <v>643.84543326460596</v>
      </c>
      <c r="F151">
        <v>318.52610943527145</v>
      </c>
      <c r="G151">
        <v>547.36370247008722</v>
      </c>
      <c r="H151">
        <v>707.24764918078336</v>
      </c>
      <c r="I151">
        <v>677.39632014233189</v>
      </c>
      <c r="J151">
        <v>858.18138027347356</v>
      </c>
      <c r="K151">
        <v>865.23138234693135</v>
      </c>
      <c r="L151">
        <v>992.41313454366559</v>
      </c>
      <c r="M151">
        <v>983.02101396554031</v>
      </c>
      <c r="N151">
        <v>946.39806527100222</v>
      </c>
      <c r="O151">
        <v>922.88189327610462</v>
      </c>
      <c r="P151">
        <v>855.3681890648769</v>
      </c>
      <c r="Q151">
        <v>841.00326255717073</v>
      </c>
      <c r="R151">
        <v>804.80571307601747</v>
      </c>
      <c r="S151">
        <v>801.74105200143993</v>
      </c>
      <c r="T151">
        <v>811.37895821650102</v>
      </c>
      <c r="U151">
        <v>825.93067706376337</v>
      </c>
      <c r="V151">
        <v>855.06755727968505</v>
      </c>
      <c r="W151">
        <v>871.24660726556829</v>
      </c>
      <c r="X151">
        <v>888.00669965413545</v>
      </c>
      <c r="Y151">
        <v>891.62042312147844</v>
      </c>
      <c r="Z151">
        <v>886.88236581520482</v>
      </c>
      <c r="AA151">
        <v>876.97523653158771</v>
      </c>
      <c r="AB151">
        <v>861.8817515275249</v>
      </c>
      <c r="AC151">
        <v>850.42663525161879</v>
      </c>
      <c r="AD151">
        <v>841.42005728641266</v>
      </c>
      <c r="AE151">
        <v>838.66119960715753</v>
      </c>
      <c r="AF151">
        <v>840.63996839125844</v>
      </c>
      <c r="AG151">
        <v>845.52685868190235</v>
      </c>
      <c r="AH151">
        <v>852.10676378679364</v>
      </c>
      <c r="AI151">
        <v>857.33003698834125</v>
      </c>
      <c r="AJ151">
        <v>860.81488382846771</v>
      </c>
      <c r="AK151">
        <v>861.48509285852651</v>
      </c>
      <c r="AL151">
        <v>859.84615558245878</v>
      </c>
      <c r="AM151">
        <v>856.73068079269524</v>
      </c>
      <c r="AN151">
        <v>852.9162963197108</v>
      </c>
      <c r="AO151">
        <v>849.56867986489601</v>
      </c>
      <c r="AP151">
        <v>847.12488220695593</v>
      </c>
      <c r="AQ151">
        <v>846.00943522406317</v>
      </c>
      <c r="AR151">
        <v>846.10476495912417</v>
      </c>
      <c r="AS151">
        <v>847.05820885341404</v>
      </c>
      <c r="AT151">
        <v>848.43291026984048</v>
      </c>
      <c r="AU151">
        <v>849.68316125812316</v>
      </c>
      <c r="AV151">
        <v>850.48433937865047</v>
      </c>
      <c r="AW151">
        <v>850.61968829232001</v>
      </c>
      <c r="AX151">
        <v>850.1147309139651</v>
      </c>
      <c r="AY151">
        <v>849.14786511783643</v>
      </c>
      <c r="BA151" s="1">
        <v>1</v>
      </c>
      <c r="BB151" t="str">
        <f t="shared" si="2"/>
        <v>Mg - Zona da Mata</v>
      </c>
      <c r="BC151" s="3">
        <v>772.02662167493611</v>
      </c>
      <c r="BD151" s="3">
        <v>313.29384104868319</v>
      </c>
      <c r="BE151" s="3">
        <v>-120.64881020133441</v>
      </c>
      <c r="BF151" s="3">
        <v>-56.599134402817015</v>
      </c>
      <c r="BG151" s="3">
        <v>-50.941279183046959</v>
      </c>
      <c r="BH151" s="3">
        <v>161.54473262602778</v>
      </c>
      <c r="BI151" s="3">
        <v>48.815827591543211</v>
      </c>
      <c r="BJ151" s="3">
        <v>155.27637369566628</v>
      </c>
      <c r="BK151" s="3">
        <v>236.60904805395717</v>
      </c>
      <c r="BL151" s="3">
        <v>264.91472132663614</v>
      </c>
      <c r="BM151" s="3">
        <v>289.2493314754206</v>
      </c>
      <c r="BN151" s="3">
        <v>217.49642438125727</v>
      </c>
      <c r="BO151" s="3">
        <v>201.22730319838024</v>
      </c>
      <c r="BP151" s="3">
        <v>147.95494005292085</v>
      </c>
      <c r="BQ151" s="3">
        <v>108.10729923046051</v>
      </c>
      <c r="BR151" s="3">
        <v>75.420084069893392</v>
      </c>
      <c r="BS151" s="3">
        <v>41.888749534141084</v>
      </c>
      <c r="BT151" s="3">
        <v>39.647083221435423</v>
      </c>
      <c r="BU151" s="3">
        <v>37.335295343770099</v>
      </c>
      <c r="BV151" s="3">
        <v>50.976631688126986</v>
      </c>
      <c r="BW151" s="3">
        <v>62.705766878322606</v>
      </c>
      <c r="BX151" s="3">
        <v>69.506701568336894</v>
      </c>
      <c r="BY151" s="3">
        <v>71.159435297543268</v>
      </c>
      <c r="BZ151" s="3">
        <v>59.828350344256933</v>
      </c>
      <c r="CA151" s="3">
        <v>43.981129534838942</v>
      </c>
      <c r="CB151" s="3">
        <v>22.711765154674822</v>
      </c>
      <c r="CC151" s="3">
        <v>3.0085467649029169</v>
      </c>
      <c r="CD151" s="3">
        <v>-12.502819896981123</v>
      </c>
      <c r="CE151" s="3">
        <v>-23.362006989108068</v>
      </c>
      <c r="CF151" s="3">
        <v>-28.426313574605729</v>
      </c>
      <c r="CG151" s="3">
        <v>-30.713474938595709</v>
      </c>
      <c r="CH151" s="3">
        <v>-31.062881782240424</v>
      </c>
      <c r="CI151" s="3">
        <v>-31.848744083009706</v>
      </c>
      <c r="CJ151" s="3">
        <v>-34.15622102941802</v>
      </c>
      <c r="CK151" s="3">
        <v>-38.277242211899079</v>
      </c>
      <c r="CL151" s="3">
        <v>-44.440438433056556</v>
      </c>
      <c r="CM151" s="3">
        <v>-51.765549087452314</v>
      </c>
      <c r="CN151" s="3">
        <v>-59.763279993333981</v>
      </c>
      <c r="CO151" s="3">
        <v>-67.536805126663467</v>
      </c>
      <c r="CP151" s="3">
        <v>-74.483015909661276</v>
      </c>
      <c r="CQ151" s="3">
        <v>-80.268669768256359</v>
      </c>
      <c r="CR151" s="3">
        <v>-84.73258033231275</v>
      </c>
      <c r="CS151" s="3">
        <v>-88.152028774820224</v>
      </c>
      <c r="CT151" s="3">
        <v>-90.864185937364823</v>
      </c>
      <c r="CU151" s="3">
        <v>-93.365360443575014</v>
      </c>
      <c r="CV151" s="3">
        <v>-96.058234243131778</v>
      </c>
      <c r="CW151" s="3">
        <v>-99.183848075559808</v>
      </c>
      <c r="CX151" s="3">
        <v>-102.81594635598185</v>
      </c>
      <c r="CY151" s="3">
        <v>-106.81613891619122</v>
      </c>
    </row>
    <row r="152" spans="1:103" x14ac:dyDescent="0.25">
      <c r="A152" t="s">
        <v>78</v>
      </c>
      <c r="B152" t="s">
        <v>5</v>
      </c>
      <c r="C152">
        <v>327.77749843059348</v>
      </c>
      <c r="D152">
        <v>341.88774579024431</v>
      </c>
      <c r="E152">
        <v>764.49424346594037</v>
      </c>
      <c r="F152">
        <v>375.12524383808847</v>
      </c>
      <c r="G152">
        <v>598.30498165313418</v>
      </c>
      <c r="H152">
        <v>545.70291655475557</v>
      </c>
      <c r="I152">
        <v>628.58049255078868</v>
      </c>
      <c r="J152">
        <v>702.90500657780728</v>
      </c>
      <c r="K152">
        <v>628.62233429297419</v>
      </c>
      <c r="L152">
        <v>727.49841321702945</v>
      </c>
      <c r="M152">
        <v>693.7716824901197</v>
      </c>
      <c r="N152">
        <v>728.90164088974495</v>
      </c>
      <c r="O152">
        <v>721.65459007772438</v>
      </c>
      <c r="P152">
        <v>707.41324901195605</v>
      </c>
      <c r="Q152">
        <v>732.89596332671022</v>
      </c>
      <c r="R152">
        <v>729.38562900612408</v>
      </c>
      <c r="S152">
        <v>759.85230246729884</v>
      </c>
      <c r="T152">
        <v>771.7318749950656</v>
      </c>
      <c r="U152">
        <v>788.59538171999327</v>
      </c>
      <c r="V152">
        <v>804.09092559155806</v>
      </c>
      <c r="W152">
        <v>808.54084038724568</v>
      </c>
      <c r="X152">
        <v>818.49999808579855</v>
      </c>
      <c r="Y152">
        <v>820.46098782393517</v>
      </c>
      <c r="Z152">
        <v>827.05401547094789</v>
      </c>
      <c r="AA152">
        <v>832.99410699674877</v>
      </c>
      <c r="AB152">
        <v>839.16998637285008</v>
      </c>
      <c r="AC152">
        <v>847.41808848671587</v>
      </c>
      <c r="AD152">
        <v>853.92287718339378</v>
      </c>
      <c r="AE152">
        <v>862.0232065962656</v>
      </c>
      <c r="AF152">
        <v>869.06628196586416</v>
      </c>
      <c r="AG152">
        <v>876.24033362049806</v>
      </c>
      <c r="AH152">
        <v>883.16964556903406</v>
      </c>
      <c r="AI152">
        <v>889.17878107135095</v>
      </c>
      <c r="AJ152">
        <v>894.97110485788573</v>
      </c>
      <c r="AK152">
        <v>899.76233507042559</v>
      </c>
      <c r="AL152">
        <v>904.28659401551533</v>
      </c>
      <c r="AM152">
        <v>908.49622988014755</v>
      </c>
      <c r="AN152">
        <v>912.67957631304478</v>
      </c>
      <c r="AO152">
        <v>917.10548499155948</v>
      </c>
      <c r="AP152">
        <v>921.60789811661721</v>
      </c>
      <c r="AQ152">
        <v>926.27810499231953</v>
      </c>
      <c r="AR152">
        <v>930.83734529143692</v>
      </c>
      <c r="AS152">
        <v>935.21023762823427</v>
      </c>
      <c r="AT152">
        <v>939.2970962072053</v>
      </c>
      <c r="AU152">
        <v>943.04852170169818</v>
      </c>
      <c r="AV152">
        <v>946.54257362178225</v>
      </c>
      <c r="AW152">
        <v>949.80353636787981</v>
      </c>
      <c r="AX152">
        <v>952.93067726994695</v>
      </c>
      <c r="AY152">
        <v>955.96400403402765</v>
      </c>
      <c r="BA152" s="1">
        <v>-1</v>
      </c>
      <c r="BB152" t="str">
        <f t="shared" si="2"/>
        <v>Mg - Zona da Mata</v>
      </c>
      <c r="BC152" s="3" t="s">
        <v>144</v>
      </c>
      <c r="BD152" s="3" t="s">
        <v>144</v>
      </c>
      <c r="BE152" s="3" t="s">
        <v>144</v>
      </c>
      <c r="BF152" s="3" t="s">
        <v>144</v>
      </c>
      <c r="BG152" s="3" t="s">
        <v>144</v>
      </c>
      <c r="BH152" s="3" t="s">
        <v>144</v>
      </c>
      <c r="BI152" s="3" t="s">
        <v>144</v>
      </c>
      <c r="BJ152" s="3" t="s">
        <v>144</v>
      </c>
      <c r="BK152" s="3" t="s">
        <v>144</v>
      </c>
      <c r="BL152" s="3" t="s">
        <v>144</v>
      </c>
      <c r="BM152" s="3" t="s">
        <v>144</v>
      </c>
      <c r="BN152" s="3" t="s">
        <v>144</v>
      </c>
      <c r="BO152" s="3" t="s">
        <v>144</v>
      </c>
      <c r="BP152" s="3" t="s">
        <v>144</v>
      </c>
      <c r="BQ152" s="3" t="s">
        <v>144</v>
      </c>
      <c r="BR152" s="3" t="s">
        <v>144</v>
      </c>
      <c r="BS152" s="3" t="s">
        <v>144</v>
      </c>
      <c r="BT152" s="3" t="s">
        <v>144</v>
      </c>
      <c r="BU152" s="3" t="s">
        <v>144</v>
      </c>
      <c r="BV152" s="3" t="s">
        <v>144</v>
      </c>
      <c r="BW152" s="3" t="s">
        <v>144</v>
      </c>
      <c r="BX152" s="3" t="s">
        <v>144</v>
      </c>
      <c r="BY152" s="3" t="s">
        <v>144</v>
      </c>
      <c r="BZ152" s="3" t="s">
        <v>144</v>
      </c>
      <c r="CA152" s="3" t="s">
        <v>144</v>
      </c>
      <c r="CB152" s="3" t="s">
        <v>144</v>
      </c>
      <c r="CC152" s="3" t="s">
        <v>144</v>
      </c>
      <c r="CD152" s="3" t="s">
        <v>144</v>
      </c>
      <c r="CE152" s="3" t="s">
        <v>144</v>
      </c>
      <c r="CF152" s="3" t="s">
        <v>144</v>
      </c>
      <c r="CG152" s="3" t="s">
        <v>144</v>
      </c>
      <c r="CH152" s="3" t="s">
        <v>144</v>
      </c>
      <c r="CI152" s="3" t="s">
        <v>144</v>
      </c>
      <c r="CJ152" s="3" t="s">
        <v>144</v>
      </c>
      <c r="CK152" s="3" t="s">
        <v>144</v>
      </c>
      <c r="CL152" s="3" t="s">
        <v>144</v>
      </c>
      <c r="CM152" s="3" t="s">
        <v>144</v>
      </c>
      <c r="CN152" s="3" t="s">
        <v>144</v>
      </c>
      <c r="CO152" s="3" t="s">
        <v>144</v>
      </c>
      <c r="CP152" s="3" t="s">
        <v>144</v>
      </c>
      <c r="CQ152" s="3" t="s">
        <v>144</v>
      </c>
      <c r="CR152" s="3" t="s">
        <v>144</v>
      </c>
      <c r="CS152" s="3" t="s">
        <v>144</v>
      </c>
      <c r="CT152" s="3" t="s">
        <v>144</v>
      </c>
      <c r="CU152" s="3" t="s">
        <v>144</v>
      </c>
      <c r="CV152" s="3" t="s">
        <v>144</v>
      </c>
      <c r="CW152" s="3" t="s">
        <v>144</v>
      </c>
      <c r="CX152" s="3" t="s">
        <v>144</v>
      </c>
      <c r="CY152" s="3" t="s">
        <v>144</v>
      </c>
    </row>
    <row r="153" spans="1:103" x14ac:dyDescent="0.25">
      <c r="A153" t="s">
        <v>79</v>
      </c>
      <c r="B153" t="s">
        <v>4</v>
      </c>
      <c r="C153">
        <v>266.07213955519478</v>
      </c>
      <c r="D153">
        <v>97.959453925860643</v>
      </c>
      <c r="E153">
        <v>66.324246342922763</v>
      </c>
      <c r="F153">
        <v>-25.173885216916464</v>
      </c>
      <c r="G153">
        <v>76.340653628298114</v>
      </c>
      <c r="H153">
        <v>99.071387590608637</v>
      </c>
      <c r="I153">
        <v>94.863168401296178</v>
      </c>
      <c r="J153">
        <v>139.94711760813209</v>
      </c>
      <c r="K153">
        <v>148.09670939718819</v>
      </c>
      <c r="L153">
        <v>188.22704986059642</v>
      </c>
      <c r="M153">
        <v>177.79098128254302</v>
      </c>
      <c r="N153">
        <v>169.62863961865807</v>
      </c>
      <c r="O153">
        <v>159.31741529439748</v>
      </c>
      <c r="P153">
        <v>140.47474476301221</v>
      </c>
      <c r="Q153">
        <v>133.57735807985529</v>
      </c>
      <c r="R153">
        <v>119.4726708520928</v>
      </c>
      <c r="S153">
        <v>117.33970712240001</v>
      </c>
      <c r="T153">
        <v>117.80095429364506</v>
      </c>
      <c r="U153">
        <v>122.10037910944382</v>
      </c>
      <c r="V153">
        <v>129.84954325359087</v>
      </c>
      <c r="W153">
        <v>134.35259606311928</v>
      </c>
      <c r="X153">
        <v>139.01127550173896</v>
      </c>
      <c r="Y153">
        <v>139.22346991350128</v>
      </c>
      <c r="Z153">
        <v>137.22889496542879</v>
      </c>
      <c r="AA153">
        <v>133.19736223604752</v>
      </c>
      <c r="AB153">
        <v>127.91204704095796</v>
      </c>
      <c r="AC153">
        <v>123.66606440624197</v>
      </c>
      <c r="AD153">
        <v>120.19354092506275</v>
      </c>
      <c r="AE153">
        <v>118.68889438728939</v>
      </c>
      <c r="AF153">
        <v>118.50518616683483</v>
      </c>
      <c r="AG153">
        <v>119.31315469345809</v>
      </c>
      <c r="AH153">
        <v>120.61997599880831</v>
      </c>
      <c r="AI153">
        <v>121.61714596805352</v>
      </c>
      <c r="AJ153">
        <v>122.16303894362356</v>
      </c>
      <c r="AK153">
        <v>121.89221807687873</v>
      </c>
      <c r="AL153">
        <v>120.96707396336551</v>
      </c>
      <c r="AM153">
        <v>119.56359264518754</v>
      </c>
      <c r="AN153">
        <v>117.93827549080598</v>
      </c>
      <c r="AO153">
        <v>116.42718116487406</v>
      </c>
      <c r="AP153">
        <v>115.18565069917719</v>
      </c>
      <c r="AQ153">
        <v>114.36670087034821</v>
      </c>
      <c r="AR153">
        <v>113.93944504237652</v>
      </c>
      <c r="AS153">
        <v>113.81269034826948</v>
      </c>
      <c r="AT153">
        <v>113.84270242779907</v>
      </c>
      <c r="AU153">
        <v>113.8610714557136</v>
      </c>
      <c r="AV153">
        <v>113.75987254927486</v>
      </c>
      <c r="AW153">
        <v>113.46639796274023</v>
      </c>
      <c r="AX153">
        <v>112.98759837076089</v>
      </c>
      <c r="AY153">
        <v>112.37433610843875</v>
      </c>
      <c r="BA153" s="1">
        <v>1</v>
      </c>
      <c r="BB153" t="str">
        <f t="shared" si="2"/>
        <v>Es - Noroeste ES</v>
      </c>
      <c r="BC153" s="3">
        <v>301.45882122217205</v>
      </c>
      <c r="BD153" s="3">
        <v>20.175334774183398</v>
      </c>
      <c r="BE153" s="3">
        <v>-30.55189160637201</v>
      </c>
      <c r="BF153" s="3">
        <v>4.3182949083487365</v>
      </c>
      <c r="BG153" s="3">
        <v>77.985473750839105</v>
      </c>
      <c r="BH153" s="3">
        <v>58.075210342593962</v>
      </c>
      <c r="BI153" s="3">
        <v>36.024081087101401</v>
      </c>
      <c r="BJ153" s="3">
        <v>67.443755370093157</v>
      </c>
      <c r="BK153" s="3">
        <v>77.879871037865072</v>
      </c>
      <c r="BL153" s="3">
        <v>85.993771067700308</v>
      </c>
      <c r="BM153" s="3">
        <v>66.696239916674472</v>
      </c>
      <c r="BN153" s="3">
        <v>56.775778408460212</v>
      </c>
      <c r="BO153" s="3">
        <v>49.877520778729917</v>
      </c>
      <c r="BP153" s="3">
        <v>39.070005250902142</v>
      </c>
      <c r="BQ153" s="3">
        <v>33.372788934328938</v>
      </c>
      <c r="BR153" s="3">
        <v>25.249340071081335</v>
      </c>
      <c r="BS153" s="3">
        <v>24.310969849392336</v>
      </c>
      <c r="BT153" s="3">
        <v>24.899384717497213</v>
      </c>
      <c r="BU153" s="3">
        <v>26.914284431817507</v>
      </c>
      <c r="BV153" s="3">
        <v>29.68950932193853</v>
      </c>
      <c r="BW153" s="3">
        <v>30.239009552962543</v>
      </c>
      <c r="BX153" s="3">
        <v>30.30186588831711</v>
      </c>
      <c r="BY153" s="3">
        <v>27.790721232120376</v>
      </c>
      <c r="BZ153" s="3">
        <v>24.123481988930124</v>
      </c>
      <c r="CA153" s="3">
        <v>19.728431891847109</v>
      </c>
      <c r="CB153" s="3">
        <v>15.325746340215829</v>
      </c>
      <c r="CC153" s="3">
        <v>12.045141243600796</v>
      </c>
      <c r="CD153" s="3">
        <v>9.6129050904877289</v>
      </c>
      <c r="CE153" s="3">
        <v>8.3711378221839681</v>
      </c>
      <c r="CF153" s="3">
        <v>7.7737574262785927</v>
      </c>
      <c r="CG153" s="3">
        <v>7.511691517038571</v>
      </c>
      <c r="CH153" s="3">
        <v>7.2588348901849997</v>
      </c>
      <c r="CI153" s="3">
        <v>6.6416612368306858</v>
      </c>
      <c r="CJ153" s="3">
        <v>5.665542023590092</v>
      </c>
      <c r="CK153" s="3">
        <v>4.2553341192254095</v>
      </c>
      <c r="CL153" s="3">
        <v>2.5837582124677567</v>
      </c>
      <c r="CM153" s="3">
        <v>0.7956197684002575</v>
      </c>
      <c r="CN153" s="3">
        <v>-0.95377396727074881</v>
      </c>
      <c r="CO153" s="3">
        <v>-2.5046532683336693</v>
      </c>
      <c r="CP153" s="3">
        <v>-3.8062239319356621</v>
      </c>
      <c r="CQ153" s="3">
        <v>-4.8241789643641653</v>
      </c>
      <c r="CR153" s="3">
        <v>-5.6184192675135449</v>
      </c>
      <c r="CS153" s="3">
        <v>-6.2713191452479293</v>
      </c>
      <c r="CT153" s="3">
        <v>-6.8784922736984697</v>
      </c>
      <c r="CU153" s="3">
        <v>-7.5292843215575687</v>
      </c>
      <c r="CV153" s="3">
        <v>-8.2674307833138272</v>
      </c>
      <c r="CW153" s="3">
        <v>-9.1073830189090756</v>
      </c>
      <c r="CX153" s="3">
        <v>-10.020149897283417</v>
      </c>
      <c r="CY153" s="3">
        <v>-10.958804738534084</v>
      </c>
    </row>
    <row r="154" spans="1:103" x14ac:dyDescent="0.25">
      <c r="A154" t="s">
        <v>79</v>
      </c>
      <c r="B154" t="s">
        <v>5</v>
      </c>
      <c r="C154">
        <v>-35.386681666977246</v>
      </c>
      <c r="D154">
        <v>77.784119151677245</v>
      </c>
      <c r="E154">
        <v>96.876137949294773</v>
      </c>
      <c r="F154">
        <v>-29.4921801252652</v>
      </c>
      <c r="G154">
        <v>-1.6448201225409971</v>
      </c>
      <c r="H154">
        <v>40.996177248014675</v>
      </c>
      <c r="I154">
        <v>58.839087314194778</v>
      </c>
      <c r="J154">
        <v>72.503362238038932</v>
      </c>
      <c r="K154">
        <v>70.21683835932312</v>
      </c>
      <c r="L154">
        <v>102.23327879289612</v>
      </c>
      <c r="M154">
        <v>111.09474136586854</v>
      </c>
      <c r="N154">
        <v>112.85286121019786</v>
      </c>
      <c r="O154">
        <v>109.43989451566756</v>
      </c>
      <c r="P154">
        <v>101.40473951211007</v>
      </c>
      <c r="Q154">
        <v>100.20456914552635</v>
      </c>
      <c r="R154">
        <v>94.22333078101147</v>
      </c>
      <c r="S154">
        <v>93.028737273007678</v>
      </c>
      <c r="T154">
        <v>92.90156957614785</v>
      </c>
      <c r="U154">
        <v>95.186094677626315</v>
      </c>
      <c r="V154">
        <v>100.16003393165234</v>
      </c>
      <c r="W154">
        <v>104.11358651015674</v>
      </c>
      <c r="X154">
        <v>108.70940961342185</v>
      </c>
      <c r="Y154">
        <v>111.4327486813809</v>
      </c>
      <c r="Z154">
        <v>113.10541297649867</v>
      </c>
      <c r="AA154">
        <v>113.46893034420042</v>
      </c>
      <c r="AB154">
        <v>112.58630070074213</v>
      </c>
      <c r="AC154">
        <v>111.62092316264118</v>
      </c>
      <c r="AD154">
        <v>110.58063583457502</v>
      </c>
      <c r="AE154">
        <v>110.31775656510543</v>
      </c>
      <c r="AF154">
        <v>110.73142874055624</v>
      </c>
      <c r="AG154">
        <v>111.80146317641952</v>
      </c>
      <c r="AH154">
        <v>113.36114110862331</v>
      </c>
      <c r="AI154">
        <v>114.97548473122283</v>
      </c>
      <c r="AJ154">
        <v>116.49749692003347</v>
      </c>
      <c r="AK154">
        <v>117.63688395765332</v>
      </c>
      <c r="AL154">
        <v>118.38331575089775</v>
      </c>
      <c r="AM154">
        <v>118.76797287678728</v>
      </c>
      <c r="AN154">
        <v>118.89204945807673</v>
      </c>
      <c r="AO154">
        <v>118.93183443320773</v>
      </c>
      <c r="AP154">
        <v>118.99187463111285</v>
      </c>
      <c r="AQ154">
        <v>119.19087983471238</v>
      </c>
      <c r="AR154">
        <v>119.55786430989006</v>
      </c>
      <c r="AS154">
        <v>120.08400949351741</v>
      </c>
      <c r="AT154">
        <v>120.72119470149754</v>
      </c>
      <c r="AU154">
        <v>121.39035577727117</v>
      </c>
      <c r="AV154">
        <v>122.02730333258869</v>
      </c>
      <c r="AW154">
        <v>122.57378098164931</v>
      </c>
      <c r="AX154">
        <v>123.00774826804431</v>
      </c>
      <c r="AY154">
        <v>123.33314084697284</v>
      </c>
      <c r="BA154" s="1">
        <v>-1</v>
      </c>
      <c r="BB154" t="str">
        <f t="shared" si="2"/>
        <v>Es - Noroeste ES</v>
      </c>
      <c r="BC154" s="3" t="s">
        <v>144</v>
      </c>
      <c r="BD154" s="3" t="s">
        <v>144</v>
      </c>
      <c r="BE154" s="3" t="s">
        <v>144</v>
      </c>
      <c r="BF154" s="3" t="s">
        <v>144</v>
      </c>
      <c r="BG154" s="3" t="s">
        <v>144</v>
      </c>
      <c r="BH154" s="3" t="s">
        <v>144</v>
      </c>
      <c r="BI154" s="3" t="s">
        <v>144</v>
      </c>
      <c r="BJ154" s="3" t="s">
        <v>144</v>
      </c>
      <c r="BK154" s="3" t="s">
        <v>144</v>
      </c>
      <c r="BL154" s="3" t="s">
        <v>144</v>
      </c>
      <c r="BM154" s="3" t="s">
        <v>144</v>
      </c>
      <c r="BN154" s="3" t="s">
        <v>144</v>
      </c>
      <c r="BO154" s="3" t="s">
        <v>144</v>
      </c>
      <c r="BP154" s="3" t="s">
        <v>144</v>
      </c>
      <c r="BQ154" s="3" t="s">
        <v>144</v>
      </c>
      <c r="BR154" s="3" t="s">
        <v>144</v>
      </c>
      <c r="BS154" s="3" t="s">
        <v>144</v>
      </c>
      <c r="BT154" s="3" t="s">
        <v>144</v>
      </c>
      <c r="BU154" s="3" t="s">
        <v>144</v>
      </c>
      <c r="BV154" s="3" t="s">
        <v>144</v>
      </c>
      <c r="BW154" s="3" t="s">
        <v>144</v>
      </c>
      <c r="BX154" s="3" t="s">
        <v>144</v>
      </c>
      <c r="BY154" s="3" t="s">
        <v>144</v>
      </c>
      <c r="BZ154" s="3" t="s">
        <v>144</v>
      </c>
      <c r="CA154" s="3" t="s">
        <v>144</v>
      </c>
      <c r="CB154" s="3" t="s">
        <v>144</v>
      </c>
      <c r="CC154" s="3" t="s">
        <v>144</v>
      </c>
      <c r="CD154" s="3" t="s">
        <v>144</v>
      </c>
      <c r="CE154" s="3" t="s">
        <v>144</v>
      </c>
      <c r="CF154" s="3" t="s">
        <v>144</v>
      </c>
      <c r="CG154" s="3" t="s">
        <v>144</v>
      </c>
      <c r="CH154" s="3" t="s">
        <v>144</v>
      </c>
      <c r="CI154" s="3" t="s">
        <v>144</v>
      </c>
      <c r="CJ154" s="3" t="s">
        <v>144</v>
      </c>
      <c r="CK154" s="3" t="s">
        <v>144</v>
      </c>
      <c r="CL154" s="3" t="s">
        <v>144</v>
      </c>
      <c r="CM154" s="3" t="s">
        <v>144</v>
      </c>
      <c r="CN154" s="3" t="s">
        <v>144</v>
      </c>
      <c r="CO154" s="3" t="s">
        <v>144</v>
      </c>
      <c r="CP154" s="3" t="s">
        <v>144</v>
      </c>
      <c r="CQ154" s="3" t="s">
        <v>144</v>
      </c>
      <c r="CR154" s="3" t="s">
        <v>144</v>
      </c>
      <c r="CS154" s="3" t="s">
        <v>144</v>
      </c>
      <c r="CT154" s="3" t="s">
        <v>144</v>
      </c>
      <c r="CU154" s="3" t="s">
        <v>144</v>
      </c>
      <c r="CV154" s="3" t="s">
        <v>144</v>
      </c>
      <c r="CW154" s="3" t="s">
        <v>144</v>
      </c>
      <c r="CX154" s="3" t="s">
        <v>144</v>
      </c>
      <c r="CY154" s="3" t="s">
        <v>144</v>
      </c>
    </row>
    <row r="155" spans="1:103" x14ac:dyDescent="0.25">
      <c r="A155" t="s">
        <v>80</v>
      </c>
      <c r="B155" t="s">
        <v>4</v>
      </c>
      <c r="C155">
        <v>650.33478007800124</v>
      </c>
      <c r="D155">
        <v>5.2599157048101395</v>
      </c>
      <c r="E155">
        <v>-128.08584187191494</v>
      </c>
      <c r="F155">
        <v>-359.34597352805594</v>
      </c>
      <c r="G155">
        <v>-117.2151231843974</v>
      </c>
      <c r="H155">
        <v>69.990864825786232</v>
      </c>
      <c r="I155">
        <v>40.268349298840988</v>
      </c>
      <c r="J155">
        <v>185.36676494254394</v>
      </c>
      <c r="K155">
        <v>216.61595732602268</v>
      </c>
      <c r="L155">
        <v>333.74322560326721</v>
      </c>
      <c r="M155">
        <v>324.89415708667781</v>
      </c>
      <c r="N155">
        <v>283.31281245743446</v>
      </c>
      <c r="O155">
        <v>261.15582412368485</v>
      </c>
      <c r="P155">
        <v>203.98924090976277</v>
      </c>
      <c r="Q155">
        <v>183.86036864761095</v>
      </c>
      <c r="R155">
        <v>144.23332690693385</v>
      </c>
      <c r="S155">
        <v>133.35147140519078</v>
      </c>
      <c r="T155">
        <v>140.7966282259882</v>
      </c>
      <c r="U155">
        <v>157.90141286124182</v>
      </c>
      <c r="V155">
        <v>190.26332081111258</v>
      </c>
      <c r="W155">
        <v>212.39524962860355</v>
      </c>
      <c r="X155">
        <v>232.30666274611514</v>
      </c>
      <c r="Y155">
        <v>238.15830509021012</v>
      </c>
      <c r="Z155">
        <v>233.34187011620364</v>
      </c>
      <c r="AA155">
        <v>222.13009475845922</v>
      </c>
      <c r="AB155">
        <v>206.17141937564153</v>
      </c>
      <c r="AC155">
        <v>194.07332679729896</v>
      </c>
      <c r="AD155">
        <v>185.63007382768484</v>
      </c>
      <c r="AE155">
        <v>183.69054205419528</v>
      </c>
      <c r="AF155">
        <v>186.69101491743078</v>
      </c>
      <c r="AG155">
        <v>192.52772539791789</v>
      </c>
      <c r="AH155">
        <v>199.81580251562468</v>
      </c>
      <c r="AI155">
        <v>205.79404037383702</v>
      </c>
      <c r="AJ155">
        <v>209.95992864878423</v>
      </c>
      <c r="AK155">
        <v>211.39346641063861</v>
      </c>
      <c r="AL155">
        <v>210.4586205402488</v>
      </c>
      <c r="AM155">
        <v>207.90236533510435</v>
      </c>
      <c r="AN155">
        <v>204.47996557688225</v>
      </c>
      <c r="AO155">
        <v>201.33531616933033</v>
      </c>
      <c r="AP155">
        <v>199.04566165394391</v>
      </c>
      <c r="AQ155">
        <v>198.11484780524498</v>
      </c>
      <c r="AR155">
        <v>198.51982025335587</v>
      </c>
      <c r="AS155">
        <v>199.92092129844184</v>
      </c>
      <c r="AT155">
        <v>201.83040443815617</v>
      </c>
      <c r="AU155">
        <v>203.64007098849072</v>
      </c>
      <c r="AV155">
        <v>204.94624136294524</v>
      </c>
      <c r="AW155">
        <v>205.50091506612253</v>
      </c>
      <c r="AX155">
        <v>205.32336236330775</v>
      </c>
      <c r="AY155">
        <v>204.61644181500333</v>
      </c>
      <c r="BA155" s="1">
        <v>1</v>
      </c>
      <c r="BB155" t="str">
        <f t="shared" si="2"/>
        <v>Es - Litoral Norte ES</v>
      </c>
      <c r="BC155" s="3">
        <v>564.55865120185547</v>
      </c>
      <c r="BD155" s="3">
        <v>-222.12268410487877</v>
      </c>
      <c r="BE155" s="3">
        <v>-358.09517703703784</v>
      </c>
      <c r="BF155" s="3">
        <v>-188.20779028579892</v>
      </c>
      <c r="BG155" s="3">
        <v>52.843406187679804</v>
      </c>
      <c r="BH155" s="3">
        <v>118.94958532779063</v>
      </c>
      <c r="BI155" s="3">
        <v>2.9425606736481811</v>
      </c>
      <c r="BJ155" s="3">
        <v>85.054847242583079</v>
      </c>
      <c r="BK155" s="3">
        <v>114.99599385788336</v>
      </c>
      <c r="BL155" s="3">
        <v>138.67293987343587</v>
      </c>
      <c r="BM155" s="3">
        <v>86.209114014059566</v>
      </c>
      <c r="BN155" s="3">
        <v>32.26946237030208</v>
      </c>
      <c r="BO155" s="3">
        <v>21.179490911647918</v>
      </c>
      <c r="BP155" s="3">
        <v>-7.9932179489447037</v>
      </c>
      <c r="BQ155" s="3">
        <v>-17.78941260504476</v>
      </c>
      <c r="BR155" s="3">
        <v>-34.31138536364287</v>
      </c>
      <c r="BS155" s="3">
        <v>-32.638647422590822</v>
      </c>
      <c r="BT155" s="3">
        <v>-18.074965639413193</v>
      </c>
      <c r="BU155" s="3">
        <v>-4.3949931836459655</v>
      </c>
      <c r="BV155" s="3">
        <v>12.074923933983882</v>
      </c>
      <c r="BW155" s="3">
        <v>17.368440505455993</v>
      </c>
      <c r="BX155" s="3">
        <v>17.947406317875505</v>
      </c>
      <c r="BY155" s="3">
        <v>10.429448813700105</v>
      </c>
      <c r="BZ155" s="3">
        <v>-2.1125818752149144</v>
      </c>
      <c r="CA155" s="3">
        <v>-14.63049520710544</v>
      </c>
      <c r="CB155" s="3">
        <v>-26.093444099239406</v>
      </c>
      <c r="CC155" s="3">
        <v>-32.206559839818368</v>
      </c>
      <c r="CD155" s="3">
        <v>-34.586678040491933</v>
      </c>
      <c r="CE155" s="3">
        <v>-33.470853331532766</v>
      </c>
      <c r="CF155" s="3">
        <v>-30.62150360036182</v>
      </c>
      <c r="CG155" s="3">
        <v>-27.908359332334385</v>
      </c>
      <c r="CH155" s="3">
        <v>-25.922145167385253</v>
      </c>
      <c r="CI155" s="3">
        <v>-25.807373330940209</v>
      </c>
      <c r="CJ155" s="3">
        <v>-27.242350994594233</v>
      </c>
      <c r="CK155" s="3">
        <v>-30.095624136127896</v>
      </c>
      <c r="CL155" s="3">
        <v>-33.777978136371445</v>
      </c>
      <c r="CM155" s="3">
        <v>-37.592207826269174</v>
      </c>
      <c r="CN155" s="3">
        <v>-41.106521456632493</v>
      </c>
      <c r="CO155" s="3">
        <v>-43.793350827598545</v>
      </c>
      <c r="CP155" s="3">
        <v>-45.557819712943797</v>
      </c>
      <c r="CQ155" s="3">
        <v>-46.411790444897207</v>
      </c>
      <c r="CR155" s="3">
        <v>-46.621851853043552</v>
      </c>
      <c r="CS155" s="3">
        <v>-46.578036257638075</v>
      </c>
      <c r="CT155" s="3">
        <v>-46.622290890614266</v>
      </c>
      <c r="CU155" s="3">
        <v>-47.05386662096501</v>
      </c>
      <c r="CV155" s="3">
        <v>-47.966198108870259</v>
      </c>
      <c r="CW155" s="3">
        <v>-49.321545807301021</v>
      </c>
      <c r="CX155" s="3">
        <v>-50.951733597852808</v>
      </c>
      <c r="CY155" s="3">
        <v>-52.636163598832525</v>
      </c>
    </row>
    <row r="156" spans="1:103" x14ac:dyDescent="0.25">
      <c r="A156" t="s">
        <v>80</v>
      </c>
      <c r="B156" t="s">
        <v>5</v>
      </c>
      <c r="C156">
        <v>85.776128876145805</v>
      </c>
      <c r="D156">
        <v>227.38259980968891</v>
      </c>
      <c r="E156">
        <v>230.00933516512288</v>
      </c>
      <c r="F156">
        <v>-171.13818324225701</v>
      </c>
      <c r="G156">
        <v>-170.0585293720772</v>
      </c>
      <c r="H156">
        <v>-48.958720502004397</v>
      </c>
      <c r="I156">
        <v>37.325788625192807</v>
      </c>
      <c r="J156">
        <v>100.31191769996086</v>
      </c>
      <c r="K156">
        <v>101.61996346813932</v>
      </c>
      <c r="L156">
        <v>195.07028572983134</v>
      </c>
      <c r="M156">
        <v>238.68504307261824</v>
      </c>
      <c r="N156">
        <v>251.04335008713238</v>
      </c>
      <c r="O156">
        <v>239.97633321203693</v>
      </c>
      <c r="P156">
        <v>211.98245885870747</v>
      </c>
      <c r="Q156">
        <v>201.64978125265571</v>
      </c>
      <c r="R156">
        <v>178.54471227057672</v>
      </c>
      <c r="S156">
        <v>165.9901188277816</v>
      </c>
      <c r="T156">
        <v>158.87159386540139</v>
      </c>
      <c r="U156">
        <v>162.29640604488779</v>
      </c>
      <c r="V156">
        <v>178.1883968771287</v>
      </c>
      <c r="W156">
        <v>195.02680912314756</v>
      </c>
      <c r="X156">
        <v>214.35925642823963</v>
      </c>
      <c r="Y156">
        <v>227.72885627651002</v>
      </c>
      <c r="Z156">
        <v>235.45445199141855</v>
      </c>
      <c r="AA156">
        <v>236.76058996556466</v>
      </c>
      <c r="AB156">
        <v>232.26486347488094</v>
      </c>
      <c r="AC156">
        <v>226.27988663711733</v>
      </c>
      <c r="AD156">
        <v>220.21675186817677</v>
      </c>
      <c r="AE156">
        <v>217.16139538572804</v>
      </c>
      <c r="AF156">
        <v>217.3125185177926</v>
      </c>
      <c r="AG156">
        <v>220.43608473025228</v>
      </c>
      <c r="AH156">
        <v>225.73794768300993</v>
      </c>
      <c r="AI156">
        <v>231.60141370477723</v>
      </c>
      <c r="AJ156">
        <v>237.20227964337846</v>
      </c>
      <c r="AK156">
        <v>241.4890905467665</v>
      </c>
      <c r="AL156">
        <v>244.23659867662025</v>
      </c>
      <c r="AM156">
        <v>245.49457316137352</v>
      </c>
      <c r="AN156">
        <v>245.58648703351474</v>
      </c>
      <c r="AO156">
        <v>245.12866699692887</v>
      </c>
      <c r="AP156">
        <v>244.60348136688771</v>
      </c>
      <c r="AQ156">
        <v>244.52663825014218</v>
      </c>
      <c r="AR156">
        <v>245.14167210639943</v>
      </c>
      <c r="AS156">
        <v>246.49895755607992</v>
      </c>
      <c r="AT156">
        <v>248.45269532877043</v>
      </c>
      <c r="AU156">
        <v>250.69393760945573</v>
      </c>
      <c r="AV156">
        <v>252.9124394718155</v>
      </c>
      <c r="AW156">
        <v>254.82246087342355</v>
      </c>
      <c r="AX156">
        <v>256.27509596116056</v>
      </c>
      <c r="AY156">
        <v>257.25260541383585</v>
      </c>
      <c r="BA156" s="1">
        <v>-1</v>
      </c>
      <c r="BB156" t="str">
        <f t="shared" si="2"/>
        <v>Es - Litoral Norte ES</v>
      </c>
      <c r="BC156" s="3" t="s">
        <v>144</v>
      </c>
      <c r="BD156" s="3" t="s">
        <v>144</v>
      </c>
      <c r="BE156" s="3" t="s">
        <v>144</v>
      </c>
      <c r="BF156" s="3" t="s">
        <v>144</v>
      </c>
      <c r="BG156" s="3" t="s">
        <v>144</v>
      </c>
      <c r="BH156" s="3" t="s">
        <v>144</v>
      </c>
      <c r="BI156" s="3" t="s">
        <v>144</v>
      </c>
      <c r="BJ156" s="3" t="s">
        <v>144</v>
      </c>
      <c r="BK156" s="3" t="s">
        <v>144</v>
      </c>
      <c r="BL156" s="3" t="s">
        <v>144</v>
      </c>
      <c r="BM156" s="3" t="s">
        <v>144</v>
      </c>
      <c r="BN156" s="3" t="s">
        <v>144</v>
      </c>
      <c r="BO156" s="3" t="s">
        <v>144</v>
      </c>
      <c r="BP156" s="3" t="s">
        <v>144</v>
      </c>
      <c r="BQ156" s="3" t="s">
        <v>144</v>
      </c>
      <c r="BR156" s="3" t="s">
        <v>144</v>
      </c>
      <c r="BS156" s="3" t="s">
        <v>144</v>
      </c>
      <c r="BT156" s="3" t="s">
        <v>144</v>
      </c>
      <c r="BU156" s="3" t="s">
        <v>144</v>
      </c>
      <c r="BV156" s="3" t="s">
        <v>144</v>
      </c>
      <c r="BW156" s="3" t="s">
        <v>144</v>
      </c>
      <c r="BX156" s="3" t="s">
        <v>144</v>
      </c>
      <c r="BY156" s="3" t="s">
        <v>144</v>
      </c>
      <c r="BZ156" s="3" t="s">
        <v>144</v>
      </c>
      <c r="CA156" s="3" t="s">
        <v>144</v>
      </c>
      <c r="CB156" s="3" t="s">
        <v>144</v>
      </c>
      <c r="CC156" s="3" t="s">
        <v>144</v>
      </c>
      <c r="CD156" s="3" t="s">
        <v>144</v>
      </c>
      <c r="CE156" s="3" t="s">
        <v>144</v>
      </c>
      <c r="CF156" s="3" t="s">
        <v>144</v>
      </c>
      <c r="CG156" s="3" t="s">
        <v>144</v>
      </c>
      <c r="CH156" s="3" t="s">
        <v>144</v>
      </c>
      <c r="CI156" s="3" t="s">
        <v>144</v>
      </c>
      <c r="CJ156" s="3" t="s">
        <v>144</v>
      </c>
      <c r="CK156" s="3" t="s">
        <v>144</v>
      </c>
      <c r="CL156" s="3" t="s">
        <v>144</v>
      </c>
      <c r="CM156" s="3" t="s">
        <v>144</v>
      </c>
      <c r="CN156" s="3" t="s">
        <v>144</v>
      </c>
      <c r="CO156" s="3" t="s">
        <v>144</v>
      </c>
      <c r="CP156" s="3" t="s">
        <v>144</v>
      </c>
      <c r="CQ156" s="3" t="s">
        <v>144</v>
      </c>
      <c r="CR156" s="3" t="s">
        <v>144</v>
      </c>
      <c r="CS156" s="3" t="s">
        <v>144</v>
      </c>
      <c r="CT156" s="3" t="s">
        <v>144</v>
      </c>
      <c r="CU156" s="3" t="s">
        <v>144</v>
      </c>
      <c r="CV156" s="3" t="s">
        <v>144</v>
      </c>
      <c r="CW156" s="3" t="s">
        <v>144</v>
      </c>
      <c r="CX156" s="3" t="s">
        <v>144</v>
      </c>
      <c r="CY156" s="3" t="s">
        <v>144</v>
      </c>
    </row>
    <row r="157" spans="1:103" x14ac:dyDescent="0.25">
      <c r="A157" t="s">
        <v>81</v>
      </c>
      <c r="B157" t="s">
        <v>4</v>
      </c>
      <c r="C157">
        <v>1327.1585263044262</v>
      </c>
      <c r="D157">
        <v>1184.4283947113279</v>
      </c>
      <c r="E157">
        <v>1384.6192513309736</v>
      </c>
      <c r="F157">
        <v>1374.2678114260666</v>
      </c>
      <c r="G157">
        <v>1406.4685168827066</v>
      </c>
      <c r="H157">
        <v>1773.7934304559417</v>
      </c>
      <c r="I157">
        <v>1685.794374123499</v>
      </c>
      <c r="J157">
        <v>1847.5429079895725</v>
      </c>
      <c r="K157">
        <v>1798.847935505574</v>
      </c>
      <c r="L157">
        <v>1803.1394113834815</v>
      </c>
      <c r="M157">
        <v>1793.7229828813724</v>
      </c>
      <c r="N157">
        <v>1677.997491973832</v>
      </c>
      <c r="O157">
        <v>1643.1041367814637</v>
      </c>
      <c r="P157">
        <v>1557.4825203771177</v>
      </c>
      <c r="Q157">
        <v>1545.7877915857518</v>
      </c>
      <c r="R157">
        <v>1547.5341843229864</v>
      </c>
      <c r="S157">
        <v>1565.3637373804961</v>
      </c>
      <c r="T157">
        <v>1610.8580957163276</v>
      </c>
      <c r="U157">
        <v>1634.8501824343134</v>
      </c>
      <c r="V157">
        <v>1662.9142396052823</v>
      </c>
      <c r="W157">
        <v>1664.5400593747215</v>
      </c>
      <c r="X157">
        <v>1654.6523620097321</v>
      </c>
      <c r="Y157">
        <v>1636.6365790063887</v>
      </c>
      <c r="Z157">
        <v>1611.6970780644183</v>
      </c>
      <c r="AA157">
        <v>1593.6559168587382</v>
      </c>
      <c r="AB157">
        <v>1577.7799083912528</v>
      </c>
      <c r="AC157">
        <v>1571.2352958675751</v>
      </c>
      <c r="AD157">
        <v>1570.4045183502569</v>
      </c>
      <c r="AE157">
        <v>1573.8262372449879</v>
      </c>
      <c r="AF157">
        <v>1580.2648851185118</v>
      </c>
      <c r="AG157">
        <v>1585.4113734550849</v>
      </c>
      <c r="AH157">
        <v>1589.2815844058805</v>
      </c>
      <c r="AI157">
        <v>1589.4858700795412</v>
      </c>
      <c r="AJ157">
        <v>1586.5481434020232</v>
      </c>
      <c r="AK157">
        <v>1581.0492921816669</v>
      </c>
      <c r="AL157">
        <v>1573.9428029702715</v>
      </c>
      <c r="AM157">
        <v>1567.092307947102</v>
      </c>
      <c r="AN157">
        <v>1561.2804828419069</v>
      </c>
      <c r="AO157">
        <v>1557.5182581234917</v>
      </c>
      <c r="AP157">
        <v>1555.7506628577869</v>
      </c>
      <c r="AQ157">
        <v>1555.5606867848396</v>
      </c>
      <c r="AR157">
        <v>1556.2589363614984</v>
      </c>
      <c r="AS157">
        <v>1556.9331484868894</v>
      </c>
      <c r="AT157">
        <v>1557.043801111221</v>
      </c>
      <c r="AU157">
        <v>1556.1924539826182</v>
      </c>
      <c r="AV157">
        <v>1554.4104047296667</v>
      </c>
      <c r="AW157">
        <v>1551.9447785187754</v>
      </c>
      <c r="AX157">
        <v>1549.1629327797107</v>
      </c>
      <c r="AY157">
        <v>1546.4762940937162</v>
      </c>
      <c r="BA157" s="1">
        <v>1</v>
      </c>
      <c r="BB157" t="str">
        <f t="shared" si="2"/>
        <v>Es - Central ES</v>
      </c>
      <c r="BC157" s="3">
        <v>869.11200165272601</v>
      </c>
      <c r="BD157" s="3">
        <v>817.89554937679281</v>
      </c>
      <c r="BE157" s="3">
        <v>440.51230634977003</v>
      </c>
      <c r="BF157" s="3">
        <v>825.11211846961089</v>
      </c>
      <c r="BG157" s="3">
        <v>445.77893028698372</v>
      </c>
      <c r="BH157" s="3">
        <v>683.07987504527227</v>
      </c>
      <c r="BI157" s="3">
        <v>502.311757448344</v>
      </c>
      <c r="BJ157" s="3">
        <v>508.21665707384091</v>
      </c>
      <c r="BK157" s="3">
        <v>566.06133242086071</v>
      </c>
      <c r="BL157" s="3">
        <v>460.16079347936306</v>
      </c>
      <c r="BM157" s="3">
        <v>518.93841305433511</v>
      </c>
      <c r="BN157" s="3">
        <v>415.34530661077929</v>
      </c>
      <c r="BO157" s="3">
        <v>402.18647167078325</v>
      </c>
      <c r="BP157" s="3">
        <v>355.44623834156687</v>
      </c>
      <c r="BQ157" s="3">
        <v>303.45791814176891</v>
      </c>
      <c r="BR157" s="3">
        <v>293.01050318857983</v>
      </c>
      <c r="BS157" s="3">
        <v>248.02551642319781</v>
      </c>
      <c r="BT157" s="3">
        <v>242.78784094270213</v>
      </c>
      <c r="BU157" s="3">
        <v>218.93147255865256</v>
      </c>
      <c r="BV157" s="3">
        <v>203.25917301210234</v>
      </c>
      <c r="BW157" s="3">
        <v>189.01890567110399</v>
      </c>
      <c r="BX157" s="3">
        <v>165.1834257099456</v>
      </c>
      <c r="BY157" s="3">
        <v>149.28081496288564</v>
      </c>
      <c r="BZ157" s="3">
        <v>124.30105520791017</v>
      </c>
      <c r="CA157" s="3">
        <v>103.50440565588792</v>
      </c>
      <c r="CB157" s="3">
        <v>81.149051116902228</v>
      </c>
      <c r="CC157" s="3">
        <v>59.232317541993552</v>
      </c>
      <c r="CD157" s="3">
        <v>40.858687924471042</v>
      </c>
      <c r="CE157" s="3">
        <v>22.307452255310636</v>
      </c>
      <c r="CF157" s="3">
        <v>7.4510811151599228</v>
      </c>
      <c r="CG157" s="3">
        <v>-6.9941543080410611</v>
      </c>
      <c r="CH157" s="3">
        <v>-20.15283872702571</v>
      </c>
      <c r="CI157" s="3">
        <v>-32.878852610403328</v>
      </c>
      <c r="CJ157" s="3">
        <v>-46.184786413522033</v>
      </c>
      <c r="CK157" s="3">
        <v>-59.318569937585835</v>
      </c>
      <c r="CL157" s="3">
        <v>-73.093356920742053</v>
      </c>
      <c r="CM157" s="3">
        <v>-86.593414215434905</v>
      </c>
      <c r="CN157" s="3">
        <v>-99.830916260786125</v>
      </c>
      <c r="CO157" s="3">
        <v>-112.48070962624161</v>
      </c>
      <c r="CP157" s="3">
        <v>-124.24921015517907</v>
      </c>
      <c r="CQ157" s="3">
        <v>-135.3204388047559</v>
      </c>
      <c r="CR157" s="3">
        <v>-145.57033484449448</v>
      </c>
      <c r="CS157" s="3">
        <v>-155.29384382574131</v>
      </c>
      <c r="CT157" s="3">
        <v>-164.57966000940792</v>
      </c>
      <c r="CU157" s="3">
        <v>-173.5802495076764</v>
      </c>
      <c r="CV157" s="3">
        <v>-182.42249108636042</v>
      </c>
      <c r="CW157" s="3">
        <v>-191.0992186741455</v>
      </c>
      <c r="CX157" s="3">
        <v>-199.6492688450478</v>
      </c>
      <c r="CY157" s="3">
        <v>-207.99510814312134</v>
      </c>
    </row>
    <row r="158" spans="1:103" x14ac:dyDescent="0.25">
      <c r="A158" t="s">
        <v>81</v>
      </c>
      <c r="B158" t="s">
        <v>5</v>
      </c>
      <c r="C158">
        <v>458.04652465170022</v>
      </c>
      <c r="D158">
        <v>366.53284533453501</v>
      </c>
      <c r="E158">
        <v>944.10694498120358</v>
      </c>
      <c r="F158">
        <v>549.15569295645571</v>
      </c>
      <c r="G158">
        <v>960.68958659572286</v>
      </c>
      <c r="H158">
        <v>1090.7135554106694</v>
      </c>
      <c r="I158">
        <v>1183.482616675155</v>
      </c>
      <c r="J158">
        <v>1339.3262509157316</v>
      </c>
      <c r="K158">
        <v>1232.7866030847133</v>
      </c>
      <c r="L158">
        <v>1342.9786179041184</v>
      </c>
      <c r="M158">
        <v>1274.7845698270373</v>
      </c>
      <c r="N158">
        <v>1262.6521853630527</v>
      </c>
      <c r="O158">
        <v>1240.9176651106804</v>
      </c>
      <c r="P158">
        <v>1202.0362820355508</v>
      </c>
      <c r="Q158">
        <v>1242.3298734439829</v>
      </c>
      <c r="R158">
        <v>1254.5236811344066</v>
      </c>
      <c r="S158">
        <v>1317.3382209572983</v>
      </c>
      <c r="T158">
        <v>1368.0702547736255</v>
      </c>
      <c r="U158">
        <v>1415.9187098756609</v>
      </c>
      <c r="V158">
        <v>1459.65506659318</v>
      </c>
      <c r="W158">
        <v>1475.5211537036175</v>
      </c>
      <c r="X158">
        <v>1489.4689362997865</v>
      </c>
      <c r="Y158">
        <v>1487.3557640435031</v>
      </c>
      <c r="Z158">
        <v>1487.3960228565081</v>
      </c>
      <c r="AA158">
        <v>1490.1515112028503</v>
      </c>
      <c r="AB158">
        <v>1496.6308572743505</v>
      </c>
      <c r="AC158">
        <v>1512.0029783255816</v>
      </c>
      <c r="AD158">
        <v>1529.5458304257859</v>
      </c>
      <c r="AE158">
        <v>1551.5187849896772</v>
      </c>
      <c r="AF158">
        <v>1572.8138040033518</v>
      </c>
      <c r="AG158">
        <v>1592.405527763126</v>
      </c>
      <c r="AH158">
        <v>1609.4344231329062</v>
      </c>
      <c r="AI158">
        <v>1622.3647226899445</v>
      </c>
      <c r="AJ158">
        <v>1632.7329298155453</v>
      </c>
      <c r="AK158">
        <v>1640.3678621192528</v>
      </c>
      <c r="AL158">
        <v>1647.0361598910135</v>
      </c>
      <c r="AM158">
        <v>1653.6857221625369</v>
      </c>
      <c r="AN158">
        <v>1661.111399102693</v>
      </c>
      <c r="AO158">
        <v>1669.9989677497333</v>
      </c>
      <c r="AP158">
        <v>1679.999873012966</v>
      </c>
      <c r="AQ158">
        <v>1690.8811255895955</v>
      </c>
      <c r="AR158">
        <v>1701.8292712059929</v>
      </c>
      <c r="AS158">
        <v>1712.2269923126307</v>
      </c>
      <c r="AT158">
        <v>1721.6234611206289</v>
      </c>
      <c r="AU158">
        <v>1729.7727034902946</v>
      </c>
      <c r="AV158">
        <v>1736.8328958160271</v>
      </c>
      <c r="AW158">
        <v>1743.0439971929209</v>
      </c>
      <c r="AX158">
        <v>1748.8122016247585</v>
      </c>
      <c r="AY158">
        <v>1754.4714022368375</v>
      </c>
      <c r="BA158" s="1">
        <v>-1</v>
      </c>
      <c r="BB158" t="str">
        <f t="shared" si="2"/>
        <v>Es - Central ES</v>
      </c>
      <c r="BC158" s="3" t="s">
        <v>144</v>
      </c>
      <c r="BD158" s="3" t="s">
        <v>144</v>
      </c>
      <c r="BE158" s="3" t="s">
        <v>144</v>
      </c>
      <c r="BF158" s="3" t="s">
        <v>144</v>
      </c>
      <c r="BG158" s="3" t="s">
        <v>144</v>
      </c>
      <c r="BH158" s="3" t="s">
        <v>144</v>
      </c>
      <c r="BI158" s="3" t="s">
        <v>144</v>
      </c>
      <c r="BJ158" s="3" t="s">
        <v>144</v>
      </c>
      <c r="BK158" s="3" t="s">
        <v>144</v>
      </c>
      <c r="BL158" s="3" t="s">
        <v>144</v>
      </c>
      <c r="BM158" s="3" t="s">
        <v>144</v>
      </c>
      <c r="BN158" s="3" t="s">
        <v>144</v>
      </c>
      <c r="BO158" s="3" t="s">
        <v>144</v>
      </c>
      <c r="BP158" s="3" t="s">
        <v>144</v>
      </c>
      <c r="BQ158" s="3" t="s">
        <v>144</v>
      </c>
      <c r="BR158" s="3" t="s">
        <v>144</v>
      </c>
      <c r="BS158" s="3" t="s">
        <v>144</v>
      </c>
      <c r="BT158" s="3" t="s">
        <v>144</v>
      </c>
      <c r="BU158" s="3" t="s">
        <v>144</v>
      </c>
      <c r="BV158" s="3" t="s">
        <v>144</v>
      </c>
      <c r="BW158" s="3" t="s">
        <v>144</v>
      </c>
      <c r="BX158" s="3" t="s">
        <v>144</v>
      </c>
      <c r="BY158" s="3" t="s">
        <v>144</v>
      </c>
      <c r="BZ158" s="3" t="s">
        <v>144</v>
      </c>
      <c r="CA158" s="3" t="s">
        <v>144</v>
      </c>
      <c r="CB158" s="3" t="s">
        <v>144</v>
      </c>
      <c r="CC158" s="3" t="s">
        <v>144</v>
      </c>
      <c r="CD158" s="3" t="s">
        <v>144</v>
      </c>
      <c r="CE158" s="3" t="s">
        <v>144</v>
      </c>
      <c r="CF158" s="3" t="s">
        <v>144</v>
      </c>
      <c r="CG158" s="3" t="s">
        <v>144</v>
      </c>
      <c r="CH158" s="3" t="s">
        <v>144</v>
      </c>
      <c r="CI158" s="3" t="s">
        <v>144</v>
      </c>
      <c r="CJ158" s="3" t="s">
        <v>144</v>
      </c>
      <c r="CK158" s="3" t="s">
        <v>144</v>
      </c>
      <c r="CL158" s="3" t="s">
        <v>144</v>
      </c>
      <c r="CM158" s="3" t="s">
        <v>144</v>
      </c>
      <c r="CN158" s="3" t="s">
        <v>144</v>
      </c>
      <c r="CO158" s="3" t="s">
        <v>144</v>
      </c>
      <c r="CP158" s="3" t="s">
        <v>144</v>
      </c>
      <c r="CQ158" s="3" t="s">
        <v>144</v>
      </c>
      <c r="CR158" s="3" t="s">
        <v>144</v>
      </c>
      <c r="CS158" s="3" t="s">
        <v>144</v>
      </c>
      <c r="CT158" s="3" t="s">
        <v>144</v>
      </c>
      <c r="CU158" s="3" t="s">
        <v>144</v>
      </c>
      <c r="CV158" s="3" t="s">
        <v>144</v>
      </c>
      <c r="CW158" s="3" t="s">
        <v>144</v>
      </c>
      <c r="CX158" s="3" t="s">
        <v>144</v>
      </c>
      <c r="CY158" s="3" t="s">
        <v>144</v>
      </c>
    </row>
    <row r="159" spans="1:103" x14ac:dyDescent="0.25">
      <c r="A159" t="s">
        <v>82</v>
      </c>
      <c r="B159" t="s">
        <v>4</v>
      </c>
      <c r="C159">
        <v>178.42602674111353</v>
      </c>
      <c r="D159">
        <v>116.95829306132165</v>
      </c>
      <c r="E159">
        <v>98.215434380732461</v>
      </c>
      <c r="F159">
        <v>56.025648819621331</v>
      </c>
      <c r="G159">
        <v>48.140084221620775</v>
      </c>
      <c r="H159">
        <v>100.62323617168019</v>
      </c>
      <c r="I159">
        <v>99.493982209430811</v>
      </c>
      <c r="J159">
        <v>123.14909066255163</v>
      </c>
      <c r="K159">
        <v>129.13163514241842</v>
      </c>
      <c r="L159">
        <v>140.67618185283121</v>
      </c>
      <c r="M159">
        <v>147.37473173147828</v>
      </c>
      <c r="N159">
        <v>136.58487623068169</v>
      </c>
      <c r="O159">
        <v>132.68252707199986</v>
      </c>
      <c r="P159">
        <v>122.42625201953952</v>
      </c>
      <c r="Q159">
        <v>119.44242257009573</v>
      </c>
      <c r="R159">
        <v>117.95138837645065</v>
      </c>
      <c r="S159">
        <v>118.52313976374612</v>
      </c>
      <c r="T159">
        <v>123.73579617461581</v>
      </c>
      <c r="U159">
        <v>128.18272626017051</v>
      </c>
      <c r="V159">
        <v>134.39544455749129</v>
      </c>
      <c r="W159">
        <v>138.39740851911671</v>
      </c>
      <c r="X159">
        <v>140.97362051630313</v>
      </c>
      <c r="Y159">
        <v>142.03611775110903</v>
      </c>
      <c r="Z159">
        <v>141.26897429893822</v>
      </c>
      <c r="AA159">
        <v>140.23564239233525</v>
      </c>
      <c r="AB159">
        <v>138.68299040741084</v>
      </c>
      <c r="AC159">
        <v>137.82305793712877</v>
      </c>
      <c r="AD159">
        <v>137.70362725286088</v>
      </c>
      <c r="AE159">
        <v>138.40519490617407</v>
      </c>
      <c r="AF159">
        <v>139.90951215310346</v>
      </c>
      <c r="AG159">
        <v>141.67309555358139</v>
      </c>
      <c r="AH159">
        <v>143.55153291554851</v>
      </c>
      <c r="AI159">
        <v>145.10387633991721</v>
      </c>
      <c r="AJ159">
        <v>146.21870494300117</v>
      </c>
      <c r="AK159">
        <v>146.85616653395596</v>
      </c>
      <c r="AL159">
        <v>147.06731596621108</v>
      </c>
      <c r="AM159">
        <v>147.06919838112708</v>
      </c>
      <c r="AN159">
        <v>146.99972587071915</v>
      </c>
      <c r="AO159">
        <v>147.04712470642019</v>
      </c>
      <c r="AP159">
        <v>147.29009265818826</v>
      </c>
      <c r="AQ159">
        <v>147.75070213060499</v>
      </c>
      <c r="AR159">
        <v>148.39601016836417</v>
      </c>
      <c r="AS159">
        <v>149.13252395889393</v>
      </c>
      <c r="AT159">
        <v>149.87759346608001</v>
      </c>
      <c r="AU159">
        <v>150.54404342026686</v>
      </c>
      <c r="AV159">
        <v>151.08620833463524</v>
      </c>
      <c r="AW159">
        <v>151.4917670873881</v>
      </c>
      <c r="AX159">
        <v>151.77918491514941</v>
      </c>
      <c r="AY159">
        <v>151.99303165414395</v>
      </c>
      <c r="BA159" s="1">
        <v>1</v>
      </c>
      <c r="BB159" t="str">
        <f t="shared" si="2"/>
        <v>Es - Sul ES</v>
      </c>
      <c r="BC159" s="3">
        <v>133.13468509775862</v>
      </c>
      <c r="BD159" s="3">
        <v>45.878185011244653</v>
      </c>
      <c r="BE159" s="3">
        <v>-59.767216682501186</v>
      </c>
      <c r="BF159" s="3">
        <v>-1.7326986946753848</v>
      </c>
      <c r="BG159" s="3">
        <v>-77.941412367321306</v>
      </c>
      <c r="BH159" s="3">
        <v>10.551251444141741</v>
      </c>
      <c r="BI159" s="3">
        <v>-10.159151950897211</v>
      </c>
      <c r="BJ159" s="3">
        <v>13.767926751688606</v>
      </c>
      <c r="BK159" s="3">
        <v>41.714706645071601</v>
      </c>
      <c r="BL159" s="3">
        <v>34.754997453318381</v>
      </c>
      <c r="BM159" s="3">
        <v>55.579339262675617</v>
      </c>
      <c r="BN159" s="3">
        <v>33.131383273470917</v>
      </c>
      <c r="BO159" s="3">
        <v>30.744999581728237</v>
      </c>
      <c r="BP159" s="3">
        <v>18.106123579221801</v>
      </c>
      <c r="BQ159" s="3">
        <v>6.1068240469459028</v>
      </c>
      <c r="BR159" s="3">
        <v>3.1611829677149927</v>
      </c>
      <c r="BS159" s="3">
        <v>-5.2816385170168587</v>
      </c>
      <c r="BT159" s="3">
        <v>-2.1650641451469994</v>
      </c>
      <c r="BU159" s="3">
        <v>-1.5916532075575276</v>
      </c>
      <c r="BV159" s="3">
        <v>2.4102978284900018</v>
      </c>
      <c r="BW159" s="3">
        <v>6.1963596989564849</v>
      </c>
      <c r="BX159" s="3">
        <v>6.9703618897965782</v>
      </c>
      <c r="BY159" s="3">
        <v>7.8051484561335087</v>
      </c>
      <c r="BZ159" s="3">
        <v>4.8839963684633574</v>
      </c>
      <c r="CA159" s="3">
        <v>1.7433725668664977</v>
      </c>
      <c r="CB159" s="3">
        <v>-2.466148483843341</v>
      </c>
      <c r="CC159" s="3">
        <v>-6.4196354560152713</v>
      </c>
      <c r="CD159" s="3">
        <v>-9.1081417443694193</v>
      </c>
      <c r="CE159" s="3">
        <v>-11.119263527966467</v>
      </c>
      <c r="CF159" s="3">
        <v>-11.667714851766135</v>
      </c>
      <c r="CG159" s="3">
        <v>-11.759864082178609</v>
      </c>
      <c r="CH159" s="3">
        <v>-11.436532217044117</v>
      </c>
      <c r="CI159" s="3">
        <v>-11.197842058712411</v>
      </c>
      <c r="CJ159" s="3">
        <v>-11.41705855031725</v>
      </c>
      <c r="CK159" s="3">
        <v>-12.021652048744755</v>
      </c>
      <c r="CL159" s="3">
        <v>-13.179654347905171</v>
      </c>
      <c r="CM159" s="3">
        <v>-14.593980852618614</v>
      </c>
      <c r="CN159" s="3">
        <v>-16.155591414867075</v>
      </c>
      <c r="CO159" s="3">
        <v>-17.648621526704488</v>
      </c>
      <c r="CP159" s="3">
        <v>-18.903942473914924</v>
      </c>
      <c r="CQ159" s="3">
        <v>-19.891208958202441</v>
      </c>
      <c r="CR159" s="3">
        <v>-20.567760069272822</v>
      </c>
      <c r="CS159" s="3">
        <v>-21.035393613826329</v>
      </c>
      <c r="CT159" s="3">
        <v>-21.377472566994555</v>
      </c>
      <c r="CU159" s="3">
        <v>-21.706442395131631</v>
      </c>
      <c r="CV159" s="3">
        <v>-22.112123176504923</v>
      </c>
      <c r="CW159" s="3">
        <v>-22.629005536288105</v>
      </c>
      <c r="CX159" s="3">
        <v>-23.268387742302281</v>
      </c>
      <c r="CY159" s="3">
        <v>-23.98753471974311</v>
      </c>
    </row>
    <row r="160" spans="1:103" x14ac:dyDescent="0.25">
      <c r="A160" t="s">
        <v>82</v>
      </c>
      <c r="B160" t="s">
        <v>5</v>
      </c>
      <c r="C160">
        <v>45.291341643354919</v>
      </c>
      <c r="D160">
        <v>71.080108050077001</v>
      </c>
      <c r="E160">
        <v>157.98265106323365</v>
      </c>
      <c r="F160">
        <v>57.758347514296716</v>
      </c>
      <c r="G160">
        <v>126.08149658894209</v>
      </c>
      <c r="H160">
        <v>90.07198472753845</v>
      </c>
      <c r="I160">
        <v>109.65313416032802</v>
      </c>
      <c r="J160">
        <v>109.38116391086302</v>
      </c>
      <c r="K160">
        <v>87.416928497346817</v>
      </c>
      <c r="L160">
        <v>105.92118439951282</v>
      </c>
      <c r="M160">
        <v>91.79539246880266</v>
      </c>
      <c r="N160">
        <v>103.45349295721077</v>
      </c>
      <c r="O160">
        <v>101.93752749027162</v>
      </c>
      <c r="P160">
        <v>104.32012844031772</v>
      </c>
      <c r="Q160">
        <v>113.33559852314983</v>
      </c>
      <c r="R160">
        <v>114.79020540873566</v>
      </c>
      <c r="S160">
        <v>123.80477828076297</v>
      </c>
      <c r="T160">
        <v>125.90086031976281</v>
      </c>
      <c r="U160">
        <v>129.77437946772804</v>
      </c>
      <c r="V160">
        <v>131.98514672900129</v>
      </c>
      <c r="W160">
        <v>132.20104882016022</v>
      </c>
      <c r="X160">
        <v>134.00325862650655</v>
      </c>
      <c r="Y160">
        <v>134.23096929497552</v>
      </c>
      <c r="Z160">
        <v>136.38497793047486</v>
      </c>
      <c r="AA160">
        <v>138.49226982546875</v>
      </c>
      <c r="AB160">
        <v>141.14913889125418</v>
      </c>
      <c r="AC160">
        <v>144.24269339314404</v>
      </c>
      <c r="AD160">
        <v>146.8117689972303</v>
      </c>
      <c r="AE160">
        <v>149.52445843414054</v>
      </c>
      <c r="AF160">
        <v>151.5772270048696</v>
      </c>
      <c r="AG160">
        <v>153.43295963576</v>
      </c>
      <c r="AH160">
        <v>154.98806513259262</v>
      </c>
      <c r="AI160">
        <v>156.30171839862962</v>
      </c>
      <c r="AJ160">
        <v>157.63576349331842</v>
      </c>
      <c r="AK160">
        <v>158.87781858270071</v>
      </c>
      <c r="AL160">
        <v>160.24697031411625</v>
      </c>
      <c r="AM160">
        <v>161.66317923374569</v>
      </c>
      <c r="AN160">
        <v>163.15531728558622</v>
      </c>
      <c r="AO160">
        <v>164.69574623312468</v>
      </c>
      <c r="AP160">
        <v>166.19403513210318</v>
      </c>
      <c r="AQ160">
        <v>167.64191108880743</v>
      </c>
      <c r="AR160">
        <v>168.96377023763699</v>
      </c>
      <c r="AS160">
        <v>170.16791757272026</v>
      </c>
      <c r="AT160">
        <v>171.25506603307457</v>
      </c>
      <c r="AU160">
        <v>172.25048581539849</v>
      </c>
      <c r="AV160">
        <v>173.19833151114017</v>
      </c>
      <c r="AW160">
        <v>174.1207726236762</v>
      </c>
      <c r="AX160">
        <v>175.0475726574517</v>
      </c>
      <c r="AY160">
        <v>175.98056637388706</v>
      </c>
      <c r="BA160" s="1">
        <v>-1</v>
      </c>
      <c r="BB160" t="str">
        <f t="shared" si="2"/>
        <v>Es - Sul ES</v>
      </c>
      <c r="BC160" s="3" t="s">
        <v>144</v>
      </c>
      <c r="BD160" s="3" t="s">
        <v>144</v>
      </c>
      <c r="BE160" s="3" t="s">
        <v>144</v>
      </c>
      <c r="BF160" s="3" t="s">
        <v>144</v>
      </c>
      <c r="BG160" s="3" t="s">
        <v>144</v>
      </c>
      <c r="BH160" s="3" t="s">
        <v>144</v>
      </c>
      <c r="BI160" s="3" t="s">
        <v>144</v>
      </c>
      <c r="BJ160" s="3" t="s">
        <v>144</v>
      </c>
      <c r="BK160" s="3" t="s">
        <v>144</v>
      </c>
      <c r="BL160" s="3" t="s">
        <v>144</v>
      </c>
      <c r="BM160" s="3" t="s">
        <v>144</v>
      </c>
      <c r="BN160" s="3" t="s">
        <v>144</v>
      </c>
      <c r="BO160" s="3" t="s">
        <v>144</v>
      </c>
      <c r="BP160" s="3" t="s">
        <v>144</v>
      </c>
      <c r="BQ160" s="3" t="s">
        <v>144</v>
      </c>
      <c r="BR160" s="3" t="s">
        <v>144</v>
      </c>
      <c r="BS160" s="3" t="s">
        <v>144</v>
      </c>
      <c r="BT160" s="3" t="s">
        <v>144</v>
      </c>
      <c r="BU160" s="3" t="s">
        <v>144</v>
      </c>
      <c r="BV160" s="3" t="s">
        <v>144</v>
      </c>
      <c r="BW160" s="3" t="s">
        <v>144</v>
      </c>
      <c r="BX160" s="3" t="s">
        <v>144</v>
      </c>
      <c r="BY160" s="3" t="s">
        <v>144</v>
      </c>
      <c r="BZ160" s="3" t="s">
        <v>144</v>
      </c>
      <c r="CA160" s="3" t="s">
        <v>144</v>
      </c>
      <c r="CB160" s="3" t="s">
        <v>144</v>
      </c>
      <c r="CC160" s="3" t="s">
        <v>144</v>
      </c>
      <c r="CD160" s="3" t="s">
        <v>144</v>
      </c>
      <c r="CE160" s="3" t="s">
        <v>144</v>
      </c>
      <c r="CF160" s="3" t="s">
        <v>144</v>
      </c>
      <c r="CG160" s="3" t="s">
        <v>144</v>
      </c>
      <c r="CH160" s="3" t="s">
        <v>144</v>
      </c>
      <c r="CI160" s="3" t="s">
        <v>144</v>
      </c>
      <c r="CJ160" s="3" t="s">
        <v>144</v>
      </c>
      <c r="CK160" s="3" t="s">
        <v>144</v>
      </c>
      <c r="CL160" s="3" t="s">
        <v>144</v>
      </c>
      <c r="CM160" s="3" t="s">
        <v>144</v>
      </c>
      <c r="CN160" s="3" t="s">
        <v>144</v>
      </c>
      <c r="CO160" s="3" t="s">
        <v>144</v>
      </c>
      <c r="CP160" s="3" t="s">
        <v>144</v>
      </c>
      <c r="CQ160" s="3" t="s">
        <v>144</v>
      </c>
      <c r="CR160" s="3" t="s">
        <v>144</v>
      </c>
      <c r="CS160" s="3" t="s">
        <v>144</v>
      </c>
      <c r="CT160" s="3" t="s">
        <v>144</v>
      </c>
      <c r="CU160" s="3" t="s">
        <v>144</v>
      </c>
      <c r="CV160" s="3" t="s">
        <v>144</v>
      </c>
      <c r="CW160" s="3" t="s">
        <v>144</v>
      </c>
      <c r="CX160" s="3" t="s">
        <v>144</v>
      </c>
      <c r="CY160" s="3" t="s">
        <v>144</v>
      </c>
    </row>
    <row r="161" spans="1:103" x14ac:dyDescent="0.25">
      <c r="A161" t="s">
        <v>83</v>
      </c>
      <c r="B161" t="s">
        <v>4</v>
      </c>
      <c r="C161">
        <v>97.854572191267891</v>
      </c>
      <c r="D161">
        <v>20.98002088642831</v>
      </c>
      <c r="E161">
        <v>28.831573112384969</v>
      </c>
      <c r="F161">
        <v>20.960497277579879</v>
      </c>
      <c r="G161">
        <v>27.139216001996338</v>
      </c>
      <c r="H161">
        <v>58.228440336431298</v>
      </c>
      <c r="I161">
        <v>41.382324519469215</v>
      </c>
      <c r="J161">
        <v>62.406319813138069</v>
      </c>
      <c r="K161">
        <v>61.288904926802175</v>
      </c>
      <c r="L161">
        <v>67.069109675942002</v>
      </c>
      <c r="M161">
        <v>69.211937567540545</v>
      </c>
      <c r="N161">
        <v>62.300331395277844</v>
      </c>
      <c r="O161">
        <v>64.829117989514145</v>
      </c>
      <c r="P161">
        <v>60.099599317863905</v>
      </c>
      <c r="Q161">
        <v>61.782158559774487</v>
      </c>
      <c r="R161">
        <v>62.369902640234322</v>
      </c>
      <c r="S161">
        <v>64.015933491014877</v>
      </c>
      <c r="T161">
        <v>68.216183829447999</v>
      </c>
      <c r="U161">
        <v>70.558979216381431</v>
      </c>
      <c r="V161">
        <v>74.396557640880374</v>
      </c>
      <c r="W161">
        <v>76.28454380991424</v>
      </c>
      <c r="X161">
        <v>77.869334306592251</v>
      </c>
      <c r="Y161">
        <v>78.798348145759618</v>
      </c>
      <c r="Z161">
        <v>78.870201911525285</v>
      </c>
      <c r="AA161">
        <v>79.246398118445256</v>
      </c>
      <c r="AB161">
        <v>79.301469883696313</v>
      </c>
      <c r="AC161">
        <v>79.928194948817563</v>
      </c>
      <c r="AD161">
        <v>80.800790385929446</v>
      </c>
      <c r="AE161">
        <v>81.970572435379324</v>
      </c>
      <c r="AF161">
        <v>83.416326206511513</v>
      </c>
      <c r="AG161">
        <v>84.789316073852518</v>
      </c>
      <c r="AH161">
        <v>86.160704313763929</v>
      </c>
      <c r="AI161">
        <v>87.277430104517634</v>
      </c>
      <c r="AJ161">
        <v>88.191090940575748</v>
      </c>
      <c r="AK161">
        <v>88.898951922616277</v>
      </c>
      <c r="AL161">
        <v>89.437059116255881</v>
      </c>
      <c r="AM161">
        <v>89.929113846967638</v>
      </c>
      <c r="AN161">
        <v>90.40131321950939</v>
      </c>
      <c r="AO161">
        <v>90.942394306011195</v>
      </c>
      <c r="AP161">
        <v>91.555443483870661</v>
      </c>
      <c r="AQ161">
        <v>92.238690749776637</v>
      </c>
      <c r="AR161">
        <v>92.968896215762896</v>
      </c>
      <c r="AS161">
        <v>93.696079552085635</v>
      </c>
      <c r="AT161">
        <v>94.393173346907929</v>
      </c>
      <c r="AU161">
        <v>95.025027515582508</v>
      </c>
      <c r="AV161">
        <v>95.584931882541625</v>
      </c>
      <c r="AW161">
        <v>96.076258165854739</v>
      </c>
      <c r="AX161">
        <v>96.513714764964064</v>
      </c>
      <c r="AY161">
        <v>96.921195139315742</v>
      </c>
      <c r="BA161" s="1">
        <v>1</v>
      </c>
      <c r="BB161" t="str">
        <f t="shared" si="2"/>
        <v>Rj - Noroeste Fluminense</v>
      </c>
      <c r="BC161" s="3">
        <v>117.35027477000571</v>
      </c>
      <c r="BD161" s="3">
        <v>50.822415438360842</v>
      </c>
      <c r="BE161" s="3">
        <v>-13.94874454448205</v>
      </c>
      <c r="BF161" s="3">
        <v>34.242940016637945</v>
      </c>
      <c r="BG161" s="3">
        <v>-5.1327026294206846</v>
      </c>
      <c r="BH161" s="3">
        <v>42.012586938371321</v>
      </c>
      <c r="BI161" s="3">
        <v>14.716730746590521</v>
      </c>
      <c r="BJ161" s="3">
        <v>21.985275368827821</v>
      </c>
      <c r="BK161" s="3">
        <v>34.757094725214515</v>
      </c>
      <c r="BL161" s="3">
        <v>25.686211631470066</v>
      </c>
      <c r="BM161" s="3">
        <v>36.209820009981179</v>
      </c>
      <c r="BN161" s="3">
        <v>22.997373373984715</v>
      </c>
      <c r="BO161" s="3">
        <v>24.960074727266225</v>
      </c>
      <c r="BP161" s="3">
        <v>20.845807739994171</v>
      </c>
      <c r="BQ161" s="3">
        <v>16.567479807204769</v>
      </c>
      <c r="BR161" s="3">
        <v>16.897922191704545</v>
      </c>
      <c r="BS161" s="3">
        <v>12.487603415842266</v>
      </c>
      <c r="BT161" s="3">
        <v>14.102019419582724</v>
      </c>
      <c r="BU161" s="3">
        <v>13.079001854303883</v>
      </c>
      <c r="BV161" s="3">
        <v>13.761690844438903</v>
      </c>
      <c r="BW161" s="3">
        <v>14.414528601476235</v>
      </c>
      <c r="BX161" s="3">
        <v>13.748755895791305</v>
      </c>
      <c r="BY161" s="3">
        <v>13.897926351447879</v>
      </c>
      <c r="BZ161" s="3">
        <v>12.412187190935157</v>
      </c>
      <c r="CA161" s="3">
        <v>11.325160649783271</v>
      </c>
      <c r="CB161" s="3">
        <v>9.795213572623382</v>
      </c>
      <c r="CC161" s="3">
        <v>8.3642801405052722</v>
      </c>
      <c r="CD161" s="3">
        <v>7.4343919810482646</v>
      </c>
      <c r="CE161" s="3">
        <v>6.528904854190472</v>
      </c>
      <c r="CF161" s="3">
        <v>6.1629309707393389</v>
      </c>
      <c r="CG161" s="3">
        <v>5.8102085373517554</v>
      </c>
      <c r="CH161" s="3">
        <v>5.600645612804513</v>
      </c>
      <c r="CI161" s="3">
        <v>5.366236691422543</v>
      </c>
      <c r="CJ161" s="3">
        <v>4.9833473303622782</v>
      </c>
      <c r="CK161" s="3">
        <v>4.5510731413615844</v>
      </c>
      <c r="CL161" s="3">
        <v>3.9582761096277039</v>
      </c>
      <c r="CM161" s="3">
        <v>3.3424104653826419</v>
      </c>
      <c r="CN161" s="3">
        <v>2.6971354824840148</v>
      </c>
      <c r="CO161" s="3">
        <v>2.0830668756535857</v>
      </c>
      <c r="CP161" s="3">
        <v>1.5477429952604496</v>
      </c>
      <c r="CQ161" s="3">
        <v>1.0794019947656039</v>
      </c>
      <c r="CR161" s="3">
        <v>0.7042598046958517</v>
      </c>
      <c r="CS161" s="3">
        <v>0.38207895292809724</v>
      </c>
      <c r="CT161" s="3">
        <v>9.8822011172828184E-2</v>
      </c>
      <c r="CU161" s="3">
        <v>-0.17597888786066562</v>
      </c>
      <c r="CV161" s="3">
        <v>-0.46675497721390968</v>
      </c>
      <c r="CW161" s="3">
        <v>-0.77794672567176804</v>
      </c>
      <c r="CX161" s="3">
        <v>-1.1156983740657296</v>
      </c>
      <c r="CY161" s="3">
        <v>-1.4654383682090781</v>
      </c>
    </row>
    <row r="162" spans="1:103" x14ac:dyDescent="0.25">
      <c r="A162" t="s">
        <v>83</v>
      </c>
      <c r="B162" t="s">
        <v>5</v>
      </c>
      <c r="C162">
        <v>-19.495702578737824</v>
      </c>
      <c r="D162">
        <v>-29.842394551932532</v>
      </c>
      <c r="E162">
        <v>42.78031765686702</v>
      </c>
      <c r="F162">
        <v>-13.282442739058066</v>
      </c>
      <c r="G162">
        <v>32.271918631417023</v>
      </c>
      <c r="H162">
        <v>16.215853398059977</v>
      </c>
      <c r="I162">
        <v>26.665593772878694</v>
      </c>
      <c r="J162">
        <v>40.421044444310247</v>
      </c>
      <c r="K162">
        <v>26.53181020158766</v>
      </c>
      <c r="L162">
        <v>41.382898044471936</v>
      </c>
      <c r="M162">
        <v>33.002117557559366</v>
      </c>
      <c r="N162">
        <v>39.302958021293129</v>
      </c>
      <c r="O162">
        <v>39.869043262247921</v>
      </c>
      <c r="P162">
        <v>39.253791577869734</v>
      </c>
      <c r="Q162">
        <v>45.214678752569718</v>
      </c>
      <c r="R162">
        <v>45.471980448529777</v>
      </c>
      <c r="S162">
        <v>51.528330075172612</v>
      </c>
      <c r="T162">
        <v>54.114164409865275</v>
      </c>
      <c r="U162">
        <v>57.479977362077548</v>
      </c>
      <c r="V162">
        <v>60.634866796441472</v>
      </c>
      <c r="W162">
        <v>61.870015208438005</v>
      </c>
      <c r="X162">
        <v>64.120578410800945</v>
      </c>
      <c r="Y162">
        <v>64.90042179431174</v>
      </c>
      <c r="Z162">
        <v>66.458014720590128</v>
      </c>
      <c r="AA162">
        <v>67.921237468661985</v>
      </c>
      <c r="AB162">
        <v>69.506256311072931</v>
      </c>
      <c r="AC162">
        <v>71.56391480831229</v>
      </c>
      <c r="AD162">
        <v>73.366398404881181</v>
      </c>
      <c r="AE162">
        <v>75.441667581188852</v>
      </c>
      <c r="AF162">
        <v>77.253395235772174</v>
      </c>
      <c r="AG162">
        <v>78.979107536500763</v>
      </c>
      <c r="AH162">
        <v>80.560058700959416</v>
      </c>
      <c r="AI162">
        <v>81.911193413095091</v>
      </c>
      <c r="AJ162">
        <v>83.20774361021347</v>
      </c>
      <c r="AK162">
        <v>84.347878781254693</v>
      </c>
      <c r="AL162">
        <v>85.478783006628177</v>
      </c>
      <c r="AM162">
        <v>86.586703381584996</v>
      </c>
      <c r="AN162">
        <v>87.704177737025375</v>
      </c>
      <c r="AO162">
        <v>88.85932743035761</v>
      </c>
      <c r="AP162">
        <v>90.007700488610212</v>
      </c>
      <c r="AQ162">
        <v>91.159288755011033</v>
      </c>
      <c r="AR162">
        <v>92.264636411067045</v>
      </c>
      <c r="AS162">
        <v>93.314000599157538</v>
      </c>
      <c r="AT162">
        <v>94.294351335735101</v>
      </c>
      <c r="AU162">
        <v>95.201006403443174</v>
      </c>
      <c r="AV162">
        <v>96.051686859755534</v>
      </c>
      <c r="AW162">
        <v>96.854204891526507</v>
      </c>
      <c r="AX162">
        <v>97.629413139029793</v>
      </c>
      <c r="AY162">
        <v>98.38663350752482</v>
      </c>
      <c r="BA162" s="1">
        <v>-1</v>
      </c>
      <c r="BB162" t="str">
        <f t="shared" si="2"/>
        <v>Rj - Noroeste Fluminense</v>
      </c>
      <c r="BC162" s="3" t="s">
        <v>144</v>
      </c>
      <c r="BD162" s="3" t="s">
        <v>144</v>
      </c>
      <c r="BE162" s="3" t="s">
        <v>144</v>
      </c>
      <c r="BF162" s="3" t="s">
        <v>144</v>
      </c>
      <c r="BG162" s="3" t="s">
        <v>144</v>
      </c>
      <c r="BH162" s="3" t="s">
        <v>144</v>
      </c>
      <c r="BI162" s="3" t="s">
        <v>144</v>
      </c>
      <c r="BJ162" s="3" t="s">
        <v>144</v>
      </c>
      <c r="BK162" s="3" t="s">
        <v>144</v>
      </c>
      <c r="BL162" s="3" t="s">
        <v>144</v>
      </c>
      <c r="BM162" s="3" t="s">
        <v>144</v>
      </c>
      <c r="BN162" s="3" t="s">
        <v>144</v>
      </c>
      <c r="BO162" s="3" t="s">
        <v>144</v>
      </c>
      <c r="BP162" s="3" t="s">
        <v>144</v>
      </c>
      <c r="BQ162" s="3" t="s">
        <v>144</v>
      </c>
      <c r="BR162" s="3" t="s">
        <v>144</v>
      </c>
      <c r="BS162" s="3" t="s">
        <v>144</v>
      </c>
      <c r="BT162" s="3" t="s">
        <v>144</v>
      </c>
      <c r="BU162" s="3" t="s">
        <v>144</v>
      </c>
      <c r="BV162" s="3" t="s">
        <v>144</v>
      </c>
      <c r="BW162" s="3" t="s">
        <v>144</v>
      </c>
      <c r="BX162" s="3" t="s">
        <v>144</v>
      </c>
      <c r="BY162" s="3" t="s">
        <v>144</v>
      </c>
      <c r="BZ162" s="3" t="s">
        <v>144</v>
      </c>
      <c r="CA162" s="3" t="s">
        <v>144</v>
      </c>
      <c r="CB162" s="3" t="s">
        <v>144</v>
      </c>
      <c r="CC162" s="3" t="s">
        <v>144</v>
      </c>
      <c r="CD162" s="3" t="s">
        <v>144</v>
      </c>
      <c r="CE162" s="3" t="s">
        <v>144</v>
      </c>
      <c r="CF162" s="3" t="s">
        <v>144</v>
      </c>
      <c r="CG162" s="3" t="s">
        <v>144</v>
      </c>
      <c r="CH162" s="3" t="s">
        <v>144</v>
      </c>
      <c r="CI162" s="3" t="s">
        <v>144</v>
      </c>
      <c r="CJ162" s="3" t="s">
        <v>144</v>
      </c>
      <c r="CK162" s="3" t="s">
        <v>144</v>
      </c>
      <c r="CL162" s="3" t="s">
        <v>144</v>
      </c>
      <c r="CM162" s="3" t="s">
        <v>144</v>
      </c>
      <c r="CN162" s="3" t="s">
        <v>144</v>
      </c>
      <c r="CO162" s="3" t="s">
        <v>144</v>
      </c>
      <c r="CP162" s="3" t="s">
        <v>144</v>
      </c>
      <c r="CQ162" s="3" t="s">
        <v>144</v>
      </c>
      <c r="CR162" s="3" t="s">
        <v>144</v>
      </c>
      <c r="CS162" s="3" t="s">
        <v>144</v>
      </c>
      <c r="CT162" s="3" t="s">
        <v>144</v>
      </c>
      <c r="CU162" s="3" t="s">
        <v>144</v>
      </c>
      <c r="CV162" s="3" t="s">
        <v>144</v>
      </c>
      <c r="CW162" s="3" t="s">
        <v>144</v>
      </c>
      <c r="CX162" s="3" t="s">
        <v>144</v>
      </c>
      <c r="CY162" s="3" t="s">
        <v>144</v>
      </c>
    </row>
    <row r="163" spans="1:103" x14ac:dyDescent="0.25">
      <c r="A163" t="s">
        <v>84</v>
      </c>
      <c r="B163" t="s">
        <v>4</v>
      </c>
      <c r="C163">
        <v>552.365201916773</v>
      </c>
      <c r="D163">
        <v>409.02515389252619</v>
      </c>
      <c r="E163">
        <v>485.57992200205001</v>
      </c>
      <c r="F163">
        <v>255.00496331780502</v>
      </c>
      <c r="G163">
        <v>395.84455481583831</v>
      </c>
      <c r="H163">
        <v>489.35836616810644</v>
      </c>
      <c r="I163">
        <v>492.83974006978991</v>
      </c>
      <c r="J163">
        <v>580.35508204837629</v>
      </c>
      <c r="K163">
        <v>564.18097713087229</v>
      </c>
      <c r="L163">
        <v>626.53227114705635</v>
      </c>
      <c r="M163">
        <v>608.62424403915736</v>
      </c>
      <c r="N163">
        <v>583.52997323380328</v>
      </c>
      <c r="O163">
        <v>561.51083495384546</v>
      </c>
      <c r="P163">
        <v>520.88789571169536</v>
      </c>
      <c r="Q163">
        <v>514.67076162137084</v>
      </c>
      <c r="R163">
        <v>498.82231944103535</v>
      </c>
      <c r="S163">
        <v>505.18300862725243</v>
      </c>
      <c r="T163">
        <v>516.4586912659347</v>
      </c>
      <c r="U163">
        <v>529.38102852205782</v>
      </c>
      <c r="V163">
        <v>546.57455446024517</v>
      </c>
      <c r="W163">
        <v>553.25667103125932</v>
      </c>
      <c r="X163">
        <v>558.44358776938338</v>
      </c>
      <c r="Y163">
        <v>555.45768069912594</v>
      </c>
      <c r="Z163">
        <v>549.35790609812557</v>
      </c>
      <c r="AA163">
        <v>542.07737747316935</v>
      </c>
      <c r="AB163">
        <v>533.98451315758382</v>
      </c>
      <c r="AC163">
        <v>529.29395451386813</v>
      </c>
      <c r="AD163">
        <v>526.45690421165807</v>
      </c>
      <c r="AE163">
        <v>527.03796442136161</v>
      </c>
      <c r="AF163">
        <v>529.53631718584825</v>
      </c>
      <c r="AG163">
        <v>532.91760291903427</v>
      </c>
      <c r="AH163">
        <v>536.49386483587409</v>
      </c>
      <c r="AI163">
        <v>538.80184164600735</v>
      </c>
      <c r="AJ163">
        <v>539.89765388295405</v>
      </c>
      <c r="AK163">
        <v>539.37509198299051</v>
      </c>
      <c r="AL163">
        <v>537.74916369961795</v>
      </c>
      <c r="AM163">
        <v>535.57869671676553</v>
      </c>
      <c r="AN163">
        <v>533.37129620131077</v>
      </c>
      <c r="AO163">
        <v>531.74455867614142</v>
      </c>
      <c r="AP163">
        <v>530.83950855835894</v>
      </c>
      <c r="AQ163">
        <v>530.75964760651561</v>
      </c>
      <c r="AR163">
        <v>531.28338907679768</v>
      </c>
      <c r="AS163">
        <v>532.11260575034362</v>
      </c>
      <c r="AT163">
        <v>532.95355785082984</v>
      </c>
      <c r="AU163">
        <v>533.52570418949983</v>
      </c>
      <c r="AV163">
        <v>533.72263315575265</v>
      </c>
      <c r="AW163">
        <v>533.51585334230106</v>
      </c>
      <c r="AX163">
        <v>533.00606866144744</v>
      </c>
      <c r="AY163">
        <v>532.34303753656718</v>
      </c>
      <c r="BA163" s="1">
        <v>1</v>
      </c>
      <c r="BB163" t="str">
        <f t="shared" si="2"/>
        <v>Rj - Norte Fluminense</v>
      </c>
      <c r="BC163" s="3">
        <v>626.3185921974673</v>
      </c>
      <c r="BD163" s="3">
        <v>351.22525982432694</v>
      </c>
      <c r="BE163" s="3">
        <v>133.4675578716936</v>
      </c>
      <c r="BF163" s="3">
        <v>101.94107711625125</v>
      </c>
      <c r="BG163" s="3">
        <v>142.39646902314701</v>
      </c>
      <c r="BH163" s="3">
        <v>259.20010288682124</v>
      </c>
      <c r="BI163" s="3">
        <v>209.00884910896741</v>
      </c>
      <c r="BJ163" s="3">
        <v>263.14611462419424</v>
      </c>
      <c r="BK163" s="3">
        <v>289.14610730259375</v>
      </c>
      <c r="BL163" s="3">
        <v>303.21820677962415</v>
      </c>
      <c r="BM163" s="3">
        <v>301.14673927141814</v>
      </c>
      <c r="BN163" s="3">
        <v>252.66333779581487</v>
      </c>
      <c r="BO163" s="3">
        <v>228.7985591270272</v>
      </c>
      <c r="BP163" s="3">
        <v>188.54982298114612</v>
      </c>
      <c r="BQ163" s="3">
        <v>163.43765576745102</v>
      </c>
      <c r="BR163" s="3">
        <v>143.51789170927594</v>
      </c>
      <c r="BS163" s="3">
        <v>128.71955069832831</v>
      </c>
      <c r="BT163" s="3">
        <v>128.93059317483824</v>
      </c>
      <c r="BU163" s="3">
        <v>128.1385396077373</v>
      </c>
      <c r="BV163" s="3">
        <v>132.80050942236647</v>
      </c>
      <c r="BW163" s="3">
        <v>132.83578706517636</v>
      </c>
      <c r="BX163" s="3">
        <v>129.19474518960249</v>
      </c>
      <c r="BY163" s="3">
        <v>121.97607471088162</v>
      </c>
      <c r="BZ163" s="3">
        <v>109.4137689196001</v>
      </c>
      <c r="CA163" s="3">
        <v>95.951393829375036</v>
      </c>
      <c r="CB163" s="3">
        <v>81.179467632247224</v>
      </c>
      <c r="CC163" s="3">
        <v>68.470653519790346</v>
      </c>
      <c r="CD163" s="3">
        <v>58.326531728953512</v>
      </c>
      <c r="CE163" s="3">
        <v>50.843055313414936</v>
      </c>
      <c r="CF163" s="3">
        <v>46.098246359555048</v>
      </c>
      <c r="CG163" s="3">
        <v>42.529460599174854</v>
      </c>
      <c r="CH163" s="3">
        <v>39.663684521444168</v>
      </c>
      <c r="CI163" s="3">
        <v>36.267151658572743</v>
      </c>
      <c r="CJ163" s="3">
        <v>31.926562511480824</v>
      </c>
      <c r="CK163" s="3">
        <v>26.534111493916612</v>
      </c>
      <c r="CL163" s="3">
        <v>20.17123714581237</v>
      </c>
      <c r="CM163" s="3">
        <v>13.418316463278074</v>
      </c>
      <c r="CN163" s="3">
        <v>6.6471495980993041</v>
      </c>
      <c r="CO163" s="3">
        <v>0.37179626438319247</v>
      </c>
      <c r="CP163" s="3">
        <v>-5.157778023375954</v>
      </c>
      <c r="CQ163" s="3">
        <v>-9.8642537256736205</v>
      </c>
      <c r="CR163" s="3">
        <v>-13.812327989506457</v>
      </c>
      <c r="CS163" s="3">
        <v>-17.255077399423499</v>
      </c>
      <c r="CT163" s="3">
        <v>-20.431072586020491</v>
      </c>
      <c r="CU163" s="3">
        <v>-23.601013284537885</v>
      </c>
      <c r="CV163" s="3">
        <v>-26.922401647404058</v>
      </c>
      <c r="CW163" s="3">
        <v>-30.453860709914352</v>
      </c>
      <c r="CX163" s="3">
        <v>-34.164870278805097</v>
      </c>
      <c r="CY163" s="3">
        <v>-37.941434024054047</v>
      </c>
    </row>
    <row r="164" spans="1:103" x14ac:dyDescent="0.25">
      <c r="A164" t="s">
        <v>84</v>
      </c>
      <c r="B164" t="s">
        <v>5</v>
      </c>
      <c r="C164">
        <v>-73.953390280694236</v>
      </c>
      <c r="D164">
        <v>57.799894068199237</v>
      </c>
      <c r="E164">
        <v>352.11236413035641</v>
      </c>
      <c r="F164">
        <v>153.06388620155377</v>
      </c>
      <c r="G164">
        <v>253.4480857926913</v>
      </c>
      <c r="H164">
        <v>230.15826328128523</v>
      </c>
      <c r="I164">
        <v>283.8308909608225</v>
      </c>
      <c r="J164">
        <v>317.20896742418205</v>
      </c>
      <c r="K164">
        <v>275.03486982827854</v>
      </c>
      <c r="L164">
        <v>323.3140643674322</v>
      </c>
      <c r="M164">
        <v>307.47750476773922</v>
      </c>
      <c r="N164">
        <v>330.86663543798841</v>
      </c>
      <c r="O164">
        <v>332.71227582681826</v>
      </c>
      <c r="P164">
        <v>332.33807273054924</v>
      </c>
      <c r="Q164">
        <v>351.23310585391982</v>
      </c>
      <c r="R164">
        <v>355.3044277317594</v>
      </c>
      <c r="S164">
        <v>376.46345792892413</v>
      </c>
      <c r="T164">
        <v>387.52809809109647</v>
      </c>
      <c r="U164">
        <v>401.24248891432052</v>
      </c>
      <c r="V164">
        <v>413.77404503787869</v>
      </c>
      <c r="W164">
        <v>420.42088396608295</v>
      </c>
      <c r="X164">
        <v>429.2488425797809</v>
      </c>
      <c r="Y164">
        <v>433.48160598824433</v>
      </c>
      <c r="Z164">
        <v>439.94413717852547</v>
      </c>
      <c r="AA164">
        <v>446.12598364379431</v>
      </c>
      <c r="AB164">
        <v>452.8050455253366</v>
      </c>
      <c r="AC164">
        <v>460.82330099407778</v>
      </c>
      <c r="AD164">
        <v>468.13037248270456</v>
      </c>
      <c r="AE164">
        <v>476.19490910794667</v>
      </c>
      <c r="AF164">
        <v>483.4380708262932</v>
      </c>
      <c r="AG164">
        <v>490.38814231985941</v>
      </c>
      <c r="AH164">
        <v>496.83018031442992</v>
      </c>
      <c r="AI164">
        <v>502.5346899874346</v>
      </c>
      <c r="AJ164">
        <v>507.97109137147322</v>
      </c>
      <c r="AK164">
        <v>512.8409804890739</v>
      </c>
      <c r="AL164">
        <v>517.57792655380558</v>
      </c>
      <c r="AM164">
        <v>522.16038025348746</v>
      </c>
      <c r="AN164">
        <v>526.72414660321147</v>
      </c>
      <c r="AO164">
        <v>531.37276241175823</v>
      </c>
      <c r="AP164">
        <v>535.9972865817349</v>
      </c>
      <c r="AQ164">
        <v>540.62390133218923</v>
      </c>
      <c r="AR164">
        <v>545.09571706630413</v>
      </c>
      <c r="AS164">
        <v>549.36768314976712</v>
      </c>
      <c r="AT164">
        <v>553.38463043685033</v>
      </c>
      <c r="AU164">
        <v>557.12671747403772</v>
      </c>
      <c r="AV164">
        <v>560.6450348031567</v>
      </c>
      <c r="AW164">
        <v>563.96971405221541</v>
      </c>
      <c r="AX164">
        <v>567.17093894025254</v>
      </c>
      <c r="AY164">
        <v>570.28447156062123</v>
      </c>
      <c r="BA164" s="1">
        <v>-1</v>
      </c>
      <c r="BB164" t="str">
        <f t="shared" si="2"/>
        <v>Rj - Norte Fluminense</v>
      </c>
      <c r="BC164" s="3" t="s">
        <v>144</v>
      </c>
      <c r="BD164" s="3" t="s">
        <v>144</v>
      </c>
      <c r="BE164" s="3" t="s">
        <v>144</v>
      </c>
      <c r="BF164" s="3" t="s">
        <v>144</v>
      </c>
      <c r="BG164" s="3" t="s">
        <v>144</v>
      </c>
      <c r="BH164" s="3" t="s">
        <v>144</v>
      </c>
      <c r="BI164" s="3" t="s">
        <v>144</v>
      </c>
      <c r="BJ164" s="3" t="s">
        <v>144</v>
      </c>
      <c r="BK164" s="3" t="s">
        <v>144</v>
      </c>
      <c r="BL164" s="3" t="s">
        <v>144</v>
      </c>
      <c r="BM164" s="3" t="s">
        <v>144</v>
      </c>
      <c r="BN164" s="3" t="s">
        <v>144</v>
      </c>
      <c r="BO164" s="3" t="s">
        <v>144</v>
      </c>
      <c r="BP164" s="3" t="s">
        <v>144</v>
      </c>
      <c r="BQ164" s="3" t="s">
        <v>144</v>
      </c>
      <c r="BR164" s="3" t="s">
        <v>144</v>
      </c>
      <c r="BS164" s="3" t="s">
        <v>144</v>
      </c>
      <c r="BT164" s="3" t="s">
        <v>144</v>
      </c>
      <c r="BU164" s="3" t="s">
        <v>144</v>
      </c>
      <c r="BV164" s="3" t="s">
        <v>144</v>
      </c>
      <c r="BW164" s="3" t="s">
        <v>144</v>
      </c>
      <c r="BX164" s="3" t="s">
        <v>144</v>
      </c>
      <c r="BY164" s="3" t="s">
        <v>144</v>
      </c>
      <c r="BZ164" s="3" t="s">
        <v>144</v>
      </c>
      <c r="CA164" s="3" t="s">
        <v>144</v>
      </c>
      <c r="CB164" s="3" t="s">
        <v>144</v>
      </c>
      <c r="CC164" s="3" t="s">
        <v>144</v>
      </c>
      <c r="CD164" s="3" t="s">
        <v>144</v>
      </c>
      <c r="CE164" s="3" t="s">
        <v>144</v>
      </c>
      <c r="CF164" s="3" t="s">
        <v>144</v>
      </c>
      <c r="CG164" s="3" t="s">
        <v>144</v>
      </c>
      <c r="CH164" s="3" t="s">
        <v>144</v>
      </c>
      <c r="CI164" s="3" t="s">
        <v>144</v>
      </c>
      <c r="CJ164" s="3" t="s">
        <v>144</v>
      </c>
      <c r="CK164" s="3" t="s">
        <v>144</v>
      </c>
      <c r="CL164" s="3" t="s">
        <v>144</v>
      </c>
      <c r="CM164" s="3" t="s">
        <v>144</v>
      </c>
      <c r="CN164" s="3" t="s">
        <v>144</v>
      </c>
      <c r="CO164" s="3" t="s">
        <v>144</v>
      </c>
      <c r="CP164" s="3" t="s">
        <v>144</v>
      </c>
      <c r="CQ164" s="3" t="s">
        <v>144</v>
      </c>
      <c r="CR164" s="3" t="s">
        <v>144</v>
      </c>
      <c r="CS164" s="3" t="s">
        <v>144</v>
      </c>
      <c r="CT164" s="3" t="s">
        <v>144</v>
      </c>
      <c r="CU164" s="3" t="s">
        <v>144</v>
      </c>
      <c r="CV164" s="3" t="s">
        <v>144</v>
      </c>
      <c r="CW164" s="3" t="s">
        <v>144</v>
      </c>
      <c r="CX164" s="3" t="s">
        <v>144</v>
      </c>
      <c r="CY164" s="3" t="s">
        <v>144</v>
      </c>
    </row>
    <row r="165" spans="1:103" x14ac:dyDescent="0.25">
      <c r="A165" t="s">
        <v>85</v>
      </c>
      <c r="B165" t="s">
        <v>4</v>
      </c>
      <c r="C165">
        <v>288.45537707241851</v>
      </c>
      <c r="D165">
        <v>234.05483988396861</v>
      </c>
      <c r="E165">
        <v>246.53967832474368</v>
      </c>
      <c r="F165">
        <v>174.35357931246233</v>
      </c>
      <c r="G165">
        <v>182.97361111624988</v>
      </c>
      <c r="H165">
        <v>256.81085080884378</v>
      </c>
      <c r="I165">
        <v>242.48116075894012</v>
      </c>
      <c r="J165">
        <v>274.41451243122248</v>
      </c>
      <c r="K165">
        <v>269.3664683038005</v>
      </c>
      <c r="L165">
        <v>284.10255885108529</v>
      </c>
      <c r="M165">
        <v>285.53675841373206</v>
      </c>
      <c r="N165">
        <v>264.66668987382752</v>
      </c>
      <c r="O165">
        <v>255.1114656706327</v>
      </c>
      <c r="P165">
        <v>234.87864115721177</v>
      </c>
      <c r="Q165">
        <v>228.97491210384007</v>
      </c>
      <c r="R165">
        <v>223.2350520008747</v>
      </c>
      <c r="S165">
        <v>221.94996260728669</v>
      </c>
      <c r="T165">
        <v>226.3643954556286</v>
      </c>
      <c r="U165">
        <v>228.87571883819294</v>
      </c>
      <c r="V165">
        <v>233.91522228861598</v>
      </c>
      <c r="W165">
        <v>234.78394702669488</v>
      </c>
      <c r="X165">
        <v>234.24467044421593</v>
      </c>
      <c r="Y165">
        <v>231.60526150151887</v>
      </c>
      <c r="Z165">
        <v>227.03722232387253</v>
      </c>
      <c r="AA165">
        <v>222.67730428149369</v>
      </c>
      <c r="AB165">
        <v>217.82926994067927</v>
      </c>
      <c r="AC165">
        <v>214.33098237847847</v>
      </c>
      <c r="AD165">
        <v>211.80522582770027</v>
      </c>
      <c r="AE165">
        <v>210.47547621316099</v>
      </c>
      <c r="AF165">
        <v>210.18334727021571</v>
      </c>
      <c r="AG165">
        <v>210.1891677899836</v>
      </c>
      <c r="AH165">
        <v>210.3765921085562</v>
      </c>
      <c r="AI165">
        <v>210.09942041766143</v>
      </c>
      <c r="AJ165">
        <v>209.30880011258154</v>
      </c>
      <c r="AK165">
        <v>207.93641129436821</v>
      </c>
      <c r="AL165">
        <v>206.10130495657091</v>
      </c>
      <c r="AM165">
        <v>204.11807267178759</v>
      </c>
      <c r="AN165">
        <v>202.1644859522967</v>
      </c>
      <c r="AO165">
        <v>200.50062332506221</v>
      </c>
      <c r="AP165">
        <v>199.19052087100738</v>
      </c>
      <c r="AQ165">
        <v>198.24237790632355</v>
      </c>
      <c r="AR165">
        <v>197.57850762004429</v>
      </c>
      <c r="AS165">
        <v>197.0549142291658</v>
      </c>
      <c r="AT165">
        <v>196.55983183840155</v>
      </c>
      <c r="AU165">
        <v>195.98008159928594</v>
      </c>
      <c r="AV165">
        <v>195.27279871915547</v>
      </c>
      <c r="AW165">
        <v>194.43415024929075</v>
      </c>
      <c r="AX165">
        <v>193.50043741155568</v>
      </c>
      <c r="AY165">
        <v>192.53518358439848</v>
      </c>
      <c r="BA165" s="1">
        <v>1</v>
      </c>
      <c r="BB165" t="str">
        <f t="shared" si="2"/>
        <v>Rj - Centro Fluminense</v>
      </c>
      <c r="BC165" s="3">
        <v>187.52461141132625</v>
      </c>
      <c r="BD165" s="3">
        <v>189.6843411734983</v>
      </c>
      <c r="BE165" s="3">
        <v>96.919547372503416</v>
      </c>
      <c r="BF165" s="3">
        <v>140.91327622493259</v>
      </c>
      <c r="BG165" s="3">
        <v>69.555370270356036</v>
      </c>
      <c r="BH165" s="3">
        <v>122.0706763117671</v>
      </c>
      <c r="BI165" s="3">
        <v>107.61067723568618</v>
      </c>
      <c r="BJ165" s="3">
        <v>103.67924111230818</v>
      </c>
      <c r="BK165" s="3">
        <v>121.46833021622231</v>
      </c>
      <c r="BL165" s="3">
        <v>105.9786135183671</v>
      </c>
      <c r="BM165" s="3">
        <v>120.50541825108917</v>
      </c>
      <c r="BN165" s="3">
        <v>102.67904574214123</v>
      </c>
      <c r="BO165" s="3">
        <v>96.023914862446901</v>
      </c>
      <c r="BP165" s="3">
        <v>86.41785661076139</v>
      </c>
      <c r="BQ165" s="3">
        <v>73.70643819413263</v>
      </c>
      <c r="BR165" s="3">
        <v>70.263915069544851</v>
      </c>
      <c r="BS165" s="3">
        <v>60.59562396354093</v>
      </c>
      <c r="BT165" s="3">
        <v>58.758968033404045</v>
      </c>
      <c r="BU165" s="3">
        <v>55.279462742471196</v>
      </c>
      <c r="BV165" s="3">
        <v>53.246022533719042</v>
      </c>
      <c r="BW165" s="3">
        <v>52.228906650690789</v>
      </c>
      <c r="BX165" s="3">
        <v>48.889975665362698</v>
      </c>
      <c r="BY165" s="3">
        <v>46.605072294636557</v>
      </c>
      <c r="BZ165" s="3">
        <v>42.184803569864698</v>
      </c>
      <c r="CA165" s="3">
        <v>37.86334066670787</v>
      </c>
      <c r="CB165" s="3">
        <v>33.110578429496314</v>
      </c>
      <c r="CC165" s="3">
        <v>28.23516549047406</v>
      </c>
      <c r="CD165" s="3">
        <v>24.226487955624691</v>
      </c>
      <c r="CE165" s="3">
        <v>20.436968052348249</v>
      </c>
      <c r="CF165" s="3">
        <v>17.593988504580636</v>
      </c>
      <c r="CG165" s="3">
        <v>15.099411721343756</v>
      </c>
      <c r="CH165" s="3">
        <v>12.939640147516656</v>
      </c>
      <c r="CI165" s="3">
        <v>10.921288024483601</v>
      </c>
      <c r="CJ165" s="3">
        <v>8.7224090997882229</v>
      </c>
      <c r="CK165" s="3">
        <v>6.443702521796439</v>
      </c>
      <c r="CL165" s="3">
        <v>3.9192930707462494</v>
      </c>
      <c r="CM165" s="3">
        <v>1.3202239091053798</v>
      </c>
      <c r="CN165" s="3">
        <v>-1.2974625430522337</v>
      </c>
      <c r="CO165" s="3">
        <v>-3.8392827230956357</v>
      </c>
      <c r="CP165" s="3">
        <v>-6.1930830113604998</v>
      </c>
      <c r="CQ165" s="3">
        <v>-8.3624420592203421</v>
      </c>
      <c r="CR165" s="3">
        <v>-10.309849614000569</v>
      </c>
      <c r="CS165" s="3">
        <v>-12.091417790134614</v>
      </c>
      <c r="CT165" s="3">
        <v>-13.748428111517768</v>
      </c>
      <c r="CU165" s="3">
        <v>-15.33390924007989</v>
      </c>
      <c r="CV165" s="3">
        <v>-16.901132487040883</v>
      </c>
      <c r="CW165" s="3">
        <v>-18.467413345237674</v>
      </c>
      <c r="CX165" s="3">
        <v>-20.047770895477441</v>
      </c>
      <c r="CY165" s="3">
        <v>-21.625220032417417</v>
      </c>
    </row>
    <row r="166" spans="1:103" x14ac:dyDescent="0.25">
      <c r="A166" t="s">
        <v>85</v>
      </c>
      <c r="B166" t="s">
        <v>5</v>
      </c>
      <c r="C166">
        <v>100.93076566109228</v>
      </c>
      <c r="D166">
        <v>44.370498710470315</v>
      </c>
      <c r="E166">
        <v>149.62013095224026</v>
      </c>
      <c r="F166">
        <v>33.440303087529756</v>
      </c>
      <c r="G166">
        <v>113.41824084589385</v>
      </c>
      <c r="H166">
        <v>134.74017449707668</v>
      </c>
      <c r="I166">
        <v>134.87048352325394</v>
      </c>
      <c r="J166">
        <v>170.7352713189143</v>
      </c>
      <c r="K166">
        <v>147.89813808757819</v>
      </c>
      <c r="L166">
        <v>178.12394533271819</v>
      </c>
      <c r="M166">
        <v>165.03134016264289</v>
      </c>
      <c r="N166">
        <v>161.9876441316863</v>
      </c>
      <c r="O166">
        <v>159.0875508081858</v>
      </c>
      <c r="P166">
        <v>148.46078454645038</v>
      </c>
      <c r="Q166">
        <v>155.26847390970744</v>
      </c>
      <c r="R166">
        <v>152.97113693132985</v>
      </c>
      <c r="S166">
        <v>161.35433864374576</v>
      </c>
      <c r="T166">
        <v>167.60542742222455</v>
      </c>
      <c r="U166">
        <v>173.59625609572174</v>
      </c>
      <c r="V166">
        <v>180.66919975489694</v>
      </c>
      <c r="W166">
        <v>182.55504037600409</v>
      </c>
      <c r="X166">
        <v>185.35469477885323</v>
      </c>
      <c r="Y166">
        <v>185.00018920688231</v>
      </c>
      <c r="Z166">
        <v>184.85241875400783</v>
      </c>
      <c r="AA166">
        <v>184.81396361478582</v>
      </c>
      <c r="AB166">
        <v>184.71869151118295</v>
      </c>
      <c r="AC166">
        <v>186.09581688800441</v>
      </c>
      <c r="AD166">
        <v>187.57873787207558</v>
      </c>
      <c r="AE166">
        <v>190.03850816081274</v>
      </c>
      <c r="AF166">
        <v>192.58935876563507</v>
      </c>
      <c r="AG166">
        <v>195.08975606863984</v>
      </c>
      <c r="AH166">
        <v>197.43695196103954</v>
      </c>
      <c r="AI166">
        <v>199.17813239317783</v>
      </c>
      <c r="AJ166">
        <v>200.58639101279331</v>
      </c>
      <c r="AK166">
        <v>201.49270877257177</v>
      </c>
      <c r="AL166">
        <v>202.18201188582466</v>
      </c>
      <c r="AM166">
        <v>202.79784876268221</v>
      </c>
      <c r="AN166">
        <v>203.46194849534893</v>
      </c>
      <c r="AO166">
        <v>204.33990604815784</v>
      </c>
      <c r="AP166">
        <v>205.38360388236788</v>
      </c>
      <c r="AQ166">
        <v>206.6048199655439</v>
      </c>
      <c r="AR166">
        <v>207.88835723404486</v>
      </c>
      <c r="AS166">
        <v>209.14633201930042</v>
      </c>
      <c r="AT166">
        <v>210.30825994991932</v>
      </c>
      <c r="AU166">
        <v>211.31399083936583</v>
      </c>
      <c r="AV166">
        <v>212.17393120619636</v>
      </c>
      <c r="AW166">
        <v>212.90156359452843</v>
      </c>
      <c r="AX166">
        <v>213.54820830703312</v>
      </c>
      <c r="AY166">
        <v>214.1604036168159</v>
      </c>
      <c r="BA166" s="1">
        <v>-1</v>
      </c>
      <c r="BB166" t="str">
        <f t="shared" si="2"/>
        <v>Rj - Centro Fluminense</v>
      </c>
      <c r="BC166" s="3" t="s">
        <v>144</v>
      </c>
      <c r="BD166" s="3" t="s">
        <v>144</v>
      </c>
      <c r="BE166" s="3" t="s">
        <v>144</v>
      </c>
      <c r="BF166" s="3" t="s">
        <v>144</v>
      </c>
      <c r="BG166" s="3" t="s">
        <v>144</v>
      </c>
      <c r="BH166" s="3" t="s">
        <v>144</v>
      </c>
      <c r="BI166" s="3" t="s">
        <v>144</v>
      </c>
      <c r="BJ166" s="3" t="s">
        <v>144</v>
      </c>
      <c r="BK166" s="3" t="s">
        <v>144</v>
      </c>
      <c r="BL166" s="3" t="s">
        <v>144</v>
      </c>
      <c r="BM166" s="3" t="s">
        <v>144</v>
      </c>
      <c r="BN166" s="3" t="s">
        <v>144</v>
      </c>
      <c r="BO166" s="3" t="s">
        <v>144</v>
      </c>
      <c r="BP166" s="3" t="s">
        <v>144</v>
      </c>
      <c r="BQ166" s="3" t="s">
        <v>144</v>
      </c>
      <c r="BR166" s="3" t="s">
        <v>144</v>
      </c>
      <c r="BS166" s="3" t="s">
        <v>144</v>
      </c>
      <c r="BT166" s="3" t="s">
        <v>144</v>
      </c>
      <c r="BU166" s="3" t="s">
        <v>144</v>
      </c>
      <c r="BV166" s="3" t="s">
        <v>144</v>
      </c>
      <c r="BW166" s="3" t="s">
        <v>144</v>
      </c>
      <c r="BX166" s="3" t="s">
        <v>144</v>
      </c>
      <c r="BY166" s="3" t="s">
        <v>144</v>
      </c>
      <c r="BZ166" s="3" t="s">
        <v>144</v>
      </c>
      <c r="CA166" s="3" t="s">
        <v>144</v>
      </c>
      <c r="CB166" s="3" t="s">
        <v>144</v>
      </c>
      <c r="CC166" s="3" t="s">
        <v>144</v>
      </c>
      <c r="CD166" s="3" t="s">
        <v>144</v>
      </c>
      <c r="CE166" s="3" t="s">
        <v>144</v>
      </c>
      <c r="CF166" s="3" t="s">
        <v>144</v>
      </c>
      <c r="CG166" s="3" t="s">
        <v>144</v>
      </c>
      <c r="CH166" s="3" t="s">
        <v>144</v>
      </c>
      <c r="CI166" s="3" t="s">
        <v>144</v>
      </c>
      <c r="CJ166" s="3" t="s">
        <v>144</v>
      </c>
      <c r="CK166" s="3" t="s">
        <v>144</v>
      </c>
      <c r="CL166" s="3" t="s">
        <v>144</v>
      </c>
      <c r="CM166" s="3" t="s">
        <v>144</v>
      </c>
      <c r="CN166" s="3" t="s">
        <v>144</v>
      </c>
      <c r="CO166" s="3" t="s">
        <v>144</v>
      </c>
      <c r="CP166" s="3" t="s">
        <v>144</v>
      </c>
      <c r="CQ166" s="3" t="s">
        <v>144</v>
      </c>
      <c r="CR166" s="3" t="s">
        <v>144</v>
      </c>
      <c r="CS166" s="3" t="s">
        <v>144</v>
      </c>
      <c r="CT166" s="3" t="s">
        <v>144</v>
      </c>
      <c r="CU166" s="3" t="s">
        <v>144</v>
      </c>
      <c r="CV166" s="3" t="s">
        <v>144</v>
      </c>
      <c r="CW166" s="3" t="s">
        <v>144</v>
      </c>
      <c r="CX166" s="3" t="s">
        <v>144</v>
      </c>
      <c r="CY166" s="3" t="s">
        <v>144</v>
      </c>
    </row>
    <row r="167" spans="1:103" x14ac:dyDescent="0.25">
      <c r="A167" t="s">
        <v>86</v>
      </c>
      <c r="B167" t="s">
        <v>4</v>
      </c>
      <c r="C167">
        <v>88.941421839037972</v>
      </c>
      <c r="D167">
        <v>10.477657918676867</v>
      </c>
      <c r="E167">
        <v>138.14404863559923</v>
      </c>
      <c r="F167">
        <v>147.45205792844089</v>
      </c>
      <c r="G167">
        <v>162.50972383607535</v>
      </c>
      <c r="H167">
        <v>213.65354171595175</v>
      </c>
      <c r="I167">
        <v>196.341257114417</v>
      </c>
      <c r="J167">
        <v>234.91584564922493</v>
      </c>
      <c r="K167">
        <v>221.66637845960244</v>
      </c>
      <c r="L167">
        <v>230.50015022736233</v>
      </c>
      <c r="M167">
        <v>233.78870628802943</v>
      </c>
      <c r="N167">
        <v>227.50009895433092</v>
      </c>
      <c r="O167">
        <v>236.7109722289608</v>
      </c>
      <c r="P167">
        <v>233.33821693004847</v>
      </c>
      <c r="Q167">
        <v>242.9844768456513</v>
      </c>
      <c r="R167">
        <v>249.45670300922467</v>
      </c>
      <c r="S167">
        <v>258.26500612392738</v>
      </c>
      <c r="T167">
        <v>269.34788459736967</v>
      </c>
      <c r="U167">
        <v>276.04806811019455</v>
      </c>
      <c r="V167">
        <v>284.32139107675687</v>
      </c>
      <c r="W167">
        <v>288.29869129677536</v>
      </c>
      <c r="X167">
        <v>291.98096763093594</v>
      </c>
      <c r="Y167">
        <v>294.64338563850555</v>
      </c>
      <c r="Z167">
        <v>296.72749741120333</v>
      </c>
      <c r="AA167">
        <v>300.04428955354126</v>
      </c>
      <c r="AB167">
        <v>303.30233552344203</v>
      </c>
      <c r="AC167">
        <v>307.75743828588747</v>
      </c>
      <c r="AD167">
        <v>312.35454124677659</v>
      </c>
      <c r="AE167">
        <v>317.10262928303456</v>
      </c>
      <c r="AF167">
        <v>321.78939270446148</v>
      </c>
      <c r="AG167">
        <v>325.91926510919154</v>
      </c>
      <c r="AH167">
        <v>329.74443139999084</v>
      </c>
      <c r="AI167">
        <v>332.96896933872875</v>
      </c>
      <c r="AJ167">
        <v>335.85552240059786</v>
      </c>
      <c r="AK167">
        <v>338.45759065612611</v>
      </c>
      <c r="AL167">
        <v>340.89667330293287</v>
      </c>
      <c r="AM167">
        <v>343.36421102282452</v>
      </c>
      <c r="AN167">
        <v>345.86336268923566</v>
      </c>
      <c r="AO167">
        <v>348.49060153255147</v>
      </c>
      <c r="AP167">
        <v>351.1793055300584</v>
      </c>
      <c r="AQ167">
        <v>353.88153241186211</v>
      </c>
      <c r="AR167">
        <v>356.52225330561862</v>
      </c>
      <c r="AS167">
        <v>359.01530144959088</v>
      </c>
      <c r="AT167">
        <v>361.33567988048134</v>
      </c>
      <c r="AU167">
        <v>363.45955279610581</v>
      </c>
      <c r="AV167">
        <v>365.41921943413206</v>
      </c>
      <c r="AW167">
        <v>367.25356980610798</v>
      </c>
      <c r="AX167">
        <v>369.00883847958403</v>
      </c>
      <c r="AY167">
        <v>370.72798630472437</v>
      </c>
      <c r="BA167" s="1">
        <v>1</v>
      </c>
      <c r="BB167" t="str">
        <f t="shared" si="2"/>
        <v>Rj - Baixadas</v>
      </c>
      <c r="BC167" s="3">
        <v>61.985839099512241</v>
      </c>
      <c r="BD167" s="3">
        <v>114.50661928636181</v>
      </c>
      <c r="BE167" s="3">
        <v>70.98769425317802</v>
      </c>
      <c r="BF167" s="3">
        <v>218.59118605303269</v>
      </c>
      <c r="BG167" s="3">
        <v>91.890630120664582</v>
      </c>
      <c r="BH167" s="3">
        <v>150.2514525934385</v>
      </c>
      <c r="BI167" s="3">
        <v>125.182163336702</v>
      </c>
      <c r="BJ167" s="3">
        <v>116.99626131300953</v>
      </c>
      <c r="BK167" s="3">
        <v>141.48787610785953</v>
      </c>
      <c r="BL167" s="3">
        <v>109.26041626597564</v>
      </c>
      <c r="BM167" s="3">
        <v>133.23665356636374</v>
      </c>
      <c r="BN167" s="3">
        <v>113.82180364388236</v>
      </c>
      <c r="BO167" s="3">
        <v>112.96490498320134</v>
      </c>
      <c r="BP167" s="3">
        <v>106.96252968619052</v>
      </c>
      <c r="BQ167" s="3">
        <v>92.720373126118488</v>
      </c>
      <c r="BR167" s="3">
        <v>92.37759923876996</v>
      </c>
      <c r="BS167" s="3">
        <v>80.454447790458914</v>
      </c>
      <c r="BT167" s="3">
        <v>79.13601717379666</v>
      </c>
      <c r="BU167" s="3">
        <v>74.12156995274708</v>
      </c>
      <c r="BV167" s="3">
        <v>70.619409776613537</v>
      </c>
      <c r="BW167" s="3">
        <v>69.3228211406512</v>
      </c>
      <c r="BX167" s="3">
        <v>64.955668840214031</v>
      </c>
      <c r="BY167" s="3">
        <v>63.213239612771559</v>
      </c>
      <c r="BZ167" s="3">
        <v>58.968480483558665</v>
      </c>
      <c r="CA167" s="3">
        <v>55.455762882069877</v>
      </c>
      <c r="CB167" s="3">
        <v>51.56329614208866</v>
      </c>
      <c r="CC167" s="3">
        <v>47.192730452941134</v>
      </c>
      <c r="CD167" s="3">
        <v>43.664262287609915</v>
      </c>
      <c r="CE167" s="3">
        <v>39.774595795214793</v>
      </c>
      <c r="CF167" s="3">
        <v>36.754579320270977</v>
      </c>
      <c r="CG167" s="3">
        <v>33.87813348523764</v>
      </c>
      <c r="CH167" s="3">
        <v>31.345815058044252</v>
      </c>
      <c r="CI167" s="3">
        <v>29.109038418870455</v>
      </c>
      <c r="CJ167" s="3">
        <v>26.786032253941698</v>
      </c>
      <c r="CK167" s="3">
        <v>24.594710449222646</v>
      </c>
      <c r="CL167" s="3">
        <v>22.227771692562214</v>
      </c>
      <c r="CM167" s="3">
        <v>19.852668809730744</v>
      </c>
      <c r="CN167" s="3">
        <v>17.449488790914813</v>
      </c>
      <c r="CO167" s="3">
        <v>15.060831722655109</v>
      </c>
      <c r="CP167" s="3">
        <v>12.803603974841451</v>
      </c>
      <c r="CQ167" s="3">
        <v>10.646145140426427</v>
      </c>
      <c r="CR167" s="3">
        <v>8.6635967696086595</v>
      </c>
      <c r="CS167" s="3">
        <v>6.8116731974324125</v>
      </c>
      <c r="CT167" s="3">
        <v>5.0802483146791246</v>
      </c>
      <c r="CU167" s="3">
        <v>3.4418297904142037</v>
      </c>
      <c r="CV167" s="3">
        <v>1.8518304513355019</v>
      </c>
      <c r="CW167" s="3">
        <v>0.30315498437653332</v>
      </c>
      <c r="CX167" s="3">
        <v>-1.2303612860254702</v>
      </c>
      <c r="CY167" s="3">
        <v>-2.7418775619859161</v>
      </c>
    </row>
    <row r="168" spans="1:103" x14ac:dyDescent="0.25">
      <c r="A168" t="s">
        <v>86</v>
      </c>
      <c r="B168" t="s">
        <v>5</v>
      </c>
      <c r="C168">
        <v>26.955582739525731</v>
      </c>
      <c r="D168">
        <v>-104.02896136768494</v>
      </c>
      <c r="E168">
        <v>67.156354382421213</v>
      </c>
      <c r="F168">
        <v>-71.139128124591792</v>
      </c>
      <c r="G168">
        <v>70.61909371541077</v>
      </c>
      <c r="H168">
        <v>63.402089122513253</v>
      </c>
      <c r="I168">
        <v>71.159093777715</v>
      </c>
      <c r="J168">
        <v>117.91958433621541</v>
      </c>
      <c r="K168">
        <v>80.178502351742907</v>
      </c>
      <c r="L168">
        <v>121.23973396138669</v>
      </c>
      <c r="M168">
        <v>100.55205272166569</v>
      </c>
      <c r="N168">
        <v>113.67829531044856</v>
      </c>
      <c r="O168">
        <v>123.74606724575946</v>
      </c>
      <c r="P168">
        <v>126.37568724385795</v>
      </c>
      <c r="Q168">
        <v>150.26410371953281</v>
      </c>
      <c r="R168">
        <v>157.07910377045471</v>
      </c>
      <c r="S168">
        <v>177.81055833346846</v>
      </c>
      <c r="T168">
        <v>190.21186742357301</v>
      </c>
      <c r="U168">
        <v>201.92649815744747</v>
      </c>
      <c r="V168">
        <v>213.70198130014333</v>
      </c>
      <c r="W168">
        <v>218.97587015612416</v>
      </c>
      <c r="X168">
        <v>227.02529879072191</v>
      </c>
      <c r="Y168">
        <v>231.43014602573399</v>
      </c>
      <c r="Z168">
        <v>237.75901692764467</v>
      </c>
      <c r="AA168">
        <v>244.58852667147139</v>
      </c>
      <c r="AB168">
        <v>251.73903938135336</v>
      </c>
      <c r="AC168">
        <v>260.56470783294634</v>
      </c>
      <c r="AD168">
        <v>268.69027895916668</v>
      </c>
      <c r="AE168">
        <v>277.32803348781977</v>
      </c>
      <c r="AF168">
        <v>285.0348133841905</v>
      </c>
      <c r="AG168">
        <v>292.0411316239539</v>
      </c>
      <c r="AH168">
        <v>298.39861634194659</v>
      </c>
      <c r="AI168">
        <v>303.8599309198583</v>
      </c>
      <c r="AJ168">
        <v>309.06949014665616</v>
      </c>
      <c r="AK168">
        <v>313.86288020690347</v>
      </c>
      <c r="AL168">
        <v>318.66890161037065</v>
      </c>
      <c r="AM168">
        <v>323.51154221309378</v>
      </c>
      <c r="AN168">
        <v>328.41387389832084</v>
      </c>
      <c r="AO168">
        <v>333.42976980989636</v>
      </c>
      <c r="AP168">
        <v>338.37570155521695</v>
      </c>
      <c r="AQ168">
        <v>343.23538727143568</v>
      </c>
      <c r="AR168">
        <v>347.85865653600996</v>
      </c>
      <c r="AS168">
        <v>352.20362825215847</v>
      </c>
      <c r="AT168">
        <v>356.25543156580221</v>
      </c>
      <c r="AU168">
        <v>360.01772300569161</v>
      </c>
      <c r="AV168">
        <v>363.56738898279656</v>
      </c>
      <c r="AW168">
        <v>366.95041482173144</v>
      </c>
      <c r="AX168">
        <v>370.2391997656095</v>
      </c>
      <c r="AY168">
        <v>373.46986386671028</v>
      </c>
      <c r="BA168" s="1">
        <v>-1</v>
      </c>
      <c r="BB168" t="str">
        <f t="shared" si="2"/>
        <v>Rj - Baixadas</v>
      </c>
      <c r="BC168" s="3" t="s">
        <v>144</v>
      </c>
      <c r="BD168" s="3" t="s">
        <v>144</v>
      </c>
      <c r="BE168" s="3" t="s">
        <v>144</v>
      </c>
      <c r="BF168" s="3" t="s">
        <v>144</v>
      </c>
      <c r="BG168" s="3" t="s">
        <v>144</v>
      </c>
      <c r="BH168" s="3" t="s">
        <v>144</v>
      </c>
      <c r="BI168" s="3" t="s">
        <v>144</v>
      </c>
      <c r="BJ168" s="3" t="s">
        <v>144</v>
      </c>
      <c r="BK168" s="3" t="s">
        <v>144</v>
      </c>
      <c r="BL168" s="3" t="s">
        <v>144</v>
      </c>
      <c r="BM168" s="3" t="s">
        <v>144</v>
      </c>
      <c r="BN168" s="3" t="s">
        <v>144</v>
      </c>
      <c r="BO168" s="3" t="s">
        <v>144</v>
      </c>
      <c r="BP168" s="3" t="s">
        <v>144</v>
      </c>
      <c r="BQ168" s="3" t="s">
        <v>144</v>
      </c>
      <c r="BR168" s="3" t="s">
        <v>144</v>
      </c>
      <c r="BS168" s="3" t="s">
        <v>144</v>
      </c>
      <c r="BT168" s="3" t="s">
        <v>144</v>
      </c>
      <c r="BU168" s="3" t="s">
        <v>144</v>
      </c>
      <c r="BV168" s="3" t="s">
        <v>144</v>
      </c>
      <c r="BW168" s="3" t="s">
        <v>144</v>
      </c>
      <c r="BX168" s="3" t="s">
        <v>144</v>
      </c>
      <c r="BY168" s="3" t="s">
        <v>144</v>
      </c>
      <c r="BZ168" s="3" t="s">
        <v>144</v>
      </c>
      <c r="CA168" s="3" t="s">
        <v>144</v>
      </c>
      <c r="CB168" s="3" t="s">
        <v>144</v>
      </c>
      <c r="CC168" s="3" t="s">
        <v>144</v>
      </c>
      <c r="CD168" s="3" t="s">
        <v>144</v>
      </c>
      <c r="CE168" s="3" t="s">
        <v>144</v>
      </c>
      <c r="CF168" s="3" t="s">
        <v>144</v>
      </c>
      <c r="CG168" s="3" t="s">
        <v>144</v>
      </c>
      <c r="CH168" s="3" t="s">
        <v>144</v>
      </c>
      <c r="CI168" s="3" t="s">
        <v>144</v>
      </c>
      <c r="CJ168" s="3" t="s">
        <v>144</v>
      </c>
      <c r="CK168" s="3" t="s">
        <v>144</v>
      </c>
      <c r="CL168" s="3" t="s">
        <v>144</v>
      </c>
      <c r="CM168" s="3" t="s">
        <v>144</v>
      </c>
      <c r="CN168" s="3" t="s">
        <v>144</v>
      </c>
      <c r="CO168" s="3" t="s">
        <v>144</v>
      </c>
      <c r="CP168" s="3" t="s">
        <v>144</v>
      </c>
      <c r="CQ168" s="3" t="s">
        <v>144</v>
      </c>
      <c r="CR168" s="3" t="s">
        <v>144</v>
      </c>
      <c r="CS168" s="3" t="s">
        <v>144</v>
      </c>
      <c r="CT168" s="3" t="s">
        <v>144</v>
      </c>
      <c r="CU168" s="3" t="s">
        <v>144</v>
      </c>
      <c r="CV168" s="3" t="s">
        <v>144</v>
      </c>
      <c r="CW168" s="3" t="s">
        <v>144</v>
      </c>
      <c r="CX168" s="3" t="s">
        <v>144</v>
      </c>
      <c r="CY168" s="3" t="s">
        <v>144</v>
      </c>
    </row>
    <row r="169" spans="1:103" x14ac:dyDescent="0.25">
      <c r="A169" t="s">
        <v>87</v>
      </c>
      <c r="B169" t="s">
        <v>4</v>
      </c>
      <c r="C169">
        <v>426.3478758267878</v>
      </c>
      <c r="D169">
        <v>476.35914180441995</v>
      </c>
      <c r="E169">
        <v>543.20338246988524</v>
      </c>
      <c r="F169">
        <v>481.23960445613369</v>
      </c>
      <c r="G169">
        <v>520.88020430505287</v>
      </c>
      <c r="H169">
        <v>614.95084152866195</v>
      </c>
      <c r="I169">
        <v>629.52707449775869</v>
      </c>
      <c r="J169">
        <v>683.47067354721594</v>
      </c>
      <c r="K169">
        <v>679.22256216934397</v>
      </c>
      <c r="L169">
        <v>697.52780549036481</v>
      </c>
      <c r="M169">
        <v>689.23155390866225</v>
      </c>
      <c r="N169">
        <v>658.86491625610915</v>
      </c>
      <c r="O169">
        <v>635.64757203143802</v>
      </c>
      <c r="P169">
        <v>603.22159669362247</v>
      </c>
      <c r="Q169">
        <v>593.06301734644148</v>
      </c>
      <c r="R169">
        <v>587.41359200061038</v>
      </c>
      <c r="S169">
        <v>593.13232477681311</v>
      </c>
      <c r="T169">
        <v>605.80369849265617</v>
      </c>
      <c r="U169">
        <v>616.66099305121293</v>
      </c>
      <c r="V169">
        <v>627.87614754680487</v>
      </c>
      <c r="W169">
        <v>631.07413524916603</v>
      </c>
      <c r="X169">
        <v>630.14896837197489</v>
      </c>
      <c r="Y169">
        <v>624.4718200844751</v>
      </c>
      <c r="Z169">
        <v>616.27153101923795</v>
      </c>
      <c r="AA169">
        <v>608.56401875609049</v>
      </c>
      <c r="AB169">
        <v>601.47804765011904</v>
      </c>
      <c r="AC169">
        <v>597.3021697380085</v>
      </c>
      <c r="AD169">
        <v>595.32774031851488</v>
      </c>
      <c r="AE169">
        <v>595.62327541210664</v>
      </c>
      <c r="AF169">
        <v>597.37103666276391</v>
      </c>
      <c r="AG169">
        <v>599.40222367552053</v>
      </c>
      <c r="AH169">
        <v>601.18771240050444</v>
      </c>
      <c r="AI169">
        <v>601.80734182769459</v>
      </c>
      <c r="AJ169">
        <v>601.21566718286488</v>
      </c>
      <c r="AK169">
        <v>599.42013037230788</v>
      </c>
      <c r="AL169">
        <v>596.82452834877847</v>
      </c>
      <c r="AM169">
        <v>594.02324149631886</v>
      </c>
      <c r="AN169">
        <v>591.45775015603715</v>
      </c>
      <c r="AO169">
        <v>589.55930956807811</v>
      </c>
      <c r="AP169">
        <v>588.4157499378631</v>
      </c>
      <c r="AQ169">
        <v>587.96715033607654</v>
      </c>
      <c r="AR169">
        <v>587.97532528766817</v>
      </c>
      <c r="AS169">
        <v>588.12977593013568</v>
      </c>
      <c r="AT169">
        <v>588.17970221007045</v>
      </c>
      <c r="AU169">
        <v>587.93354988652584</v>
      </c>
      <c r="AV169">
        <v>587.34382429951586</v>
      </c>
      <c r="AW169">
        <v>586.45244448915264</v>
      </c>
      <c r="AX169">
        <v>585.37666436131667</v>
      </c>
      <c r="AY169">
        <v>584.26218580575153</v>
      </c>
      <c r="BA169" s="1">
        <v>1</v>
      </c>
      <c r="BB169" t="str">
        <f t="shared" si="2"/>
        <v>Rj - Sul Fluminense</v>
      </c>
      <c r="BC169" s="3">
        <v>258.31475773660725</v>
      </c>
      <c r="BD169" s="3">
        <v>437.00261692320004</v>
      </c>
      <c r="BE169" s="3">
        <v>221.65875830016682</v>
      </c>
      <c r="BF169" s="3">
        <v>345.67369817135119</v>
      </c>
      <c r="BG169" s="3">
        <v>246.20010232135655</v>
      </c>
      <c r="BH169" s="3">
        <v>290.79461498527922</v>
      </c>
      <c r="BI169" s="3">
        <v>293.92860770042466</v>
      </c>
      <c r="BJ169" s="3">
        <v>267.48561642563033</v>
      </c>
      <c r="BK169" s="3">
        <v>307.67651061037566</v>
      </c>
      <c r="BL169" s="3">
        <v>266.79431923363813</v>
      </c>
      <c r="BM169" s="3">
        <v>273.93864290717255</v>
      </c>
      <c r="BN169" s="3">
        <v>241.09390997351329</v>
      </c>
      <c r="BO169" s="3">
        <v>214.10291229376082</v>
      </c>
      <c r="BP169" s="3">
        <v>196.35995984465421</v>
      </c>
      <c r="BQ169" s="3">
        <v>167.53405904559014</v>
      </c>
      <c r="BR169" s="3">
        <v>160.92795057196196</v>
      </c>
      <c r="BS169" s="3">
        <v>146.13352336630879</v>
      </c>
      <c r="BT169" s="3">
        <v>141.99865929992723</v>
      </c>
      <c r="BU169" s="3">
        <v>137.29050679250645</v>
      </c>
      <c r="BV169" s="3">
        <v>130.44401499024718</v>
      </c>
      <c r="BW169" s="3">
        <v>125.74032105196943</v>
      </c>
      <c r="BX169" s="3">
        <v>115.33959426667479</v>
      </c>
      <c r="BY169" s="3">
        <v>106.24423537703069</v>
      </c>
      <c r="BZ169" s="3">
        <v>94.418744069386662</v>
      </c>
      <c r="CA169" s="3">
        <v>82.689277581298825</v>
      </c>
      <c r="CB169" s="3">
        <v>71.777518723106368</v>
      </c>
      <c r="CC169" s="3">
        <v>61.023794873210704</v>
      </c>
      <c r="CD169" s="3">
        <v>52.479928561254837</v>
      </c>
      <c r="CE169" s="3">
        <v>44.639242745746287</v>
      </c>
      <c r="CF169" s="3">
        <v>38.313993249206874</v>
      </c>
      <c r="CG169" s="3">
        <v>32.623357442392262</v>
      </c>
      <c r="CH169" s="3">
        <v>27.099979316520148</v>
      </c>
      <c r="CI169" s="3">
        <v>21.642675486483313</v>
      </c>
      <c r="CJ169" s="3">
        <v>15.629328392405228</v>
      </c>
      <c r="CK169" s="3">
        <v>9.3780403592462562</v>
      </c>
      <c r="CL169" s="3">
        <v>2.7869325679251915</v>
      </c>
      <c r="CM169" s="3">
        <v>-3.8051463511709471</v>
      </c>
      <c r="CN169" s="3">
        <v>-10.148523506383299</v>
      </c>
      <c r="CO169" s="3">
        <v>-16.120446402640596</v>
      </c>
      <c r="CP169" s="3">
        <v>-21.537799074028953</v>
      </c>
      <c r="CQ169" s="3">
        <v>-26.489193842149575</v>
      </c>
      <c r="CR169" s="3">
        <v>-31.007767099690454</v>
      </c>
      <c r="CS169" s="3">
        <v>-35.244383769010369</v>
      </c>
      <c r="CT169" s="3">
        <v>-39.328431665124299</v>
      </c>
      <c r="CU169" s="3">
        <v>-43.343888312008403</v>
      </c>
      <c r="CV169" s="3">
        <v>-47.365992243743904</v>
      </c>
      <c r="CW169" s="3">
        <v>-51.384380758700104</v>
      </c>
      <c r="CX169" s="3">
        <v>-55.38170576708103</v>
      </c>
      <c r="CY169" s="3">
        <v>-59.301475963169764</v>
      </c>
    </row>
    <row r="170" spans="1:103" x14ac:dyDescent="0.25">
      <c r="A170" t="s">
        <v>87</v>
      </c>
      <c r="B170" t="s">
        <v>5</v>
      </c>
      <c r="C170">
        <v>168.03311809018058</v>
      </c>
      <c r="D170">
        <v>39.356524881219904</v>
      </c>
      <c r="E170">
        <v>321.54462416971842</v>
      </c>
      <c r="F170">
        <v>135.5659062847825</v>
      </c>
      <c r="G170">
        <v>274.68010198369632</v>
      </c>
      <c r="H170">
        <v>324.15622654338273</v>
      </c>
      <c r="I170">
        <v>335.59846679733403</v>
      </c>
      <c r="J170">
        <v>415.98505712158561</v>
      </c>
      <c r="K170">
        <v>371.54605155896832</v>
      </c>
      <c r="L170">
        <v>430.73348625672668</v>
      </c>
      <c r="M170">
        <v>415.2929110014897</v>
      </c>
      <c r="N170">
        <v>417.77100628259586</v>
      </c>
      <c r="O170">
        <v>421.54465973767719</v>
      </c>
      <c r="P170">
        <v>406.86163684896826</v>
      </c>
      <c r="Q170">
        <v>425.52895830085134</v>
      </c>
      <c r="R170">
        <v>426.48564142864842</v>
      </c>
      <c r="S170">
        <v>446.99880141050431</v>
      </c>
      <c r="T170">
        <v>463.80503919272894</v>
      </c>
      <c r="U170">
        <v>479.37048625870648</v>
      </c>
      <c r="V170">
        <v>497.43213255655769</v>
      </c>
      <c r="W170">
        <v>505.3338141971966</v>
      </c>
      <c r="X170">
        <v>514.80937410530009</v>
      </c>
      <c r="Y170">
        <v>518.22758470744441</v>
      </c>
      <c r="Z170">
        <v>521.85278694985129</v>
      </c>
      <c r="AA170">
        <v>525.87474117479167</v>
      </c>
      <c r="AB170">
        <v>529.70052892701267</v>
      </c>
      <c r="AC170">
        <v>536.2783748647978</v>
      </c>
      <c r="AD170">
        <v>542.84781175726005</v>
      </c>
      <c r="AE170">
        <v>550.98403266636035</v>
      </c>
      <c r="AF170">
        <v>559.05704341355704</v>
      </c>
      <c r="AG170">
        <v>566.77886623312827</v>
      </c>
      <c r="AH170">
        <v>574.08773308398429</v>
      </c>
      <c r="AI170">
        <v>580.16466634121127</v>
      </c>
      <c r="AJ170">
        <v>585.58633879045965</v>
      </c>
      <c r="AK170">
        <v>590.04209001306162</v>
      </c>
      <c r="AL170">
        <v>594.03759578085328</v>
      </c>
      <c r="AM170">
        <v>597.82838784748981</v>
      </c>
      <c r="AN170">
        <v>601.60627366242045</v>
      </c>
      <c r="AO170">
        <v>605.6797559707187</v>
      </c>
      <c r="AP170">
        <v>609.95354901189205</v>
      </c>
      <c r="AQ170">
        <v>614.45634417822612</v>
      </c>
      <c r="AR170">
        <v>618.98309238735862</v>
      </c>
      <c r="AS170">
        <v>623.37415969914605</v>
      </c>
      <c r="AT170">
        <v>627.50813387519474</v>
      </c>
      <c r="AU170">
        <v>631.27743819853424</v>
      </c>
      <c r="AV170">
        <v>634.70981654325976</v>
      </c>
      <c r="AW170">
        <v>637.83682524785274</v>
      </c>
      <c r="AX170">
        <v>640.7583701283977</v>
      </c>
      <c r="AY170">
        <v>643.56366176892129</v>
      </c>
      <c r="BA170" s="1">
        <v>-1</v>
      </c>
      <c r="BB170" t="str">
        <f t="shared" si="2"/>
        <v>Rj - Sul Fluminense</v>
      </c>
      <c r="BC170" s="3" t="s">
        <v>144</v>
      </c>
      <c r="BD170" s="3" t="s">
        <v>144</v>
      </c>
      <c r="BE170" s="3" t="s">
        <v>144</v>
      </c>
      <c r="BF170" s="3" t="s">
        <v>144</v>
      </c>
      <c r="BG170" s="3" t="s">
        <v>144</v>
      </c>
      <c r="BH170" s="3" t="s">
        <v>144</v>
      </c>
      <c r="BI170" s="3" t="s">
        <v>144</v>
      </c>
      <c r="BJ170" s="3" t="s">
        <v>144</v>
      </c>
      <c r="BK170" s="3" t="s">
        <v>144</v>
      </c>
      <c r="BL170" s="3" t="s">
        <v>144</v>
      </c>
      <c r="BM170" s="3" t="s">
        <v>144</v>
      </c>
      <c r="BN170" s="3" t="s">
        <v>144</v>
      </c>
      <c r="BO170" s="3" t="s">
        <v>144</v>
      </c>
      <c r="BP170" s="3" t="s">
        <v>144</v>
      </c>
      <c r="BQ170" s="3" t="s">
        <v>144</v>
      </c>
      <c r="BR170" s="3" t="s">
        <v>144</v>
      </c>
      <c r="BS170" s="3" t="s">
        <v>144</v>
      </c>
      <c r="BT170" s="3" t="s">
        <v>144</v>
      </c>
      <c r="BU170" s="3" t="s">
        <v>144</v>
      </c>
      <c r="BV170" s="3" t="s">
        <v>144</v>
      </c>
      <c r="BW170" s="3" t="s">
        <v>144</v>
      </c>
      <c r="BX170" s="3" t="s">
        <v>144</v>
      </c>
      <c r="BY170" s="3" t="s">
        <v>144</v>
      </c>
      <c r="BZ170" s="3" t="s">
        <v>144</v>
      </c>
      <c r="CA170" s="3" t="s">
        <v>144</v>
      </c>
      <c r="CB170" s="3" t="s">
        <v>144</v>
      </c>
      <c r="CC170" s="3" t="s">
        <v>144</v>
      </c>
      <c r="CD170" s="3" t="s">
        <v>144</v>
      </c>
      <c r="CE170" s="3" t="s">
        <v>144</v>
      </c>
      <c r="CF170" s="3" t="s">
        <v>144</v>
      </c>
      <c r="CG170" s="3" t="s">
        <v>144</v>
      </c>
      <c r="CH170" s="3" t="s">
        <v>144</v>
      </c>
      <c r="CI170" s="3" t="s">
        <v>144</v>
      </c>
      <c r="CJ170" s="3" t="s">
        <v>144</v>
      </c>
      <c r="CK170" s="3" t="s">
        <v>144</v>
      </c>
      <c r="CL170" s="3" t="s">
        <v>144</v>
      </c>
      <c r="CM170" s="3" t="s">
        <v>144</v>
      </c>
      <c r="CN170" s="3" t="s">
        <v>144</v>
      </c>
      <c r="CO170" s="3" t="s">
        <v>144</v>
      </c>
      <c r="CP170" s="3" t="s">
        <v>144</v>
      </c>
      <c r="CQ170" s="3" t="s">
        <v>144</v>
      </c>
      <c r="CR170" s="3" t="s">
        <v>144</v>
      </c>
      <c r="CS170" s="3" t="s">
        <v>144</v>
      </c>
      <c r="CT170" s="3" t="s">
        <v>144</v>
      </c>
      <c r="CU170" s="3" t="s">
        <v>144</v>
      </c>
      <c r="CV170" s="3" t="s">
        <v>144</v>
      </c>
      <c r="CW170" s="3" t="s">
        <v>144</v>
      </c>
      <c r="CX170" s="3" t="s">
        <v>144</v>
      </c>
      <c r="CY170" s="3" t="s">
        <v>144</v>
      </c>
    </row>
    <row r="171" spans="1:103" x14ac:dyDescent="0.25">
      <c r="A171" t="s">
        <v>88</v>
      </c>
      <c r="B171" t="s">
        <v>4</v>
      </c>
      <c r="C171">
        <v>5297.6903340028466</v>
      </c>
      <c r="D171">
        <v>5133.9966945761898</v>
      </c>
      <c r="E171">
        <v>5408.8255297312835</v>
      </c>
      <c r="F171">
        <v>4621.8708777043066</v>
      </c>
      <c r="G171">
        <v>4825.1737483739162</v>
      </c>
      <c r="H171">
        <v>6273.0381015195271</v>
      </c>
      <c r="I171">
        <v>6267.9362738659829</v>
      </c>
      <c r="J171">
        <v>7018.4706134649605</v>
      </c>
      <c r="K171">
        <v>6997.3848224379344</v>
      </c>
      <c r="L171">
        <v>7242.6432457919991</v>
      </c>
      <c r="M171">
        <v>7297.8491194584467</v>
      </c>
      <c r="N171">
        <v>6971.736565490397</v>
      </c>
      <c r="O171">
        <v>6856.6511507661999</v>
      </c>
      <c r="P171">
        <v>6574.311175038476</v>
      </c>
      <c r="Q171">
        <v>6575.8638875586721</v>
      </c>
      <c r="R171">
        <v>6622.1968128026056</v>
      </c>
      <c r="S171">
        <v>6760.6607288121522</v>
      </c>
      <c r="T171">
        <v>6999.5559325711083</v>
      </c>
      <c r="U171">
        <v>7185.7883680765563</v>
      </c>
      <c r="V171">
        <v>7389.8921116980109</v>
      </c>
      <c r="W171">
        <v>7494.4464181318963</v>
      </c>
      <c r="X171">
        <v>7550.7728193500188</v>
      </c>
      <c r="Y171">
        <v>7558.9635319865456</v>
      </c>
      <c r="Z171">
        <v>7531.3840758036313</v>
      </c>
      <c r="AA171">
        <v>7514.7609775111468</v>
      </c>
      <c r="AB171">
        <v>7500.1493270149831</v>
      </c>
      <c r="AC171">
        <v>7518.4512751898683</v>
      </c>
      <c r="AD171">
        <v>7559.7275801948026</v>
      </c>
      <c r="AE171">
        <v>7622.5195597692746</v>
      </c>
      <c r="AF171">
        <v>7700.0143597845235</v>
      </c>
      <c r="AG171">
        <v>7775.9434428607392</v>
      </c>
      <c r="AH171">
        <v>7846.9668399539332</v>
      </c>
      <c r="AI171">
        <v>7902.1146229475826</v>
      </c>
      <c r="AJ171">
        <v>7941.8914047028948</v>
      </c>
      <c r="AK171">
        <v>7967.320405307787</v>
      </c>
      <c r="AL171">
        <v>7982.5777112666401</v>
      </c>
      <c r="AM171">
        <v>7995.0329502347859</v>
      </c>
      <c r="AN171">
        <v>8008.9059028741904</v>
      </c>
      <c r="AO171">
        <v>8029.0166589451264</v>
      </c>
      <c r="AP171">
        <v>8056.0201825209351</v>
      </c>
      <c r="AQ171">
        <v>8089.016280732315</v>
      </c>
      <c r="AR171">
        <v>8125.4799079685645</v>
      </c>
      <c r="AS171">
        <v>8161.8747583283184</v>
      </c>
      <c r="AT171">
        <v>8195.6728034515145</v>
      </c>
      <c r="AU171">
        <v>8224.8437929203119</v>
      </c>
      <c r="AV171">
        <v>8249.0329742177037</v>
      </c>
      <c r="AW171">
        <v>8268.8545623093396</v>
      </c>
      <c r="AX171">
        <v>8285.6670358936881</v>
      </c>
      <c r="AY171">
        <v>8301.1753856723735</v>
      </c>
      <c r="BA171" s="1">
        <v>1</v>
      </c>
      <c r="BB171" t="str">
        <f t="shared" si="2"/>
        <v>Rj - Metropol do RJ</v>
      </c>
      <c r="BC171" s="3">
        <v>2590.5281271231702</v>
      </c>
      <c r="BD171" s="3">
        <v>5411.1915121797392</v>
      </c>
      <c r="BE171" s="3">
        <v>1788.2504211163769</v>
      </c>
      <c r="BF171" s="3">
        <v>3623.6001373026979</v>
      </c>
      <c r="BG171" s="3">
        <v>2522.9952356018616</v>
      </c>
      <c r="BH171" s="3">
        <v>3118.3336889322218</v>
      </c>
      <c r="BI171" s="3">
        <v>3334.3931774735115</v>
      </c>
      <c r="BJ171" s="3">
        <v>2902.8143883955545</v>
      </c>
      <c r="BK171" s="3">
        <v>3620.7132259527771</v>
      </c>
      <c r="BL171" s="3">
        <v>3126.3386578361969</v>
      </c>
      <c r="BM171" s="3">
        <v>3297.0394305558852</v>
      </c>
      <c r="BN171" s="3">
        <v>2946.1760557572366</v>
      </c>
      <c r="BO171" s="3">
        <v>2610.4652468143831</v>
      </c>
      <c r="BP171" s="3">
        <v>2445.1520151693776</v>
      </c>
      <c r="BQ171" s="3">
        <v>2062.180609333217</v>
      </c>
      <c r="BR171" s="3">
        <v>1989.6836173844658</v>
      </c>
      <c r="BS171" s="3">
        <v>1795.5091487710433</v>
      </c>
      <c r="BT171" s="3">
        <v>1745.2055273306223</v>
      </c>
      <c r="BU171" s="3">
        <v>1711.4857675525436</v>
      </c>
      <c r="BV171" s="3">
        <v>1645.3557509512402</v>
      </c>
      <c r="BW171" s="3">
        <v>1625.4030923934652</v>
      </c>
      <c r="BX171" s="3">
        <v>1524.2204319026505</v>
      </c>
      <c r="BY171" s="3">
        <v>1439.4043266920016</v>
      </c>
      <c r="BZ171" s="3">
        <v>1313.6073307176503</v>
      </c>
      <c r="CA171" s="3">
        <v>1179.7844153207525</v>
      </c>
      <c r="CB171" s="3">
        <v>1055.0366496967245</v>
      </c>
      <c r="CC171" s="3">
        <v>926.7411564345166</v>
      </c>
      <c r="CD171" s="3">
        <v>828.13515273684334</v>
      </c>
      <c r="CE171" s="3">
        <v>738.46622512094928</v>
      </c>
      <c r="CF171" s="3">
        <v>669.49286603924975</v>
      </c>
      <c r="CG171" s="3">
        <v>610.80387600795257</v>
      </c>
      <c r="CH171" s="3">
        <v>554.73386780802593</v>
      </c>
      <c r="CI171" s="3">
        <v>500.93403735666379</v>
      </c>
      <c r="CJ171" s="3">
        <v>439.6196510679747</v>
      </c>
      <c r="CK171" s="3">
        <v>374.77642746502261</v>
      </c>
      <c r="CL171" s="3">
        <v>304.35244730120758</v>
      </c>
      <c r="CM171" s="3">
        <v>232.17222609633518</v>
      </c>
      <c r="CN171" s="3">
        <v>161.74832074783535</v>
      </c>
      <c r="CO171" s="3">
        <v>94.619475751921527</v>
      </c>
      <c r="CP171" s="3">
        <v>33.89790620880467</v>
      </c>
      <c r="CQ171" s="3">
        <v>-21.144024262966013</v>
      </c>
      <c r="CR171" s="3">
        <v>-70.473663607134768</v>
      </c>
      <c r="CS171" s="3">
        <v>-115.78313452218572</v>
      </c>
      <c r="CT171" s="3">
        <v>-158.84230225681677</v>
      </c>
      <c r="CU171" s="3">
        <v>-200.86239205212769</v>
      </c>
      <c r="CV171" s="3">
        <v>-243.1522349738425</v>
      </c>
      <c r="CW171" s="3">
        <v>-285.80835104780454</v>
      </c>
      <c r="CX171" s="3">
        <v>-328.78257478436353</v>
      </c>
      <c r="CY171" s="3">
        <v>-371.40921096454076</v>
      </c>
    </row>
    <row r="172" spans="1:103" x14ac:dyDescent="0.25">
      <c r="A172" t="s">
        <v>88</v>
      </c>
      <c r="B172" t="s">
        <v>5</v>
      </c>
      <c r="C172">
        <v>2707.1622068796764</v>
      </c>
      <c r="D172">
        <v>-277.19481760354972</v>
      </c>
      <c r="E172">
        <v>3620.5751086149066</v>
      </c>
      <c r="F172">
        <v>998.27074040160869</v>
      </c>
      <c r="G172">
        <v>2302.1785127720545</v>
      </c>
      <c r="H172">
        <v>3154.7044125873053</v>
      </c>
      <c r="I172">
        <v>2933.5430963924714</v>
      </c>
      <c r="J172">
        <v>4115.656225069406</v>
      </c>
      <c r="K172">
        <v>3376.6715964851574</v>
      </c>
      <c r="L172">
        <v>4116.3045879558022</v>
      </c>
      <c r="M172">
        <v>4000.8096889025614</v>
      </c>
      <c r="N172">
        <v>4025.5605097331604</v>
      </c>
      <c r="O172">
        <v>4246.1859039518167</v>
      </c>
      <c r="P172">
        <v>4129.1591598690984</v>
      </c>
      <c r="Q172">
        <v>4513.6832782254551</v>
      </c>
      <c r="R172">
        <v>4632.5131954181397</v>
      </c>
      <c r="S172">
        <v>4965.1515800411089</v>
      </c>
      <c r="T172">
        <v>5254.350405240486</v>
      </c>
      <c r="U172">
        <v>5474.3026005240126</v>
      </c>
      <c r="V172">
        <v>5744.5363607467707</v>
      </c>
      <c r="W172">
        <v>5869.0433257384311</v>
      </c>
      <c r="X172">
        <v>6026.5523874473683</v>
      </c>
      <c r="Y172">
        <v>6119.559205294544</v>
      </c>
      <c r="Z172">
        <v>6217.776745085981</v>
      </c>
      <c r="AA172">
        <v>6334.9765621903944</v>
      </c>
      <c r="AB172">
        <v>6445.1126773182586</v>
      </c>
      <c r="AC172">
        <v>6591.7101187553517</v>
      </c>
      <c r="AD172">
        <v>6731.5924274579593</v>
      </c>
      <c r="AE172">
        <v>6884.0533346483253</v>
      </c>
      <c r="AF172">
        <v>7030.5214937452738</v>
      </c>
      <c r="AG172">
        <v>7165.1395668527866</v>
      </c>
      <c r="AH172">
        <v>7292.2329721459073</v>
      </c>
      <c r="AI172">
        <v>7401.1805855909188</v>
      </c>
      <c r="AJ172">
        <v>7502.2717536349201</v>
      </c>
      <c r="AK172">
        <v>7592.5439778427644</v>
      </c>
      <c r="AL172">
        <v>7678.2252639654325</v>
      </c>
      <c r="AM172">
        <v>7762.8607241384507</v>
      </c>
      <c r="AN172">
        <v>7847.157582126355</v>
      </c>
      <c r="AO172">
        <v>7934.3971831932049</v>
      </c>
      <c r="AP172">
        <v>8022.1222763121305</v>
      </c>
      <c r="AQ172">
        <v>8110.160304995281</v>
      </c>
      <c r="AR172">
        <v>8195.9535715756992</v>
      </c>
      <c r="AS172">
        <v>8277.6578928505041</v>
      </c>
      <c r="AT172">
        <v>8354.5151057083312</v>
      </c>
      <c r="AU172">
        <v>8425.7061849724396</v>
      </c>
      <c r="AV172">
        <v>8492.1852091915462</v>
      </c>
      <c r="AW172">
        <v>8554.6629133571441</v>
      </c>
      <c r="AX172">
        <v>8614.4496106780516</v>
      </c>
      <c r="AY172">
        <v>8672.5845966369143</v>
      </c>
      <c r="BA172" s="1">
        <v>-1</v>
      </c>
      <c r="BB172" t="str">
        <f t="shared" si="2"/>
        <v>Rj - Metropol do RJ</v>
      </c>
      <c r="BC172" s="3" t="s">
        <v>144</v>
      </c>
      <c r="BD172" s="3" t="s">
        <v>144</v>
      </c>
      <c r="BE172" s="3" t="s">
        <v>144</v>
      </c>
      <c r="BF172" s="3" t="s">
        <v>144</v>
      </c>
      <c r="BG172" s="3" t="s">
        <v>144</v>
      </c>
      <c r="BH172" s="3" t="s">
        <v>144</v>
      </c>
      <c r="BI172" s="3" t="s">
        <v>144</v>
      </c>
      <c r="BJ172" s="3" t="s">
        <v>144</v>
      </c>
      <c r="BK172" s="3" t="s">
        <v>144</v>
      </c>
      <c r="BL172" s="3" t="s">
        <v>144</v>
      </c>
      <c r="BM172" s="3" t="s">
        <v>144</v>
      </c>
      <c r="BN172" s="3" t="s">
        <v>144</v>
      </c>
      <c r="BO172" s="3" t="s">
        <v>144</v>
      </c>
      <c r="BP172" s="3" t="s">
        <v>144</v>
      </c>
      <c r="BQ172" s="3" t="s">
        <v>144</v>
      </c>
      <c r="BR172" s="3" t="s">
        <v>144</v>
      </c>
      <c r="BS172" s="3" t="s">
        <v>144</v>
      </c>
      <c r="BT172" s="3" t="s">
        <v>144</v>
      </c>
      <c r="BU172" s="3" t="s">
        <v>144</v>
      </c>
      <c r="BV172" s="3" t="s">
        <v>144</v>
      </c>
      <c r="BW172" s="3" t="s">
        <v>144</v>
      </c>
      <c r="BX172" s="3" t="s">
        <v>144</v>
      </c>
      <c r="BY172" s="3" t="s">
        <v>144</v>
      </c>
      <c r="BZ172" s="3" t="s">
        <v>144</v>
      </c>
      <c r="CA172" s="3" t="s">
        <v>144</v>
      </c>
      <c r="CB172" s="3" t="s">
        <v>144</v>
      </c>
      <c r="CC172" s="3" t="s">
        <v>144</v>
      </c>
      <c r="CD172" s="3" t="s">
        <v>144</v>
      </c>
      <c r="CE172" s="3" t="s">
        <v>144</v>
      </c>
      <c r="CF172" s="3" t="s">
        <v>144</v>
      </c>
      <c r="CG172" s="3" t="s">
        <v>144</v>
      </c>
      <c r="CH172" s="3" t="s">
        <v>144</v>
      </c>
      <c r="CI172" s="3" t="s">
        <v>144</v>
      </c>
      <c r="CJ172" s="3" t="s">
        <v>144</v>
      </c>
      <c r="CK172" s="3" t="s">
        <v>144</v>
      </c>
      <c r="CL172" s="3" t="s">
        <v>144</v>
      </c>
      <c r="CM172" s="3" t="s">
        <v>144</v>
      </c>
      <c r="CN172" s="3" t="s">
        <v>144</v>
      </c>
      <c r="CO172" s="3" t="s">
        <v>144</v>
      </c>
      <c r="CP172" s="3" t="s">
        <v>144</v>
      </c>
      <c r="CQ172" s="3" t="s">
        <v>144</v>
      </c>
      <c r="CR172" s="3" t="s">
        <v>144</v>
      </c>
      <c r="CS172" s="3" t="s">
        <v>144</v>
      </c>
      <c r="CT172" s="3" t="s">
        <v>144</v>
      </c>
      <c r="CU172" s="3" t="s">
        <v>144</v>
      </c>
      <c r="CV172" s="3" t="s">
        <v>144</v>
      </c>
      <c r="CW172" s="3" t="s">
        <v>144</v>
      </c>
      <c r="CX172" s="3" t="s">
        <v>144</v>
      </c>
      <c r="CY172" s="3" t="s">
        <v>144</v>
      </c>
    </row>
    <row r="173" spans="1:103" x14ac:dyDescent="0.25">
      <c r="A173" t="s">
        <v>89</v>
      </c>
      <c r="B173" t="s">
        <v>4</v>
      </c>
      <c r="C173">
        <v>1226.9422432900092</v>
      </c>
      <c r="D173">
        <v>255.9760515899645</v>
      </c>
      <c r="E173">
        <v>-383.48777411094437</v>
      </c>
      <c r="F173">
        <v>95.675256033347296</v>
      </c>
      <c r="G173">
        <v>359.64543862906982</v>
      </c>
      <c r="H173">
        <v>620.9583027932531</v>
      </c>
      <c r="I173">
        <v>599.19473341005607</v>
      </c>
      <c r="J173">
        <v>770.92597646069714</v>
      </c>
      <c r="K173">
        <v>906.63377389720961</v>
      </c>
      <c r="L173">
        <v>876.80303265776058</v>
      </c>
      <c r="M173">
        <v>824.67746780598202</v>
      </c>
      <c r="N173">
        <v>686.14768697254067</v>
      </c>
      <c r="O173">
        <v>607.89788042421822</v>
      </c>
      <c r="P173">
        <v>529.84667230871685</v>
      </c>
      <c r="Q173">
        <v>486.86015101926927</v>
      </c>
      <c r="R173">
        <v>493.61888279826394</v>
      </c>
      <c r="S173">
        <v>522.02175628708005</v>
      </c>
      <c r="T173">
        <v>587.21849543219639</v>
      </c>
      <c r="U173">
        <v>642.55978774386938</v>
      </c>
      <c r="V173">
        <v>687.2483441058672</v>
      </c>
      <c r="W173">
        <v>707.75010283041263</v>
      </c>
      <c r="X173">
        <v>702.82696966549406</v>
      </c>
      <c r="Y173">
        <v>684.22450740087481</v>
      </c>
      <c r="Z173">
        <v>653.65586689365796</v>
      </c>
      <c r="AA173">
        <v>626.14191122100272</v>
      </c>
      <c r="AB173">
        <v>605.27128411492174</v>
      </c>
      <c r="AC173">
        <v>595.86584705754171</v>
      </c>
      <c r="AD173">
        <v>598.09586910292785</v>
      </c>
      <c r="AE173">
        <v>607.71349935544833</v>
      </c>
      <c r="AF173">
        <v>622.22212254660428</v>
      </c>
      <c r="AG173">
        <v>636.16657502677015</v>
      </c>
      <c r="AH173">
        <v>647.06644155356253</v>
      </c>
      <c r="AI173">
        <v>652.72689117376001</v>
      </c>
      <c r="AJ173">
        <v>652.72010404140815</v>
      </c>
      <c r="AK173">
        <v>648.40640714114636</v>
      </c>
      <c r="AL173">
        <v>641.34519822680556</v>
      </c>
      <c r="AM173">
        <v>634.03470999423473</v>
      </c>
      <c r="AN173">
        <v>628.18927688000736</v>
      </c>
      <c r="AO173">
        <v>625.06184440092125</v>
      </c>
      <c r="AP173">
        <v>624.97462731696362</v>
      </c>
      <c r="AQ173">
        <v>627.33562853120804</v>
      </c>
      <c r="AR173">
        <v>631.16847717846417</v>
      </c>
      <c r="AS173">
        <v>635.17756013970279</v>
      </c>
      <c r="AT173">
        <v>638.36159066482958</v>
      </c>
      <c r="AU173">
        <v>640.08238420820521</v>
      </c>
      <c r="AV173">
        <v>640.20721351010513</v>
      </c>
      <c r="AW173">
        <v>639.05423432274711</v>
      </c>
      <c r="AX173">
        <v>637.16802172781013</v>
      </c>
      <c r="AY173">
        <v>635.19203185038316</v>
      </c>
      <c r="BA173" s="1">
        <v>1</v>
      </c>
      <c r="BB173" t="str">
        <f t="shared" si="2"/>
        <v>Sp - Sao Jose do Rio Preto</v>
      </c>
      <c r="BC173" s="3">
        <v>2917.8883825369553</v>
      </c>
      <c r="BD173" s="3">
        <v>-224.70836720241024</v>
      </c>
      <c r="BE173" s="3">
        <v>-2032.8231674871888</v>
      </c>
      <c r="BF173" s="3">
        <v>-233.76077464301795</v>
      </c>
      <c r="BG173" s="3">
        <v>-399.97542088617257</v>
      </c>
      <c r="BH173" s="3">
        <v>244.30723092826639</v>
      </c>
      <c r="BI173" s="3">
        <v>-290.00357991538647</v>
      </c>
      <c r="BJ173" s="3">
        <v>88.637448605016289</v>
      </c>
      <c r="BK173" s="3">
        <v>489.83712337083</v>
      </c>
      <c r="BL173" s="3">
        <v>280.90299282293108</v>
      </c>
      <c r="BM173" s="3">
        <v>355.94609331240383</v>
      </c>
      <c r="BN173" s="3">
        <v>53.212704069712117</v>
      </c>
      <c r="BO173" s="3">
        <v>48.744401693910845</v>
      </c>
      <c r="BP173" s="3">
        <v>-62.566671399432039</v>
      </c>
      <c r="BQ173" s="3">
        <v>-174.15798399270949</v>
      </c>
      <c r="BR173" s="3">
        <v>-175.46302332088658</v>
      </c>
      <c r="BS173" s="3">
        <v>-226.9110842932422</v>
      </c>
      <c r="BT173" s="3">
        <v>-148.87434827023549</v>
      </c>
      <c r="BU173" s="3">
        <v>-113.81717085302535</v>
      </c>
      <c r="BV173" s="3">
        <v>-59.048797054477518</v>
      </c>
      <c r="BW173" s="3">
        <v>-20.906064546265156</v>
      </c>
      <c r="BX173" s="3">
        <v>-25.159614385250507</v>
      </c>
      <c r="BY173" s="3">
        <v>-31.625503688766571</v>
      </c>
      <c r="BZ173" s="3">
        <v>-77.613868959431329</v>
      </c>
      <c r="CA173" s="3">
        <v>-118.07310213891958</v>
      </c>
      <c r="CB173" s="3">
        <v>-159.9689636682906</v>
      </c>
      <c r="CC173" s="3">
        <v>-190.10615768810783</v>
      </c>
      <c r="CD173" s="3">
        <v>-201.40547363049302</v>
      </c>
      <c r="CE173" s="3">
        <v>-205.19759291138757</v>
      </c>
      <c r="CF173" s="3">
        <v>-196.04336971922203</v>
      </c>
      <c r="CG173" s="3">
        <v>-186.90285045110227</v>
      </c>
      <c r="CH173" s="3">
        <v>-178.26378561072011</v>
      </c>
      <c r="CI173" s="3">
        <v>-174.47877888416508</v>
      </c>
      <c r="CJ173" s="3">
        <v>-177.86326948899716</v>
      </c>
      <c r="CK173" s="3">
        <v>-185.70737243281587</v>
      </c>
      <c r="CL173" s="3">
        <v>-198.51996128428311</v>
      </c>
      <c r="CM173" s="3">
        <v>-212.25936242049988</v>
      </c>
      <c r="CN173" s="3">
        <v>-225.61999881255917</v>
      </c>
      <c r="CO173" s="3">
        <v>-236.58128863571949</v>
      </c>
      <c r="CP173" s="3">
        <v>-243.93831970843166</v>
      </c>
      <c r="CQ173" s="3">
        <v>-248.16586088070176</v>
      </c>
      <c r="CR173" s="3">
        <v>-249.52282018810831</v>
      </c>
      <c r="CS173" s="3">
        <v>-249.66228498844168</v>
      </c>
      <c r="CT173" s="3">
        <v>-249.71187637616674</v>
      </c>
      <c r="CU173" s="3">
        <v>-250.80081596258788</v>
      </c>
      <c r="CV173" s="3">
        <v>-253.56020958280908</v>
      </c>
      <c r="CW173" s="3">
        <v>-257.88347848559545</v>
      </c>
      <c r="CX173" s="3">
        <v>-263.43595540763363</v>
      </c>
      <c r="CY173" s="3">
        <v>-269.42480408955203</v>
      </c>
    </row>
    <row r="174" spans="1:103" x14ac:dyDescent="0.25">
      <c r="A174" t="s">
        <v>89</v>
      </c>
      <c r="B174" t="s">
        <v>5</v>
      </c>
      <c r="C174">
        <v>-1690.9461392469461</v>
      </c>
      <c r="D174">
        <v>480.68441879237474</v>
      </c>
      <c r="E174">
        <v>1649.3353933762444</v>
      </c>
      <c r="F174">
        <v>329.43603067636525</v>
      </c>
      <c r="G174">
        <v>759.62085951524239</v>
      </c>
      <c r="H174">
        <v>376.6510718649867</v>
      </c>
      <c r="I174">
        <v>889.19831332544254</v>
      </c>
      <c r="J174">
        <v>682.28852785568085</v>
      </c>
      <c r="K174">
        <v>416.79665052637961</v>
      </c>
      <c r="L174">
        <v>595.9000398348295</v>
      </c>
      <c r="M174">
        <v>468.73137449357819</v>
      </c>
      <c r="N174">
        <v>632.93498290282855</v>
      </c>
      <c r="O174">
        <v>559.15347873030737</v>
      </c>
      <c r="P174">
        <v>592.41334370814889</v>
      </c>
      <c r="Q174">
        <v>661.01813501197876</v>
      </c>
      <c r="R174">
        <v>669.08190611915052</v>
      </c>
      <c r="S174">
        <v>748.93284058032225</v>
      </c>
      <c r="T174">
        <v>736.09284370243188</v>
      </c>
      <c r="U174">
        <v>756.37695859689472</v>
      </c>
      <c r="V174">
        <v>746.29714116034472</v>
      </c>
      <c r="W174">
        <v>728.65616737667779</v>
      </c>
      <c r="X174">
        <v>727.98658405074457</v>
      </c>
      <c r="Y174">
        <v>715.85001108964138</v>
      </c>
      <c r="Z174">
        <v>731.26973585308929</v>
      </c>
      <c r="AA174">
        <v>744.2150133599223</v>
      </c>
      <c r="AB174">
        <v>765.24024778321234</v>
      </c>
      <c r="AC174">
        <v>785.97200474564954</v>
      </c>
      <c r="AD174">
        <v>799.50134273342087</v>
      </c>
      <c r="AE174">
        <v>812.91109226683591</v>
      </c>
      <c r="AF174">
        <v>818.26549226582631</v>
      </c>
      <c r="AG174">
        <v>823.06942547787241</v>
      </c>
      <c r="AH174">
        <v>825.33022716428263</v>
      </c>
      <c r="AI174">
        <v>827.20567005792509</v>
      </c>
      <c r="AJ174">
        <v>830.58337353040531</v>
      </c>
      <c r="AK174">
        <v>834.11377957396223</v>
      </c>
      <c r="AL174">
        <v>839.86515951108868</v>
      </c>
      <c r="AM174">
        <v>846.29407241473461</v>
      </c>
      <c r="AN174">
        <v>853.80927569256653</v>
      </c>
      <c r="AO174">
        <v>861.64313303664073</v>
      </c>
      <c r="AP174">
        <v>868.91294702539528</v>
      </c>
      <c r="AQ174">
        <v>875.5014894119098</v>
      </c>
      <c r="AR174">
        <v>880.69129736657248</v>
      </c>
      <c r="AS174">
        <v>884.83984512814447</v>
      </c>
      <c r="AT174">
        <v>888.07346704099632</v>
      </c>
      <c r="AU174">
        <v>890.88320017079309</v>
      </c>
      <c r="AV174">
        <v>893.76742309291421</v>
      </c>
      <c r="AW174">
        <v>896.93771280834255</v>
      </c>
      <c r="AX174">
        <v>900.60397713544376</v>
      </c>
      <c r="AY174">
        <v>904.61683593993519</v>
      </c>
      <c r="BA174" s="1">
        <v>-1</v>
      </c>
      <c r="BB174" t="str">
        <f t="shared" si="2"/>
        <v>Sp - Sao Jose do Rio Preto</v>
      </c>
      <c r="BC174" s="3" t="s">
        <v>144</v>
      </c>
      <c r="BD174" s="3" t="s">
        <v>144</v>
      </c>
      <c r="BE174" s="3" t="s">
        <v>144</v>
      </c>
      <c r="BF174" s="3" t="s">
        <v>144</v>
      </c>
      <c r="BG174" s="3" t="s">
        <v>144</v>
      </c>
      <c r="BH174" s="3" t="s">
        <v>144</v>
      </c>
      <c r="BI174" s="3" t="s">
        <v>144</v>
      </c>
      <c r="BJ174" s="3" t="s">
        <v>144</v>
      </c>
      <c r="BK174" s="3" t="s">
        <v>144</v>
      </c>
      <c r="BL174" s="3" t="s">
        <v>144</v>
      </c>
      <c r="BM174" s="3" t="s">
        <v>144</v>
      </c>
      <c r="BN174" s="3" t="s">
        <v>144</v>
      </c>
      <c r="BO174" s="3" t="s">
        <v>144</v>
      </c>
      <c r="BP174" s="3" t="s">
        <v>144</v>
      </c>
      <c r="BQ174" s="3" t="s">
        <v>144</v>
      </c>
      <c r="BR174" s="3" t="s">
        <v>144</v>
      </c>
      <c r="BS174" s="3" t="s">
        <v>144</v>
      </c>
      <c r="BT174" s="3" t="s">
        <v>144</v>
      </c>
      <c r="BU174" s="3" t="s">
        <v>144</v>
      </c>
      <c r="BV174" s="3" t="s">
        <v>144</v>
      </c>
      <c r="BW174" s="3" t="s">
        <v>144</v>
      </c>
      <c r="BX174" s="3" t="s">
        <v>144</v>
      </c>
      <c r="BY174" s="3" t="s">
        <v>144</v>
      </c>
      <c r="BZ174" s="3" t="s">
        <v>144</v>
      </c>
      <c r="CA174" s="3" t="s">
        <v>144</v>
      </c>
      <c r="CB174" s="3" t="s">
        <v>144</v>
      </c>
      <c r="CC174" s="3" t="s">
        <v>144</v>
      </c>
      <c r="CD174" s="3" t="s">
        <v>144</v>
      </c>
      <c r="CE174" s="3" t="s">
        <v>144</v>
      </c>
      <c r="CF174" s="3" t="s">
        <v>144</v>
      </c>
      <c r="CG174" s="3" t="s">
        <v>144</v>
      </c>
      <c r="CH174" s="3" t="s">
        <v>144</v>
      </c>
      <c r="CI174" s="3" t="s">
        <v>144</v>
      </c>
      <c r="CJ174" s="3" t="s">
        <v>144</v>
      </c>
      <c r="CK174" s="3" t="s">
        <v>144</v>
      </c>
      <c r="CL174" s="3" t="s">
        <v>144</v>
      </c>
      <c r="CM174" s="3" t="s">
        <v>144</v>
      </c>
      <c r="CN174" s="3" t="s">
        <v>144</v>
      </c>
      <c r="CO174" s="3" t="s">
        <v>144</v>
      </c>
      <c r="CP174" s="3" t="s">
        <v>144</v>
      </c>
      <c r="CQ174" s="3" t="s">
        <v>144</v>
      </c>
      <c r="CR174" s="3" t="s">
        <v>144</v>
      </c>
      <c r="CS174" s="3" t="s">
        <v>144</v>
      </c>
      <c r="CT174" s="3" t="s">
        <v>144</v>
      </c>
      <c r="CU174" s="3" t="s">
        <v>144</v>
      </c>
      <c r="CV174" s="3" t="s">
        <v>144</v>
      </c>
      <c r="CW174" s="3" t="s">
        <v>144</v>
      </c>
      <c r="CX174" s="3" t="s">
        <v>144</v>
      </c>
      <c r="CY174" s="3" t="s">
        <v>144</v>
      </c>
    </row>
    <row r="175" spans="1:103" x14ac:dyDescent="0.25">
      <c r="A175" t="s">
        <v>90</v>
      </c>
      <c r="B175" t="s">
        <v>4</v>
      </c>
      <c r="C175">
        <v>1880.6409831116628</v>
      </c>
      <c r="D175">
        <v>321.35300603533381</v>
      </c>
      <c r="E175">
        <v>-302.37912730629478</v>
      </c>
      <c r="F175">
        <v>157.64237596140845</v>
      </c>
      <c r="G175">
        <v>-178.80905230060245</v>
      </c>
      <c r="H175">
        <v>657.47833989333833</v>
      </c>
      <c r="I175">
        <v>619.55915807339795</v>
      </c>
      <c r="J175">
        <v>1109.9057905572308</v>
      </c>
      <c r="K175">
        <v>1373.2608155892628</v>
      </c>
      <c r="L175">
        <v>1394.2749756807243</v>
      </c>
      <c r="M175">
        <v>1475.6177670812267</v>
      </c>
      <c r="N175">
        <v>1177.6282520762913</v>
      </c>
      <c r="O175">
        <v>1033.1949500139879</v>
      </c>
      <c r="P175">
        <v>792.51920063437194</v>
      </c>
      <c r="Q175">
        <v>654.73312927344591</v>
      </c>
      <c r="R175">
        <v>628.79481989034923</v>
      </c>
      <c r="S175">
        <v>636.40554161453952</v>
      </c>
      <c r="T175">
        <v>763.2111016892369</v>
      </c>
      <c r="U175">
        <v>866.46291059878558</v>
      </c>
      <c r="V175">
        <v>981.24678814553295</v>
      </c>
      <c r="W175">
        <v>1048.5668932450103</v>
      </c>
      <c r="X175">
        <v>1062.8918767851144</v>
      </c>
      <c r="Y175">
        <v>1047.7129126184448</v>
      </c>
      <c r="Z175">
        <v>992.08519625720521</v>
      </c>
      <c r="AA175">
        <v>937.48578237664879</v>
      </c>
      <c r="AB175">
        <v>883.63835712193918</v>
      </c>
      <c r="AC175">
        <v>849.27988634524388</v>
      </c>
      <c r="AD175">
        <v>838.29614496062652</v>
      </c>
      <c r="AE175">
        <v>844.838580850884</v>
      </c>
      <c r="AF175">
        <v>868.67849261752406</v>
      </c>
      <c r="AG175">
        <v>896.25092271731921</v>
      </c>
      <c r="AH175">
        <v>923.21704952610651</v>
      </c>
      <c r="AI175">
        <v>941.68226342128514</v>
      </c>
      <c r="AJ175">
        <v>948.6157645305052</v>
      </c>
      <c r="AK175">
        <v>945.14899340128625</v>
      </c>
      <c r="AL175">
        <v>932.82341389826286</v>
      </c>
      <c r="AM175">
        <v>917.27859133329048</v>
      </c>
      <c r="AN175">
        <v>902.22957036416074</v>
      </c>
      <c r="AO175">
        <v>891.58786037678271</v>
      </c>
      <c r="AP175">
        <v>887.10181680431117</v>
      </c>
      <c r="AQ175">
        <v>888.42387650118735</v>
      </c>
      <c r="AR175">
        <v>894.2406624830445</v>
      </c>
      <c r="AS175">
        <v>901.87130535743131</v>
      </c>
      <c r="AT175">
        <v>909.104005205318</v>
      </c>
      <c r="AU175">
        <v>914.06076322680372</v>
      </c>
      <c r="AV175">
        <v>915.89240805080772</v>
      </c>
      <c r="AW175">
        <v>914.75357017728459</v>
      </c>
      <c r="AX175">
        <v>911.40261837764842</v>
      </c>
      <c r="AY175">
        <v>907.09860443475361</v>
      </c>
      <c r="BA175" s="1">
        <v>1</v>
      </c>
      <c r="BB175" t="str">
        <f t="shared" si="2"/>
        <v>Sp - Ribeirao Preto</v>
      </c>
      <c r="BC175" s="3">
        <v>5588.3629019737218</v>
      </c>
      <c r="BD175" s="3">
        <v>-893.5164858506613</v>
      </c>
      <c r="BE175" s="3">
        <v>-3550.9151297000267</v>
      </c>
      <c r="BF175" s="3">
        <v>-649.77169228061769</v>
      </c>
      <c r="BG175" s="3">
        <v>-1912.9190737871829</v>
      </c>
      <c r="BH175" s="3">
        <v>-197.42773646071964</v>
      </c>
      <c r="BI175" s="3">
        <v>-1335.7233118233644</v>
      </c>
      <c r="BJ175" s="3">
        <v>-331.25257362360799</v>
      </c>
      <c r="BK175" s="3">
        <v>414.55080983848723</v>
      </c>
      <c r="BL175" s="3">
        <v>157.86102521743533</v>
      </c>
      <c r="BM175" s="3">
        <v>541.28112003883916</v>
      </c>
      <c r="BN175" s="3">
        <v>-48.093215132453679</v>
      </c>
      <c r="BO175" s="3">
        <v>38.092159990618939</v>
      </c>
      <c r="BP175" s="3">
        <v>-235.39798566792876</v>
      </c>
      <c r="BQ175" s="3">
        <v>-458.40229703322143</v>
      </c>
      <c r="BR175" s="3">
        <v>-499.32870020827488</v>
      </c>
      <c r="BS175" s="3">
        <v>-663.92875028264348</v>
      </c>
      <c r="BT175" s="3">
        <v>-529.62787806233234</v>
      </c>
      <c r="BU175" s="3">
        <v>-489.26668379794955</v>
      </c>
      <c r="BV175" s="3">
        <v>-351.85821761841407</v>
      </c>
      <c r="BW175" s="3">
        <v>-238.82786070770794</v>
      </c>
      <c r="BX175" s="3">
        <v>-194.51317314133462</v>
      </c>
      <c r="BY175" s="3">
        <v>-152.87164589407939</v>
      </c>
      <c r="BZ175" s="3">
        <v>-209.1761888702373</v>
      </c>
      <c r="CA175" s="3">
        <v>-264.02584272006288</v>
      </c>
      <c r="CB175" s="3">
        <v>-344.9105722026211</v>
      </c>
      <c r="CC175" s="3">
        <v>-410.72909282231819</v>
      </c>
      <c r="CD175" s="3">
        <v>-444.35057361492625</v>
      </c>
      <c r="CE175" s="3">
        <v>-461.53538675681807</v>
      </c>
      <c r="CF175" s="3">
        <v>-444.88266599585393</v>
      </c>
      <c r="CG175" s="3">
        <v>-422.44048735583522</v>
      </c>
      <c r="CH175" s="3">
        <v>-392.99213097661948</v>
      </c>
      <c r="CI175" s="3">
        <v>-369.69475480249662</v>
      </c>
      <c r="CJ175" s="3">
        <v>-358.94075626682547</v>
      </c>
      <c r="CK175" s="3">
        <v>-357.87152408207578</v>
      </c>
      <c r="CL175" s="3">
        <v>-369.87761291178128</v>
      </c>
      <c r="CM175" s="3">
        <v>-387.00264985048693</v>
      </c>
      <c r="CN175" s="3">
        <v>-407.36572064459551</v>
      </c>
      <c r="CO175" s="3">
        <v>-425.70438169248098</v>
      </c>
      <c r="CP175" s="3">
        <v>-438.60617916942749</v>
      </c>
      <c r="CQ175" s="3">
        <v>-445.61860771811371</v>
      </c>
      <c r="CR175" s="3">
        <v>-445.91489184663044</v>
      </c>
      <c r="CS175" s="3">
        <v>-442.2282900113662</v>
      </c>
      <c r="CT175" s="3">
        <v>-436.49391868233249</v>
      </c>
      <c r="CU175" s="3">
        <v>-431.47260492201337</v>
      </c>
      <c r="CV175" s="3">
        <v>-429.12196375055851</v>
      </c>
      <c r="CW175" s="3">
        <v>-430.06561801697296</v>
      </c>
      <c r="CX175" s="3">
        <v>-434.34474055561031</v>
      </c>
      <c r="CY175" s="3">
        <v>-440.69991837630675</v>
      </c>
    </row>
    <row r="176" spans="1:103" x14ac:dyDescent="0.25">
      <c r="A176" t="s">
        <v>90</v>
      </c>
      <c r="B176" t="s">
        <v>5</v>
      </c>
      <c r="C176">
        <v>-3707.7219188620588</v>
      </c>
      <c r="D176">
        <v>1214.8694918859951</v>
      </c>
      <c r="E176">
        <v>3248.5360023937319</v>
      </c>
      <c r="F176">
        <v>807.41406824202613</v>
      </c>
      <c r="G176">
        <v>1734.1100214865805</v>
      </c>
      <c r="H176">
        <v>854.90607635405797</v>
      </c>
      <c r="I176">
        <v>1955.2824698967624</v>
      </c>
      <c r="J176">
        <v>1441.1583641808388</v>
      </c>
      <c r="K176">
        <v>958.71000575077562</v>
      </c>
      <c r="L176">
        <v>1236.413950463289</v>
      </c>
      <c r="M176">
        <v>934.33664704238754</v>
      </c>
      <c r="N176">
        <v>1225.721467208745</v>
      </c>
      <c r="O176">
        <v>995.10279002336893</v>
      </c>
      <c r="P176">
        <v>1027.9171863023007</v>
      </c>
      <c r="Q176">
        <v>1113.1354263066673</v>
      </c>
      <c r="R176">
        <v>1128.1235200986241</v>
      </c>
      <c r="S176">
        <v>1300.334291897183</v>
      </c>
      <c r="T176">
        <v>1292.8389797515692</v>
      </c>
      <c r="U176">
        <v>1355.7295943967351</v>
      </c>
      <c r="V176">
        <v>1333.105005763947</v>
      </c>
      <c r="W176">
        <v>1287.3947539527182</v>
      </c>
      <c r="X176">
        <v>1257.405049926449</v>
      </c>
      <c r="Y176">
        <v>1200.5845585125242</v>
      </c>
      <c r="Z176">
        <v>1201.2613851274425</v>
      </c>
      <c r="AA176">
        <v>1201.5116250967117</v>
      </c>
      <c r="AB176">
        <v>1228.5489293245603</v>
      </c>
      <c r="AC176">
        <v>1260.0089791675621</v>
      </c>
      <c r="AD176">
        <v>1282.6467185755528</v>
      </c>
      <c r="AE176">
        <v>1306.3739676077021</v>
      </c>
      <c r="AF176">
        <v>1313.561158613378</v>
      </c>
      <c r="AG176">
        <v>1318.6914100731544</v>
      </c>
      <c r="AH176">
        <v>1316.209180502726</v>
      </c>
      <c r="AI176">
        <v>1311.3770182237818</v>
      </c>
      <c r="AJ176">
        <v>1307.5565207973307</v>
      </c>
      <c r="AK176">
        <v>1303.020517483362</v>
      </c>
      <c r="AL176">
        <v>1302.7010268100441</v>
      </c>
      <c r="AM176">
        <v>1304.2812411837774</v>
      </c>
      <c r="AN176">
        <v>1309.5952910087562</v>
      </c>
      <c r="AO176">
        <v>1317.2922420692637</v>
      </c>
      <c r="AP176">
        <v>1325.7079959737387</v>
      </c>
      <c r="AQ176">
        <v>1334.0424842193011</v>
      </c>
      <c r="AR176">
        <v>1340.1555543296749</v>
      </c>
      <c r="AS176">
        <v>1344.0995953687975</v>
      </c>
      <c r="AT176">
        <v>1345.5979238876505</v>
      </c>
      <c r="AU176">
        <v>1345.5333681488171</v>
      </c>
      <c r="AV176">
        <v>1345.0143718013662</v>
      </c>
      <c r="AW176">
        <v>1344.8191881942575</v>
      </c>
      <c r="AX176">
        <v>1345.7473589332587</v>
      </c>
      <c r="AY176">
        <v>1347.7985228110604</v>
      </c>
      <c r="BA176" s="1">
        <v>-1</v>
      </c>
      <c r="BB176" t="str">
        <f t="shared" si="2"/>
        <v>Sp - Ribeirao Preto</v>
      </c>
      <c r="BC176" s="3" t="s">
        <v>144</v>
      </c>
      <c r="BD176" s="3" t="s">
        <v>144</v>
      </c>
      <c r="BE176" s="3" t="s">
        <v>144</v>
      </c>
      <c r="BF176" s="3" t="s">
        <v>144</v>
      </c>
      <c r="BG176" s="3" t="s">
        <v>144</v>
      </c>
      <c r="BH176" s="3" t="s">
        <v>144</v>
      </c>
      <c r="BI176" s="3" t="s">
        <v>144</v>
      </c>
      <c r="BJ176" s="3" t="s">
        <v>144</v>
      </c>
      <c r="BK176" s="3" t="s">
        <v>144</v>
      </c>
      <c r="BL176" s="3" t="s">
        <v>144</v>
      </c>
      <c r="BM176" s="3" t="s">
        <v>144</v>
      </c>
      <c r="BN176" s="3" t="s">
        <v>144</v>
      </c>
      <c r="BO176" s="3" t="s">
        <v>144</v>
      </c>
      <c r="BP176" s="3" t="s">
        <v>144</v>
      </c>
      <c r="BQ176" s="3" t="s">
        <v>144</v>
      </c>
      <c r="BR176" s="3" t="s">
        <v>144</v>
      </c>
      <c r="BS176" s="3" t="s">
        <v>144</v>
      </c>
      <c r="BT176" s="3" t="s">
        <v>144</v>
      </c>
      <c r="BU176" s="3" t="s">
        <v>144</v>
      </c>
      <c r="BV176" s="3" t="s">
        <v>144</v>
      </c>
      <c r="BW176" s="3" t="s">
        <v>144</v>
      </c>
      <c r="BX176" s="3" t="s">
        <v>144</v>
      </c>
      <c r="BY176" s="3" t="s">
        <v>144</v>
      </c>
      <c r="BZ176" s="3" t="s">
        <v>144</v>
      </c>
      <c r="CA176" s="3" t="s">
        <v>144</v>
      </c>
      <c r="CB176" s="3" t="s">
        <v>144</v>
      </c>
      <c r="CC176" s="3" t="s">
        <v>144</v>
      </c>
      <c r="CD176" s="3" t="s">
        <v>144</v>
      </c>
      <c r="CE176" s="3" t="s">
        <v>144</v>
      </c>
      <c r="CF176" s="3" t="s">
        <v>144</v>
      </c>
      <c r="CG176" s="3" t="s">
        <v>144</v>
      </c>
      <c r="CH176" s="3" t="s">
        <v>144</v>
      </c>
      <c r="CI176" s="3" t="s">
        <v>144</v>
      </c>
      <c r="CJ176" s="3" t="s">
        <v>144</v>
      </c>
      <c r="CK176" s="3" t="s">
        <v>144</v>
      </c>
      <c r="CL176" s="3" t="s">
        <v>144</v>
      </c>
      <c r="CM176" s="3" t="s">
        <v>144</v>
      </c>
      <c r="CN176" s="3" t="s">
        <v>144</v>
      </c>
      <c r="CO176" s="3" t="s">
        <v>144</v>
      </c>
      <c r="CP176" s="3" t="s">
        <v>144</v>
      </c>
      <c r="CQ176" s="3" t="s">
        <v>144</v>
      </c>
      <c r="CR176" s="3" t="s">
        <v>144</v>
      </c>
      <c r="CS176" s="3" t="s">
        <v>144</v>
      </c>
      <c r="CT176" s="3" t="s">
        <v>144</v>
      </c>
      <c r="CU176" s="3" t="s">
        <v>144</v>
      </c>
      <c r="CV176" s="3" t="s">
        <v>144</v>
      </c>
      <c r="CW176" s="3" t="s">
        <v>144</v>
      </c>
      <c r="CX176" s="3" t="s">
        <v>144</v>
      </c>
      <c r="CY176" s="3" t="s">
        <v>144</v>
      </c>
    </row>
    <row r="177" spans="1:103" x14ac:dyDescent="0.25">
      <c r="A177" t="s">
        <v>91</v>
      </c>
      <c r="B177" t="s">
        <v>4</v>
      </c>
      <c r="C177">
        <v>549.29886862104297</v>
      </c>
      <c r="D177">
        <v>308.93658289802136</v>
      </c>
      <c r="E177">
        <v>-64.222137329859819</v>
      </c>
      <c r="F177">
        <v>-291.42427312549245</v>
      </c>
      <c r="G177">
        <v>-350.36353331588492</v>
      </c>
      <c r="H177">
        <v>297.69091555914969</v>
      </c>
      <c r="I177">
        <v>352.07054557337136</v>
      </c>
      <c r="J177">
        <v>347.69069652355751</v>
      </c>
      <c r="K177">
        <v>365.51875669939352</v>
      </c>
      <c r="L177">
        <v>425.43887915138396</v>
      </c>
      <c r="M177">
        <v>475.81907655662604</v>
      </c>
      <c r="N177">
        <v>319.59746720443002</v>
      </c>
      <c r="O177">
        <v>237.37362687654468</v>
      </c>
      <c r="P177">
        <v>174.78413954676924</v>
      </c>
      <c r="Q177">
        <v>160.64762348299269</v>
      </c>
      <c r="R177">
        <v>168.44635441002484</v>
      </c>
      <c r="S177">
        <v>172.84736412006183</v>
      </c>
      <c r="T177">
        <v>218.27236151333568</v>
      </c>
      <c r="U177">
        <v>254.35150626448853</v>
      </c>
      <c r="V177">
        <v>290.2305150045122</v>
      </c>
      <c r="W177">
        <v>306.48528735936753</v>
      </c>
      <c r="X177">
        <v>304.64424355262815</v>
      </c>
      <c r="Y177">
        <v>295.79594249955812</v>
      </c>
      <c r="Z177">
        <v>275.20628465076931</v>
      </c>
      <c r="AA177">
        <v>256.55358262900586</v>
      </c>
      <c r="AB177">
        <v>239.18072990874293</v>
      </c>
      <c r="AC177">
        <v>229.4806345246316</v>
      </c>
      <c r="AD177">
        <v>228.51222537198583</v>
      </c>
      <c r="AE177">
        <v>233.30856848406194</v>
      </c>
      <c r="AF177">
        <v>243.21109550821987</v>
      </c>
      <c r="AG177">
        <v>253.13371737453866</v>
      </c>
      <c r="AH177">
        <v>261.70599209568081</v>
      </c>
      <c r="AI177">
        <v>266.56453943134608</v>
      </c>
      <c r="AJ177">
        <v>267.139125426531</v>
      </c>
      <c r="AK177">
        <v>264.38345925334113</v>
      </c>
      <c r="AL177">
        <v>259.1907325520113</v>
      </c>
      <c r="AM177">
        <v>253.66636417925548</v>
      </c>
      <c r="AN177">
        <v>248.96182941913617</v>
      </c>
      <c r="AO177">
        <v>246.14014254985352</v>
      </c>
      <c r="AP177">
        <v>245.49258838470496</v>
      </c>
      <c r="AQ177">
        <v>246.63992225759691</v>
      </c>
      <c r="AR177">
        <v>249.00186181906753</v>
      </c>
      <c r="AS177">
        <v>251.63444423441942</v>
      </c>
      <c r="AT177">
        <v>253.85378967923427</v>
      </c>
      <c r="AU177">
        <v>255.13741150696677</v>
      </c>
      <c r="AV177">
        <v>255.32050322336656</v>
      </c>
      <c r="AW177">
        <v>254.56154979003105</v>
      </c>
      <c r="AX177">
        <v>253.18210168410431</v>
      </c>
      <c r="AY177">
        <v>251.63506879105896</v>
      </c>
      <c r="BA177" s="1">
        <v>1</v>
      </c>
      <c r="BB177" t="str">
        <f t="shared" si="2"/>
        <v>Sp - Aracatuba</v>
      </c>
      <c r="BC177" s="3">
        <v>1716.2308705011797</v>
      </c>
      <c r="BD177" s="3">
        <v>50.237392106031791</v>
      </c>
      <c r="BE177" s="3">
        <v>-1160.2077209634269</v>
      </c>
      <c r="BF177" s="3">
        <v>-339.22299543786886</v>
      </c>
      <c r="BG177" s="3">
        <v>-909.93211999752839</v>
      </c>
      <c r="BH177" s="3">
        <v>153.33911816115116</v>
      </c>
      <c r="BI177" s="3">
        <v>-183.91147469053334</v>
      </c>
      <c r="BJ177" s="3">
        <v>-69.794424687037747</v>
      </c>
      <c r="BK177" s="3">
        <v>133.0522490565732</v>
      </c>
      <c r="BL177" s="3">
        <v>23.08079030230499</v>
      </c>
      <c r="BM177" s="3">
        <v>206.98334674844563</v>
      </c>
      <c r="BN177" s="3">
        <v>-83.164508138928625</v>
      </c>
      <c r="BO177" s="3">
        <v>-90.887644764840218</v>
      </c>
      <c r="BP177" s="3">
        <v>-158.57922611048909</v>
      </c>
      <c r="BQ177" s="3">
        <v>-206.63769389789911</v>
      </c>
      <c r="BR177" s="3">
        <v>-177.9138474400319</v>
      </c>
      <c r="BS177" s="3">
        <v>-226.55837565742891</v>
      </c>
      <c r="BT177" s="3">
        <v>-160.55085408955972</v>
      </c>
      <c r="BU177" s="3">
        <v>-139.72889773048377</v>
      </c>
      <c r="BV177" s="3">
        <v>-97.516367702836078</v>
      </c>
      <c r="BW177" s="3">
        <v>-68.410328146365885</v>
      </c>
      <c r="BX177" s="3">
        <v>-71.515786318436199</v>
      </c>
      <c r="BY177" s="3">
        <v>-67.042921598672876</v>
      </c>
      <c r="BZ177" s="3">
        <v>-94.315748771377287</v>
      </c>
      <c r="CA177" s="3">
        <v>-114.1827689239629</v>
      </c>
      <c r="CB177" s="3">
        <v>-138.25016973222694</v>
      </c>
      <c r="CC177" s="3">
        <v>-155.03561398422218</v>
      </c>
      <c r="CD177" s="3">
        <v>-158.15746286777744</v>
      </c>
      <c r="CE177" s="3">
        <v>-157.70719127631958</v>
      </c>
      <c r="CF177" s="3">
        <v>-147.15315081351892</v>
      </c>
      <c r="CG177" s="3">
        <v>-137.75308607139391</v>
      </c>
      <c r="CH177" s="3">
        <v>-128.48572099738078</v>
      </c>
      <c r="CI177" s="3">
        <v>-122.79006144317179</v>
      </c>
      <c r="CJ177" s="3">
        <v>-122.43199556608221</v>
      </c>
      <c r="CK177" s="3">
        <v>-124.84533035471998</v>
      </c>
      <c r="CL177" s="3">
        <v>-130.88907670045671</v>
      </c>
      <c r="CM177" s="3">
        <v>-137.20513400023026</v>
      </c>
      <c r="CN177" s="3">
        <v>-143.26917839980928</v>
      </c>
      <c r="CO177" s="3">
        <v>-147.73424870193082</v>
      </c>
      <c r="CP177" s="3">
        <v>-149.85867225622337</v>
      </c>
      <c r="CQ177" s="3">
        <v>-150.18062344864452</v>
      </c>
      <c r="CR177" s="3">
        <v>-148.72843896229335</v>
      </c>
      <c r="CS177" s="3">
        <v>-146.6939171632005</v>
      </c>
      <c r="CT177" s="3">
        <v>-144.69322510169562</v>
      </c>
      <c r="CU177" s="3">
        <v>-143.44665622824249</v>
      </c>
      <c r="CV177" s="3">
        <v>-143.35731524707555</v>
      </c>
      <c r="CW177" s="3">
        <v>-144.31635086047595</v>
      </c>
      <c r="CX177" s="3">
        <v>-146.14935468874918</v>
      </c>
      <c r="CY177" s="3">
        <v>-148.31472556270884</v>
      </c>
    </row>
    <row r="178" spans="1:103" x14ac:dyDescent="0.25">
      <c r="A178" t="s">
        <v>91</v>
      </c>
      <c r="B178" t="s">
        <v>5</v>
      </c>
      <c r="C178">
        <v>-1166.9320018801366</v>
      </c>
      <c r="D178">
        <v>258.69919079198957</v>
      </c>
      <c r="E178">
        <v>1095.9855836335671</v>
      </c>
      <c r="F178">
        <v>47.798722312376398</v>
      </c>
      <c r="G178">
        <v>559.56858668164352</v>
      </c>
      <c r="H178">
        <v>144.35179739799852</v>
      </c>
      <c r="I178">
        <v>535.9820202639047</v>
      </c>
      <c r="J178">
        <v>417.48512121059525</v>
      </c>
      <c r="K178">
        <v>232.46650764282032</v>
      </c>
      <c r="L178">
        <v>402.35808884907897</v>
      </c>
      <c r="M178">
        <v>268.83572980818042</v>
      </c>
      <c r="N178">
        <v>402.76197534335864</v>
      </c>
      <c r="O178">
        <v>328.26127164138489</v>
      </c>
      <c r="P178">
        <v>333.36336565725833</v>
      </c>
      <c r="Q178">
        <v>367.2853173808918</v>
      </c>
      <c r="R178">
        <v>346.36020185005674</v>
      </c>
      <c r="S178">
        <v>399.40573977749074</v>
      </c>
      <c r="T178">
        <v>378.8232156028954</v>
      </c>
      <c r="U178">
        <v>394.0804039949723</v>
      </c>
      <c r="V178">
        <v>387.74688270734828</v>
      </c>
      <c r="W178">
        <v>374.89561550573342</v>
      </c>
      <c r="X178">
        <v>376.16002987106435</v>
      </c>
      <c r="Y178">
        <v>362.838864098231</v>
      </c>
      <c r="Z178">
        <v>369.52203342214659</v>
      </c>
      <c r="AA178">
        <v>370.73635155296876</v>
      </c>
      <c r="AB178">
        <v>377.43089964096987</v>
      </c>
      <c r="AC178">
        <v>384.51624850885378</v>
      </c>
      <c r="AD178">
        <v>386.66968823976327</v>
      </c>
      <c r="AE178">
        <v>391.01575976038151</v>
      </c>
      <c r="AF178">
        <v>390.36424632173879</v>
      </c>
      <c r="AG178">
        <v>390.88680344593257</v>
      </c>
      <c r="AH178">
        <v>390.19171309306159</v>
      </c>
      <c r="AI178">
        <v>389.35460087451787</v>
      </c>
      <c r="AJ178">
        <v>389.5711209926132</v>
      </c>
      <c r="AK178">
        <v>389.22878960806111</v>
      </c>
      <c r="AL178">
        <v>390.07980925246801</v>
      </c>
      <c r="AM178">
        <v>390.87149817948574</v>
      </c>
      <c r="AN178">
        <v>392.23100781894544</v>
      </c>
      <c r="AO178">
        <v>393.87439125178435</v>
      </c>
      <c r="AP178">
        <v>395.35126064092833</v>
      </c>
      <c r="AQ178">
        <v>396.82054570624143</v>
      </c>
      <c r="AR178">
        <v>397.73030078136088</v>
      </c>
      <c r="AS178">
        <v>398.32836139761991</v>
      </c>
      <c r="AT178">
        <v>398.54701478092989</v>
      </c>
      <c r="AU178">
        <v>398.58406773520926</v>
      </c>
      <c r="AV178">
        <v>398.67781847044211</v>
      </c>
      <c r="AW178">
        <v>398.877900650507</v>
      </c>
      <c r="AX178">
        <v>399.33145637285349</v>
      </c>
      <c r="AY178">
        <v>399.9497943537678</v>
      </c>
      <c r="BA178" s="1">
        <v>-1</v>
      </c>
      <c r="BB178" t="str">
        <f t="shared" si="2"/>
        <v>Sp - Aracatuba</v>
      </c>
      <c r="BC178" s="3" t="s">
        <v>144</v>
      </c>
      <c r="BD178" s="3" t="s">
        <v>144</v>
      </c>
      <c r="BE178" s="3" t="s">
        <v>144</v>
      </c>
      <c r="BF178" s="3" t="s">
        <v>144</v>
      </c>
      <c r="BG178" s="3" t="s">
        <v>144</v>
      </c>
      <c r="BH178" s="3" t="s">
        <v>144</v>
      </c>
      <c r="BI178" s="3" t="s">
        <v>144</v>
      </c>
      <c r="BJ178" s="3" t="s">
        <v>144</v>
      </c>
      <c r="BK178" s="3" t="s">
        <v>144</v>
      </c>
      <c r="BL178" s="3" t="s">
        <v>144</v>
      </c>
      <c r="BM178" s="3" t="s">
        <v>144</v>
      </c>
      <c r="BN178" s="3" t="s">
        <v>144</v>
      </c>
      <c r="BO178" s="3" t="s">
        <v>144</v>
      </c>
      <c r="BP178" s="3" t="s">
        <v>144</v>
      </c>
      <c r="BQ178" s="3" t="s">
        <v>144</v>
      </c>
      <c r="BR178" s="3" t="s">
        <v>144</v>
      </c>
      <c r="BS178" s="3" t="s">
        <v>144</v>
      </c>
      <c r="BT178" s="3" t="s">
        <v>144</v>
      </c>
      <c r="BU178" s="3" t="s">
        <v>144</v>
      </c>
      <c r="BV178" s="3" t="s">
        <v>144</v>
      </c>
      <c r="BW178" s="3" t="s">
        <v>144</v>
      </c>
      <c r="BX178" s="3" t="s">
        <v>144</v>
      </c>
      <c r="BY178" s="3" t="s">
        <v>144</v>
      </c>
      <c r="BZ178" s="3" t="s">
        <v>144</v>
      </c>
      <c r="CA178" s="3" t="s">
        <v>144</v>
      </c>
      <c r="CB178" s="3" t="s">
        <v>144</v>
      </c>
      <c r="CC178" s="3" t="s">
        <v>144</v>
      </c>
      <c r="CD178" s="3" t="s">
        <v>144</v>
      </c>
      <c r="CE178" s="3" t="s">
        <v>144</v>
      </c>
      <c r="CF178" s="3" t="s">
        <v>144</v>
      </c>
      <c r="CG178" s="3" t="s">
        <v>144</v>
      </c>
      <c r="CH178" s="3" t="s">
        <v>144</v>
      </c>
      <c r="CI178" s="3" t="s">
        <v>144</v>
      </c>
      <c r="CJ178" s="3" t="s">
        <v>144</v>
      </c>
      <c r="CK178" s="3" t="s">
        <v>144</v>
      </c>
      <c r="CL178" s="3" t="s">
        <v>144</v>
      </c>
      <c r="CM178" s="3" t="s">
        <v>144</v>
      </c>
      <c r="CN178" s="3" t="s">
        <v>144</v>
      </c>
      <c r="CO178" s="3" t="s">
        <v>144</v>
      </c>
      <c r="CP178" s="3" t="s">
        <v>144</v>
      </c>
      <c r="CQ178" s="3" t="s">
        <v>144</v>
      </c>
      <c r="CR178" s="3" t="s">
        <v>144</v>
      </c>
      <c r="CS178" s="3" t="s">
        <v>144</v>
      </c>
      <c r="CT178" s="3" t="s">
        <v>144</v>
      </c>
      <c r="CU178" s="3" t="s">
        <v>144</v>
      </c>
      <c r="CV178" s="3" t="s">
        <v>144</v>
      </c>
      <c r="CW178" s="3" t="s">
        <v>144</v>
      </c>
      <c r="CX178" s="3" t="s">
        <v>144</v>
      </c>
      <c r="CY178" s="3" t="s">
        <v>144</v>
      </c>
    </row>
    <row r="179" spans="1:103" x14ac:dyDescent="0.25">
      <c r="A179" t="s">
        <v>92</v>
      </c>
      <c r="B179" t="s">
        <v>4</v>
      </c>
      <c r="C179">
        <v>1147.3453863377783</v>
      </c>
      <c r="D179">
        <v>808.27464908220111</v>
      </c>
      <c r="E179">
        <v>279.18773534002167</v>
      </c>
      <c r="F179">
        <v>461.02916602044809</v>
      </c>
      <c r="G179">
        <v>19.256503360036614</v>
      </c>
      <c r="H179">
        <v>688.33037461798949</v>
      </c>
      <c r="I179">
        <v>748.00063397644669</v>
      </c>
      <c r="J179">
        <v>898.25623869205981</v>
      </c>
      <c r="K179">
        <v>1013.8858265818261</v>
      </c>
      <c r="L179">
        <v>960.31545287927111</v>
      </c>
      <c r="M179">
        <v>1057.9886921203379</v>
      </c>
      <c r="N179">
        <v>891.37586460241766</v>
      </c>
      <c r="O179">
        <v>821.0142719754848</v>
      </c>
      <c r="P179">
        <v>716.71598434896714</v>
      </c>
      <c r="Q179">
        <v>645.5812690859367</v>
      </c>
      <c r="R179">
        <v>645.84704278585036</v>
      </c>
      <c r="S179">
        <v>627.37642798135755</v>
      </c>
      <c r="T179">
        <v>675.39789113132736</v>
      </c>
      <c r="U179">
        <v>707.33443742753627</v>
      </c>
      <c r="V179">
        <v>749.01512960690457</v>
      </c>
      <c r="W179">
        <v>777.54271261951476</v>
      </c>
      <c r="X179">
        <v>778.37291919365941</v>
      </c>
      <c r="Y179">
        <v>772.59987310749455</v>
      </c>
      <c r="Z179">
        <v>744.6382068951043</v>
      </c>
      <c r="AA179">
        <v>717.64799958010553</v>
      </c>
      <c r="AB179">
        <v>689.52066562715345</v>
      </c>
      <c r="AC179">
        <v>668.18389184545595</v>
      </c>
      <c r="AD179">
        <v>658.61112820049505</v>
      </c>
      <c r="AE179">
        <v>655.95721303684456</v>
      </c>
      <c r="AF179">
        <v>662.3634314450062</v>
      </c>
      <c r="AG179">
        <v>670.4206720547545</v>
      </c>
      <c r="AH179">
        <v>678.5164744432243</v>
      </c>
      <c r="AI179">
        <v>683.35824106788584</v>
      </c>
      <c r="AJ179">
        <v>683.04592588077435</v>
      </c>
      <c r="AK179">
        <v>678.70076659347694</v>
      </c>
      <c r="AL179">
        <v>670.46218413846555</v>
      </c>
      <c r="AM179">
        <v>661.01407913646551</v>
      </c>
      <c r="AN179">
        <v>651.77914578809248</v>
      </c>
      <c r="AO179">
        <v>644.33068828118542</v>
      </c>
      <c r="AP179">
        <v>639.5477638291452</v>
      </c>
      <c r="AQ179">
        <v>637.1963033550818</v>
      </c>
      <c r="AR179">
        <v>636.92312862469407</v>
      </c>
      <c r="AS179">
        <v>637.59140520605558</v>
      </c>
      <c r="AT179">
        <v>638.31355491533418</v>
      </c>
      <c r="AU179">
        <v>638.28084856417911</v>
      </c>
      <c r="AV179">
        <v>637.0441352776237</v>
      </c>
      <c r="AW179">
        <v>634.63475824575289</v>
      </c>
      <c r="AX179">
        <v>631.29596545988773</v>
      </c>
      <c r="AY179">
        <v>627.55593646335194</v>
      </c>
      <c r="BA179" s="1">
        <v>1</v>
      </c>
      <c r="BB179" t="str">
        <f t="shared" si="2"/>
        <v>Sp - Bauru</v>
      </c>
      <c r="BC179" s="3">
        <v>1898.1599487704807</v>
      </c>
      <c r="BD179" s="3">
        <v>576.7719833708652</v>
      </c>
      <c r="BE179" s="3">
        <v>-829.06366879839061</v>
      </c>
      <c r="BF179" s="3">
        <v>83.678090171208396</v>
      </c>
      <c r="BG179" s="3">
        <v>-935.17353944791978</v>
      </c>
      <c r="BH179" s="3">
        <v>42.057034110970676</v>
      </c>
      <c r="BI179" s="3">
        <v>-208.67134668926906</v>
      </c>
      <c r="BJ179" s="3">
        <v>-5.2770066366801984</v>
      </c>
      <c r="BK179" s="3">
        <v>266.2682855537937</v>
      </c>
      <c r="BL179" s="3">
        <v>64.426165345048958</v>
      </c>
      <c r="BM179" s="3">
        <v>301.91027722626768</v>
      </c>
      <c r="BN179" s="3">
        <v>45.89605304582642</v>
      </c>
      <c r="BO179" s="3">
        <v>48.281273123937808</v>
      </c>
      <c r="BP179" s="3">
        <v>-43.044057278634227</v>
      </c>
      <c r="BQ179" s="3">
        <v>-138.09437588577418</v>
      </c>
      <c r="BR179" s="3">
        <v>-114.88062008743725</v>
      </c>
      <c r="BS179" s="3">
        <v>-185.1609329204432</v>
      </c>
      <c r="BT179" s="3">
        <v>-132.95429775418359</v>
      </c>
      <c r="BU179" s="3">
        <v>-126.77046048181342</v>
      </c>
      <c r="BV179" s="3">
        <v>-91.950116994293808</v>
      </c>
      <c r="BW179" s="3">
        <v>-57.159407648069873</v>
      </c>
      <c r="BX179" s="3">
        <v>-57.905506097286093</v>
      </c>
      <c r="BY179" s="3">
        <v>-47.63660412306001</v>
      </c>
      <c r="BZ179" s="3">
        <v>-74.17690913217325</v>
      </c>
      <c r="CA179" s="3">
        <v>-95.733497166287066</v>
      </c>
      <c r="CB179" s="3">
        <v>-124.68026873189672</v>
      </c>
      <c r="CC179" s="3">
        <v>-150.66533066011152</v>
      </c>
      <c r="CD179" s="3">
        <v>-163.04157515513839</v>
      </c>
      <c r="CE179" s="3">
        <v>-172.27258886043614</v>
      </c>
      <c r="CF179" s="3">
        <v>-168.87663741313077</v>
      </c>
      <c r="CG179" s="3">
        <v>-164.4658060341302</v>
      </c>
      <c r="CH179" s="3">
        <v>-158.22637941386779</v>
      </c>
      <c r="CI179" s="3">
        <v>-153.83701048629223</v>
      </c>
      <c r="CJ179" s="3">
        <v>-154.44127460014238</v>
      </c>
      <c r="CK179" s="3">
        <v>-157.69336477845309</v>
      </c>
      <c r="CL179" s="3">
        <v>-165.35659256019858</v>
      </c>
      <c r="CM179" s="3">
        <v>-174.1238832973645</v>
      </c>
      <c r="CN179" s="3">
        <v>-183.42019171376899</v>
      </c>
      <c r="CO179" s="3">
        <v>-191.7391141522894</v>
      </c>
      <c r="CP179" s="3">
        <v>-197.86206239789419</v>
      </c>
      <c r="CQ179" s="3">
        <v>-202.10094039677131</v>
      </c>
      <c r="CR179" s="3">
        <v>-204.12050507492086</v>
      </c>
      <c r="CS179" s="3">
        <v>-204.99311967605388</v>
      </c>
      <c r="CT179" s="3">
        <v>-205.3172777901035</v>
      </c>
      <c r="CU179" s="3">
        <v>-205.90161621260199</v>
      </c>
      <c r="CV179" s="3">
        <v>-207.36946667680854</v>
      </c>
      <c r="CW179" s="3">
        <v>-209.79364821307729</v>
      </c>
      <c r="CX179" s="3">
        <v>-213.19175385209758</v>
      </c>
      <c r="CY179" s="3">
        <v>-217.11193080670262</v>
      </c>
    </row>
    <row r="180" spans="1:103" x14ac:dyDescent="0.25">
      <c r="A180" t="s">
        <v>92</v>
      </c>
      <c r="B180" t="s">
        <v>5</v>
      </c>
      <c r="C180">
        <v>-750.81456243270247</v>
      </c>
      <c r="D180">
        <v>231.50266571133585</v>
      </c>
      <c r="E180">
        <v>1108.2514041384122</v>
      </c>
      <c r="F180">
        <v>377.35107584923969</v>
      </c>
      <c r="G180">
        <v>954.4300428079564</v>
      </c>
      <c r="H180">
        <v>646.27334050701882</v>
      </c>
      <c r="I180">
        <v>956.67198066571575</v>
      </c>
      <c r="J180">
        <v>903.53324532874001</v>
      </c>
      <c r="K180">
        <v>747.61754102803241</v>
      </c>
      <c r="L180">
        <v>895.88928753422215</v>
      </c>
      <c r="M180">
        <v>756.07841489407019</v>
      </c>
      <c r="N180">
        <v>845.47981155659124</v>
      </c>
      <c r="O180">
        <v>772.73299885154699</v>
      </c>
      <c r="P180">
        <v>759.76004162760137</v>
      </c>
      <c r="Q180">
        <v>783.67564497171088</v>
      </c>
      <c r="R180">
        <v>760.72766287328761</v>
      </c>
      <c r="S180">
        <v>812.53736090180075</v>
      </c>
      <c r="T180">
        <v>808.35218888551094</v>
      </c>
      <c r="U180">
        <v>834.10489790934969</v>
      </c>
      <c r="V180">
        <v>840.96524660119837</v>
      </c>
      <c r="W180">
        <v>834.70212026758463</v>
      </c>
      <c r="X180">
        <v>836.27842529094551</v>
      </c>
      <c r="Y180">
        <v>820.23647723055456</v>
      </c>
      <c r="Z180">
        <v>818.81511602727755</v>
      </c>
      <c r="AA180">
        <v>813.3814967463926</v>
      </c>
      <c r="AB180">
        <v>814.20093435905017</v>
      </c>
      <c r="AC180">
        <v>818.84922250556747</v>
      </c>
      <c r="AD180">
        <v>821.65270335563343</v>
      </c>
      <c r="AE180">
        <v>828.22980189728071</v>
      </c>
      <c r="AF180">
        <v>831.24006885813696</v>
      </c>
      <c r="AG180">
        <v>834.8864780888847</v>
      </c>
      <c r="AH180">
        <v>836.74285385709209</v>
      </c>
      <c r="AI180">
        <v>837.19525155417807</v>
      </c>
      <c r="AJ180">
        <v>837.48720048091673</v>
      </c>
      <c r="AK180">
        <v>836.39413137193003</v>
      </c>
      <c r="AL180">
        <v>835.81877669866412</v>
      </c>
      <c r="AM180">
        <v>835.13796243383001</v>
      </c>
      <c r="AN180">
        <v>835.19933750186146</v>
      </c>
      <c r="AO180">
        <v>836.06980243347482</v>
      </c>
      <c r="AP180">
        <v>837.40982622703939</v>
      </c>
      <c r="AQ180">
        <v>839.2972437518531</v>
      </c>
      <c r="AR180">
        <v>841.04363369961493</v>
      </c>
      <c r="AS180">
        <v>842.58452488210946</v>
      </c>
      <c r="AT180">
        <v>843.63083270543768</v>
      </c>
      <c r="AU180">
        <v>844.1824647767811</v>
      </c>
      <c r="AV180">
        <v>844.41360195443224</v>
      </c>
      <c r="AW180">
        <v>844.42840645883018</v>
      </c>
      <c r="AX180">
        <v>844.4877193119853</v>
      </c>
      <c r="AY180">
        <v>844.66786727005456</v>
      </c>
      <c r="BA180" s="1">
        <v>-1</v>
      </c>
      <c r="BB180" t="str">
        <f t="shared" si="2"/>
        <v>Sp - Bauru</v>
      </c>
      <c r="BC180" s="3" t="s">
        <v>144</v>
      </c>
      <c r="BD180" s="3" t="s">
        <v>144</v>
      </c>
      <c r="BE180" s="3" t="s">
        <v>144</v>
      </c>
      <c r="BF180" s="3" t="s">
        <v>144</v>
      </c>
      <c r="BG180" s="3" t="s">
        <v>144</v>
      </c>
      <c r="BH180" s="3" t="s">
        <v>144</v>
      </c>
      <c r="BI180" s="3" t="s">
        <v>144</v>
      </c>
      <c r="BJ180" s="3" t="s">
        <v>144</v>
      </c>
      <c r="BK180" s="3" t="s">
        <v>144</v>
      </c>
      <c r="BL180" s="3" t="s">
        <v>144</v>
      </c>
      <c r="BM180" s="3" t="s">
        <v>144</v>
      </c>
      <c r="BN180" s="3" t="s">
        <v>144</v>
      </c>
      <c r="BO180" s="3" t="s">
        <v>144</v>
      </c>
      <c r="BP180" s="3" t="s">
        <v>144</v>
      </c>
      <c r="BQ180" s="3" t="s">
        <v>144</v>
      </c>
      <c r="BR180" s="3" t="s">
        <v>144</v>
      </c>
      <c r="BS180" s="3" t="s">
        <v>144</v>
      </c>
      <c r="BT180" s="3" t="s">
        <v>144</v>
      </c>
      <c r="BU180" s="3" t="s">
        <v>144</v>
      </c>
      <c r="BV180" s="3" t="s">
        <v>144</v>
      </c>
      <c r="BW180" s="3" t="s">
        <v>144</v>
      </c>
      <c r="BX180" s="3" t="s">
        <v>144</v>
      </c>
      <c r="BY180" s="3" t="s">
        <v>144</v>
      </c>
      <c r="BZ180" s="3" t="s">
        <v>144</v>
      </c>
      <c r="CA180" s="3" t="s">
        <v>144</v>
      </c>
      <c r="CB180" s="3" t="s">
        <v>144</v>
      </c>
      <c r="CC180" s="3" t="s">
        <v>144</v>
      </c>
      <c r="CD180" s="3" t="s">
        <v>144</v>
      </c>
      <c r="CE180" s="3" t="s">
        <v>144</v>
      </c>
      <c r="CF180" s="3" t="s">
        <v>144</v>
      </c>
      <c r="CG180" s="3" t="s">
        <v>144</v>
      </c>
      <c r="CH180" s="3" t="s">
        <v>144</v>
      </c>
      <c r="CI180" s="3" t="s">
        <v>144</v>
      </c>
      <c r="CJ180" s="3" t="s">
        <v>144</v>
      </c>
      <c r="CK180" s="3" t="s">
        <v>144</v>
      </c>
      <c r="CL180" s="3" t="s">
        <v>144</v>
      </c>
      <c r="CM180" s="3" t="s">
        <v>144</v>
      </c>
      <c r="CN180" s="3" t="s">
        <v>144</v>
      </c>
      <c r="CO180" s="3" t="s">
        <v>144</v>
      </c>
      <c r="CP180" s="3" t="s">
        <v>144</v>
      </c>
      <c r="CQ180" s="3" t="s">
        <v>144</v>
      </c>
      <c r="CR180" s="3" t="s">
        <v>144</v>
      </c>
      <c r="CS180" s="3" t="s">
        <v>144</v>
      </c>
      <c r="CT180" s="3" t="s">
        <v>144</v>
      </c>
      <c r="CU180" s="3" t="s">
        <v>144</v>
      </c>
      <c r="CV180" s="3" t="s">
        <v>144</v>
      </c>
      <c r="CW180" s="3" t="s">
        <v>144</v>
      </c>
      <c r="CX180" s="3" t="s">
        <v>144</v>
      </c>
      <c r="CY180" s="3" t="s">
        <v>144</v>
      </c>
    </row>
    <row r="181" spans="1:103" x14ac:dyDescent="0.25">
      <c r="A181" t="s">
        <v>93</v>
      </c>
      <c r="B181" t="s">
        <v>4</v>
      </c>
      <c r="C181">
        <v>517.96152294762749</v>
      </c>
      <c r="D181">
        <v>175.5147571369076</v>
      </c>
      <c r="E181">
        <v>75.927199781140331</v>
      </c>
      <c r="F181">
        <v>300.051185323938</v>
      </c>
      <c r="G181">
        <v>23.875503630274565</v>
      </c>
      <c r="H181">
        <v>245.52838641448795</v>
      </c>
      <c r="I181">
        <v>191.6184822630415</v>
      </c>
      <c r="J181">
        <v>391.05793394701141</v>
      </c>
      <c r="K181">
        <v>535.04096576805227</v>
      </c>
      <c r="L181">
        <v>562.98237442176946</v>
      </c>
      <c r="M181">
        <v>632.36033415058864</v>
      </c>
      <c r="N181">
        <v>549.56818693974174</v>
      </c>
      <c r="O181">
        <v>519.3896615997819</v>
      </c>
      <c r="P181">
        <v>435.3951291939357</v>
      </c>
      <c r="Q181">
        <v>367.8195306528537</v>
      </c>
      <c r="R181">
        <v>335.10632450627327</v>
      </c>
      <c r="S181">
        <v>306.60317293371321</v>
      </c>
      <c r="T181">
        <v>328.05998485567778</v>
      </c>
      <c r="U181">
        <v>348.36851802933205</v>
      </c>
      <c r="V181">
        <v>384.79687993870124</v>
      </c>
      <c r="W181">
        <v>415.65895077709229</v>
      </c>
      <c r="X181">
        <v>432.66591537413331</v>
      </c>
      <c r="Y181">
        <v>440.98599304436635</v>
      </c>
      <c r="Z181">
        <v>430.2221710022244</v>
      </c>
      <c r="AA181">
        <v>414.09596773200093</v>
      </c>
      <c r="AB181">
        <v>392.02687358665401</v>
      </c>
      <c r="AC181">
        <v>372.24321784147645</v>
      </c>
      <c r="AD181">
        <v>359.0321844418844</v>
      </c>
      <c r="AE181">
        <v>352.15042911819216</v>
      </c>
      <c r="AF181">
        <v>353.65388287571403</v>
      </c>
      <c r="AG181">
        <v>359.18834686672676</v>
      </c>
      <c r="AH181">
        <v>367.2390616075412</v>
      </c>
      <c r="AI181">
        <v>374.37673037995842</v>
      </c>
      <c r="AJ181">
        <v>378.4938264396265</v>
      </c>
      <c r="AK181">
        <v>379.1579705384321</v>
      </c>
      <c r="AL181">
        <v>376.01149462061579</v>
      </c>
      <c r="AM181">
        <v>370.60752412122343</v>
      </c>
      <c r="AN181">
        <v>364.07648976039769</v>
      </c>
      <c r="AO181">
        <v>357.97632343818589</v>
      </c>
      <c r="AP181">
        <v>353.38240840357599</v>
      </c>
      <c r="AQ181">
        <v>350.69123302117418</v>
      </c>
      <c r="AR181">
        <v>349.9713254572589</v>
      </c>
      <c r="AS181">
        <v>350.60169187143265</v>
      </c>
      <c r="AT181">
        <v>351.9150434517652</v>
      </c>
      <c r="AU181">
        <v>353.13266933043195</v>
      </c>
      <c r="AV181">
        <v>353.67799219117444</v>
      </c>
      <c r="AW181">
        <v>353.28879410162017</v>
      </c>
      <c r="AX181">
        <v>351.94920897909054</v>
      </c>
      <c r="AY181">
        <v>349.93943724731548</v>
      </c>
      <c r="BA181" s="1">
        <v>1</v>
      </c>
      <c r="BB181" t="str">
        <f t="shared" si="2"/>
        <v>Sp - Araraquara</v>
      </c>
      <c r="BC181" s="3">
        <v>1049.3457335196861</v>
      </c>
      <c r="BD181" s="3">
        <v>304.96074613995165</v>
      </c>
      <c r="BE181" s="3">
        <v>-458.79887760234408</v>
      </c>
      <c r="BF181" s="3">
        <v>131.51319324873242</v>
      </c>
      <c r="BG181" s="3">
        <v>-619.13505288509839</v>
      </c>
      <c r="BH181" s="3">
        <v>-186.99953243382595</v>
      </c>
      <c r="BI181" s="3">
        <v>-447.44132515325089</v>
      </c>
      <c r="BJ181" s="3">
        <v>-206.97147506348938</v>
      </c>
      <c r="BK181" s="3">
        <v>86.774449242137052</v>
      </c>
      <c r="BL181" s="3">
        <v>49.903526999642281</v>
      </c>
      <c r="BM181" s="3">
        <v>241.70689660391395</v>
      </c>
      <c r="BN181" s="3">
        <v>109.67186463417596</v>
      </c>
      <c r="BO181" s="3">
        <v>126.05342720602073</v>
      </c>
      <c r="BP181" s="3">
        <v>39.707886908362354</v>
      </c>
      <c r="BQ181" s="3">
        <v>-67.901605570158836</v>
      </c>
      <c r="BR181" s="3">
        <v>-110.14792228888786</v>
      </c>
      <c r="BS181" s="3">
        <v>-197.26987339355668</v>
      </c>
      <c r="BT181" s="3">
        <v>-187.72167943265327</v>
      </c>
      <c r="BU181" s="3">
        <v>-188.41098638691784</v>
      </c>
      <c r="BV181" s="3">
        <v>-151.40359670634138</v>
      </c>
      <c r="BW181" s="3">
        <v>-104.62161765704263</v>
      </c>
      <c r="BX181" s="3">
        <v>-76.660588197735251</v>
      </c>
      <c r="BY181" s="3">
        <v>-48.289748789336954</v>
      </c>
      <c r="BZ181" s="3">
        <v>-54.49652964014382</v>
      </c>
      <c r="CA181" s="3">
        <v>-69.234718984183758</v>
      </c>
      <c r="CB181" s="3">
        <v>-98.320585578744101</v>
      </c>
      <c r="CC181" s="3">
        <v>-129.9085430168621</v>
      </c>
      <c r="CD181" s="3">
        <v>-153.27967544887645</v>
      </c>
      <c r="CE181" s="3">
        <v>-171.07095702846254</v>
      </c>
      <c r="CF181" s="3">
        <v>-175.43177989746624</v>
      </c>
      <c r="CG181" s="3">
        <v>-173.61735343002499</v>
      </c>
      <c r="CH181" s="3">
        <v>-166.17323021596849</v>
      </c>
      <c r="CI181" s="3">
        <v>-157.5929672779522</v>
      </c>
      <c r="CJ181" s="3">
        <v>-151.79966080926994</v>
      </c>
      <c r="CK181" s="3">
        <v>-149.08896294576482</v>
      </c>
      <c r="CL181" s="3">
        <v>-151.59033018887948</v>
      </c>
      <c r="CM181" s="3">
        <v>-157.47337878640911</v>
      </c>
      <c r="CN181" s="3">
        <v>-166.00861047051245</v>
      </c>
      <c r="CO181" s="3">
        <v>-175.3160953455149</v>
      </c>
      <c r="CP181" s="3">
        <v>-183.58146631994617</v>
      </c>
      <c r="CQ181" s="3">
        <v>-190.00669722673138</v>
      </c>
      <c r="CR181" s="3">
        <v>-193.731591344241</v>
      </c>
      <c r="CS181" s="3">
        <v>-195.21969318612946</v>
      </c>
      <c r="CT181" s="3">
        <v>-195.0382621203554</v>
      </c>
      <c r="CU181" s="3">
        <v>-194.20087609205649</v>
      </c>
      <c r="CV181" s="3">
        <v>-193.70080730733264</v>
      </c>
      <c r="CW181" s="3">
        <v>-194.12929041965299</v>
      </c>
      <c r="CX181" s="3">
        <v>-195.8432996432112</v>
      </c>
      <c r="CY181" s="3">
        <v>-198.65737084751981</v>
      </c>
    </row>
    <row r="182" spans="1:103" x14ac:dyDescent="0.25">
      <c r="A182" t="s">
        <v>93</v>
      </c>
      <c r="B182" t="s">
        <v>5</v>
      </c>
      <c r="C182">
        <v>-531.38421057205858</v>
      </c>
      <c r="D182">
        <v>-129.44598900304402</v>
      </c>
      <c r="E182">
        <v>534.72607738348438</v>
      </c>
      <c r="F182">
        <v>168.53799207520558</v>
      </c>
      <c r="G182">
        <v>643.01055651537297</v>
      </c>
      <c r="H182">
        <v>432.5279188483139</v>
      </c>
      <c r="I182">
        <v>639.05980741629241</v>
      </c>
      <c r="J182">
        <v>598.02940901050079</v>
      </c>
      <c r="K182">
        <v>448.26651652591522</v>
      </c>
      <c r="L182">
        <v>513.07884742212718</v>
      </c>
      <c r="M182">
        <v>390.6534375466747</v>
      </c>
      <c r="N182">
        <v>439.89632230556577</v>
      </c>
      <c r="O182">
        <v>393.33623439376117</v>
      </c>
      <c r="P182">
        <v>395.68724228557335</v>
      </c>
      <c r="Q182">
        <v>435.72113622301254</v>
      </c>
      <c r="R182">
        <v>445.25424679516112</v>
      </c>
      <c r="S182">
        <v>503.87304632726989</v>
      </c>
      <c r="T182">
        <v>515.78166428833106</v>
      </c>
      <c r="U182">
        <v>536.77950441624989</v>
      </c>
      <c r="V182">
        <v>536.20047664504261</v>
      </c>
      <c r="W182">
        <v>520.28056843413492</v>
      </c>
      <c r="X182">
        <v>509.32650357186856</v>
      </c>
      <c r="Y182">
        <v>489.27574183370331</v>
      </c>
      <c r="Z182">
        <v>484.71870064236822</v>
      </c>
      <c r="AA182">
        <v>483.33068671618469</v>
      </c>
      <c r="AB182">
        <v>490.34745916539811</v>
      </c>
      <c r="AC182">
        <v>502.15176085833855</v>
      </c>
      <c r="AD182">
        <v>512.31185989076084</v>
      </c>
      <c r="AE182">
        <v>523.22138614665471</v>
      </c>
      <c r="AF182">
        <v>529.08566277318027</v>
      </c>
      <c r="AG182">
        <v>532.80570029675175</v>
      </c>
      <c r="AH182">
        <v>533.41229182350969</v>
      </c>
      <c r="AI182">
        <v>531.96969765791061</v>
      </c>
      <c r="AJ182">
        <v>530.29348724889644</v>
      </c>
      <c r="AK182">
        <v>528.24693348419692</v>
      </c>
      <c r="AL182">
        <v>527.60182480949527</v>
      </c>
      <c r="AM182">
        <v>528.08090290763255</v>
      </c>
      <c r="AN182">
        <v>530.08510023091014</v>
      </c>
      <c r="AO182">
        <v>533.29241878370078</v>
      </c>
      <c r="AP182">
        <v>536.96387472352217</v>
      </c>
      <c r="AQ182">
        <v>540.69793024790556</v>
      </c>
      <c r="AR182">
        <v>543.7029168014999</v>
      </c>
      <c r="AS182">
        <v>545.82138505756211</v>
      </c>
      <c r="AT182">
        <v>546.9533055721206</v>
      </c>
      <c r="AU182">
        <v>547.33354542248844</v>
      </c>
      <c r="AV182">
        <v>547.37879949850708</v>
      </c>
      <c r="AW182">
        <v>547.41808452127316</v>
      </c>
      <c r="AX182">
        <v>547.79250862230174</v>
      </c>
      <c r="AY182">
        <v>548.5968080948353</v>
      </c>
      <c r="BA182" s="1">
        <v>-1</v>
      </c>
      <c r="BB182" t="str">
        <f t="shared" si="2"/>
        <v>Sp - Araraquara</v>
      </c>
      <c r="BC182" s="3" t="s">
        <v>144</v>
      </c>
      <c r="BD182" s="3" t="s">
        <v>144</v>
      </c>
      <c r="BE182" s="3" t="s">
        <v>144</v>
      </c>
      <c r="BF182" s="3" t="s">
        <v>144</v>
      </c>
      <c r="BG182" s="3" t="s">
        <v>144</v>
      </c>
      <c r="BH182" s="3" t="s">
        <v>144</v>
      </c>
      <c r="BI182" s="3" t="s">
        <v>144</v>
      </c>
      <c r="BJ182" s="3" t="s">
        <v>144</v>
      </c>
      <c r="BK182" s="3" t="s">
        <v>144</v>
      </c>
      <c r="BL182" s="3" t="s">
        <v>144</v>
      </c>
      <c r="BM182" s="3" t="s">
        <v>144</v>
      </c>
      <c r="BN182" s="3" t="s">
        <v>144</v>
      </c>
      <c r="BO182" s="3" t="s">
        <v>144</v>
      </c>
      <c r="BP182" s="3" t="s">
        <v>144</v>
      </c>
      <c r="BQ182" s="3" t="s">
        <v>144</v>
      </c>
      <c r="BR182" s="3" t="s">
        <v>144</v>
      </c>
      <c r="BS182" s="3" t="s">
        <v>144</v>
      </c>
      <c r="BT182" s="3" t="s">
        <v>144</v>
      </c>
      <c r="BU182" s="3" t="s">
        <v>144</v>
      </c>
      <c r="BV182" s="3" t="s">
        <v>144</v>
      </c>
      <c r="BW182" s="3" t="s">
        <v>144</v>
      </c>
      <c r="BX182" s="3" t="s">
        <v>144</v>
      </c>
      <c r="BY182" s="3" t="s">
        <v>144</v>
      </c>
      <c r="BZ182" s="3" t="s">
        <v>144</v>
      </c>
      <c r="CA182" s="3" t="s">
        <v>144</v>
      </c>
      <c r="CB182" s="3" t="s">
        <v>144</v>
      </c>
      <c r="CC182" s="3" t="s">
        <v>144</v>
      </c>
      <c r="CD182" s="3" t="s">
        <v>144</v>
      </c>
      <c r="CE182" s="3" t="s">
        <v>144</v>
      </c>
      <c r="CF182" s="3" t="s">
        <v>144</v>
      </c>
      <c r="CG182" s="3" t="s">
        <v>144</v>
      </c>
      <c r="CH182" s="3" t="s">
        <v>144</v>
      </c>
      <c r="CI182" s="3" t="s">
        <v>144</v>
      </c>
      <c r="CJ182" s="3" t="s">
        <v>144</v>
      </c>
      <c r="CK182" s="3" t="s">
        <v>144</v>
      </c>
      <c r="CL182" s="3" t="s">
        <v>144</v>
      </c>
      <c r="CM182" s="3" t="s">
        <v>144</v>
      </c>
      <c r="CN182" s="3" t="s">
        <v>144</v>
      </c>
      <c r="CO182" s="3" t="s">
        <v>144</v>
      </c>
      <c r="CP182" s="3" t="s">
        <v>144</v>
      </c>
      <c r="CQ182" s="3" t="s">
        <v>144</v>
      </c>
      <c r="CR182" s="3" t="s">
        <v>144</v>
      </c>
      <c r="CS182" s="3" t="s">
        <v>144</v>
      </c>
      <c r="CT182" s="3" t="s">
        <v>144</v>
      </c>
      <c r="CU182" s="3" t="s">
        <v>144</v>
      </c>
      <c r="CV182" s="3" t="s">
        <v>144</v>
      </c>
      <c r="CW182" s="3" t="s">
        <v>144</v>
      </c>
      <c r="CX182" s="3" t="s">
        <v>144</v>
      </c>
      <c r="CY182" s="3" t="s">
        <v>144</v>
      </c>
    </row>
    <row r="183" spans="1:103" x14ac:dyDescent="0.25">
      <c r="A183" t="s">
        <v>94</v>
      </c>
      <c r="B183" t="s">
        <v>4</v>
      </c>
      <c r="C183">
        <v>1384.782676195724</v>
      </c>
      <c r="D183">
        <v>770.2118109381986</v>
      </c>
      <c r="E183">
        <v>583.81352369006083</v>
      </c>
      <c r="F183">
        <v>714.66770439331515</v>
      </c>
      <c r="G183">
        <v>623.94857681119504</v>
      </c>
      <c r="H183">
        <v>1060.3880579042773</v>
      </c>
      <c r="I183">
        <v>984.01589216544642</v>
      </c>
      <c r="J183">
        <v>1194.2280781894988</v>
      </c>
      <c r="K183">
        <v>1267.3365307279319</v>
      </c>
      <c r="L183">
        <v>1279.4341997571946</v>
      </c>
      <c r="M183">
        <v>1303.3280037790375</v>
      </c>
      <c r="N183">
        <v>1154.7226927024367</v>
      </c>
      <c r="O183">
        <v>1094.3901222825743</v>
      </c>
      <c r="P183">
        <v>980.45728896249659</v>
      </c>
      <c r="Q183">
        <v>923.66158257134657</v>
      </c>
      <c r="R183">
        <v>903.28190493003001</v>
      </c>
      <c r="S183">
        <v>895.3616514226884</v>
      </c>
      <c r="T183">
        <v>938.51565663283691</v>
      </c>
      <c r="U183">
        <v>967.59714495348464</v>
      </c>
      <c r="V183">
        <v>1006.7195047646551</v>
      </c>
      <c r="W183">
        <v>1024.3667760637768</v>
      </c>
      <c r="X183">
        <v>1023.2199297893161</v>
      </c>
      <c r="Y183">
        <v>1010.8149971063787</v>
      </c>
      <c r="Z183">
        <v>981.52495647869887</v>
      </c>
      <c r="AA183">
        <v>953.57761805657515</v>
      </c>
      <c r="AB183">
        <v>924.56921863211608</v>
      </c>
      <c r="AC183">
        <v>904.05795451693007</v>
      </c>
      <c r="AD183">
        <v>892.77795318946573</v>
      </c>
      <c r="AE183">
        <v>888.91117719237889</v>
      </c>
      <c r="AF183">
        <v>892.58307996324834</v>
      </c>
      <c r="AG183">
        <v>897.8516765214921</v>
      </c>
      <c r="AH183">
        <v>903.40720360384898</v>
      </c>
      <c r="AI183">
        <v>905.58845871768722</v>
      </c>
      <c r="AJ183">
        <v>903.37888107220215</v>
      </c>
      <c r="AK183">
        <v>897.14241176761789</v>
      </c>
      <c r="AL183">
        <v>887.46526505696454</v>
      </c>
      <c r="AM183">
        <v>876.72000113611352</v>
      </c>
      <c r="AN183">
        <v>866.26982773190036</v>
      </c>
      <c r="AO183">
        <v>857.76060395678007</v>
      </c>
      <c r="AP183">
        <v>851.82575239818823</v>
      </c>
      <c r="AQ183">
        <v>848.34462503888972</v>
      </c>
      <c r="AR183">
        <v>846.81302384015635</v>
      </c>
      <c r="AS183">
        <v>846.14758707944304</v>
      </c>
      <c r="AT183">
        <v>845.49820176590038</v>
      </c>
      <c r="AU183">
        <v>844.08821719737443</v>
      </c>
      <c r="AV183">
        <v>841.57547085329952</v>
      </c>
      <c r="AW183">
        <v>837.99705303850772</v>
      </c>
      <c r="AX183">
        <v>833.63447235893432</v>
      </c>
      <c r="AY183">
        <v>828.98459635458585</v>
      </c>
      <c r="BA183" s="1">
        <v>1</v>
      </c>
      <c r="BB183" t="str">
        <f t="shared" si="2"/>
        <v>Sp - Piracicaba</v>
      </c>
      <c r="BC183" s="3">
        <v>2109.3294483772202</v>
      </c>
      <c r="BD183" s="3">
        <v>475.94062712494355</v>
      </c>
      <c r="BE183" s="3">
        <v>-573.75267601912867</v>
      </c>
      <c r="BF183" s="3">
        <v>142.22477669755187</v>
      </c>
      <c r="BG183" s="3">
        <v>-392.7279967782805</v>
      </c>
      <c r="BH183" s="3">
        <v>314.68691750492962</v>
      </c>
      <c r="BI183" s="3">
        <v>-39.815657491540037</v>
      </c>
      <c r="BJ183" s="3">
        <v>183.18740980259179</v>
      </c>
      <c r="BK183" s="3">
        <v>374.50300500565618</v>
      </c>
      <c r="BL183" s="3">
        <v>261.50167398150143</v>
      </c>
      <c r="BM183" s="3">
        <v>405.93737666026948</v>
      </c>
      <c r="BN183" s="3">
        <v>187.67517770993686</v>
      </c>
      <c r="BO183" s="3">
        <v>196.06344378673271</v>
      </c>
      <c r="BP183" s="3">
        <v>102.7670763454654</v>
      </c>
      <c r="BQ183" s="3">
        <v>29.786348715804593</v>
      </c>
      <c r="BR183" s="3">
        <v>24.763494638094812</v>
      </c>
      <c r="BS183" s="3">
        <v>-36.923770329450804</v>
      </c>
      <c r="BT183" s="3">
        <v>-2.9926627185450343</v>
      </c>
      <c r="BU183" s="3">
        <v>-6.8614022501043337</v>
      </c>
      <c r="BV183" s="3">
        <v>17.946903300686813</v>
      </c>
      <c r="BW183" s="3">
        <v>36.163493966214446</v>
      </c>
      <c r="BX183" s="3">
        <v>32.236827295209309</v>
      </c>
      <c r="BY183" s="3">
        <v>34.000590607752088</v>
      </c>
      <c r="BZ183" s="3">
        <v>7.3177136139933054</v>
      </c>
      <c r="CA183" s="3">
        <v>-15.266267644225422</v>
      </c>
      <c r="CB183" s="3">
        <v>-45.283804283359245</v>
      </c>
      <c r="CC183" s="3">
        <v>-71.348638313503216</v>
      </c>
      <c r="CD183" s="3">
        <v>-87.701444189927997</v>
      </c>
      <c r="CE183" s="3">
        <v>-100.55373626125447</v>
      </c>
      <c r="CF183" s="3">
        <v>-103.22167116106118</v>
      </c>
      <c r="CG183" s="3">
        <v>-104.73660887591495</v>
      </c>
      <c r="CH183" s="3">
        <v>-104.0404110714129</v>
      </c>
      <c r="CI183" s="3">
        <v>-104.85611682039939</v>
      </c>
      <c r="CJ183" s="3">
        <v>-109.18083713239321</v>
      </c>
      <c r="CK183" s="3">
        <v>-115.71125147448561</v>
      </c>
      <c r="CL183" s="3">
        <v>-125.68696111485394</v>
      </c>
      <c r="CM183" s="3">
        <v>-136.51638278681685</v>
      </c>
      <c r="CN183" s="3">
        <v>-147.81882967135641</v>
      </c>
      <c r="CO183" s="3">
        <v>-158.18881597123971</v>
      </c>
      <c r="CP183" s="3">
        <v>-166.74743452374196</v>
      </c>
      <c r="CQ183" s="3">
        <v>-173.59847773746583</v>
      </c>
      <c r="CR183" s="3">
        <v>-178.50779704999218</v>
      </c>
      <c r="CS183" s="3">
        <v>-182.32707120878229</v>
      </c>
      <c r="CT183" s="3">
        <v>-185.52731796370813</v>
      </c>
      <c r="CU183" s="3">
        <v>-188.81456524098894</v>
      </c>
      <c r="CV183" s="3">
        <v>-192.6802185221436</v>
      </c>
      <c r="CW183" s="3">
        <v>-197.23068867099653</v>
      </c>
      <c r="CX183" s="3">
        <v>-202.4858317777464</v>
      </c>
      <c r="CY183" s="3">
        <v>-208.09492014531338</v>
      </c>
    </row>
    <row r="184" spans="1:103" x14ac:dyDescent="0.25">
      <c r="A184" t="s">
        <v>94</v>
      </c>
      <c r="B184" t="s">
        <v>5</v>
      </c>
      <c r="C184">
        <v>-724.54677218149618</v>
      </c>
      <c r="D184">
        <v>294.27118381325505</v>
      </c>
      <c r="E184">
        <v>1157.5661997091895</v>
      </c>
      <c r="F184">
        <v>572.44292769576327</v>
      </c>
      <c r="G184">
        <v>1016.6765735894755</v>
      </c>
      <c r="H184">
        <v>745.70114039934765</v>
      </c>
      <c r="I184">
        <v>1023.8315496569865</v>
      </c>
      <c r="J184">
        <v>1011.040668386907</v>
      </c>
      <c r="K184">
        <v>892.83352572227568</v>
      </c>
      <c r="L184">
        <v>1017.9325257756932</v>
      </c>
      <c r="M184">
        <v>897.39062711876807</v>
      </c>
      <c r="N184">
        <v>967.04751499249983</v>
      </c>
      <c r="O184">
        <v>898.32667849584163</v>
      </c>
      <c r="P184">
        <v>877.69021261703119</v>
      </c>
      <c r="Q184">
        <v>893.87523385554198</v>
      </c>
      <c r="R184">
        <v>878.5184102919352</v>
      </c>
      <c r="S184">
        <v>932.2854217521392</v>
      </c>
      <c r="T184">
        <v>941.50831935138194</v>
      </c>
      <c r="U184">
        <v>974.45854720358898</v>
      </c>
      <c r="V184">
        <v>988.77260146396827</v>
      </c>
      <c r="W184">
        <v>988.20328209756235</v>
      </c>
      <c r="X184">
        <v>990.98310249410679</v>
      </c>
      <c r="Y184">
        <v>976.81440649862657</v>
      </c>
      <c r="Z184">
        <v>974.20724286470556</v>
      </c>
      <c r="AA184">
        <v>968.84388570080057</v>
      </c>
      <c r="AB184">
        <v>969.85302291547532</v>
      </c>
      <c r="AC184">
        <v>975.40659283043328</v>
      </c>
      <c r="AD184">
        <v>980.47939737939373</v>
      </c>
      <c r="AE184">
        <v>989.46491345363336</v>
      </c>
      <c r="AF184">
        <v>995.80475112430952</v>
      </c>
      <c r="AG184">
        <v>1002.588285397407</v>
      </c>
      <c r="AH184">
        <v>1007.4476146752619</v>
      </c>
      <c r="AI184">
        <v>1010.4445755380866</v>
      </c>
      <c r="AJ184">
        <v>1012.5597182045954</v>
      </c>
      <c r="AK184">
        <v>1012.8536632421035</v>
      </c>
      <c r="AL184">
        <v>1013.1522261718185</v>
      </c>
      <c r="AM184">
        <v>1013.2363839229304</v>
      </c>
      <c r="AN184">
        <v>1014.0886574032568</v>
      </c>
      <c r="AO184">
        <v>1015.9494199280198</v>
      </c>
      <c r="AP184">
        <v>1018.5731869219302</v>
      </c>
      <c r="AQ184">
        <v>1021.9431027763555</v>
      </c>
      <c r="AR184">
        <v>1025.3208208901485</v>
      </c>
      <c r="AS184">
        <v>1028.4746582882253</v>
      </c>
      <c r="AT184">
        <v>1031.0255197296085</v>
      </c>
      <c r="AU184">
        <v>1032.9027824383634</v>
      </c>
      <c r="AV184">
        <v>1034.2556893754431</v>
      </c>
      <c r="AW184">
        <v>1035.2277417095042</v>
      </c>
      <c r="AX184">
        <v>1036.1203041366807</v>
      </c>
      <c r="AY184">
        <v>1037.0795164998992</v>
      </c>
      <c r="BA184" s="1">
        <v>-1</v>
      </c>
      <c r="BB184" t="str">
        <f t="shared" si="2"/>
        <v>Sp - Piracicaba</v>
      </c>
      <c r="BC184" s="3" t="s">
        <v>144</v>
      </c>
      <c r="BD184" s="3" t="s">
        <v>144</v>
      </c>
      <c r="BE184" s="3" t="s">
        <v>144</v>
      </c>
      <c r="BF184" s="3" t="s">
        <v>144</v>
      </c>
      <c r="BG184" s="3" t="s">
        <v>144</v>
      </c>
      <c r="BH184" s="3" t="s">
        <v>144</v>
      </c>
      <c r="BI184" s="3" t="s">
        <v>144</v>
      </c>
      <c r="BJ184" s="3" t="s">
        <v>144</v>
      </c>
      <c r="BK184" s="3" t="s">
        <v>144</v>
      </c>
      <c r="BL184" s="3" t="s">
        <v>144</v>
      </c>
      <c r="BM184" s="3" t="s">
        <v>144</v>
      </c>
      <c r="BN184" s="3" t="s">
        <v>144</v>
      </c>
      <c r="BO184" s="3" t="s">
        <v>144</v>
      </c>
      <c r="BP184" s="3" t="s">
        <v>144</v>
      </c>
      <c r="BQ184" s="3" t="s">
        <v>144</v>
      </c>
      <c r="BR184" s="3" t="s">
        <v>144</v>
      </c>
      <c r="BS184" s="3" t="s">
        <v>144</v>
      </c>
      <c r="BT184" s="3" t="s">
        <v>144</v>
      </c>
      <c r="BU184" s="3" t="s">
        <v>144</v>
      </c>
      <c r="BV184" s="3" t="s">
        <v>144</v>
      </c>
      <c r="BW184" s="3" t="s">
        <v>144</v>
      </c>
      <c r="BX184" s="3" t="s">
        <v>144</v>
      </c>
      <c r="BY184" s="3" t="s">
        <v>144</v>
      </c>
      <c r="BZ184" s="3" t="s">
        <v>144</v>
      </c>
      <c r="CA184" s="3" t="s">
        <v>144</v>
      </c>
      <c r="CB184" s="3" t="s">
        <v>144</v>
      </c>
      <c r="CC184" s="3" t="s">
        <v>144</v>
      </c>
      <c r="CD184" s="3" t="s">
        <v>144</v>
      </c>
      <c r="CE184" s="3" t="s">
        <v>144</v>
      </c>
      <c r="CF184" s="3" t="s">
        <v>144</v>
      </c>
      <c r="CG184" s="3" t="s">
        <v>144</v>
      </c>
      <c r="CH184" s="3" t="s">
        <v>144</v>
      </c>
      <c r="CI184" s="3" t="s">
        <v>144</v>
      </c>
      <c r="CJ184" s="3" t="s">
        <v>144</v>
      </c>
      <c r="CK184" s="3" t="s">
        <v>144</v>
      </c>
      <c r="CL184" s="3" t="s">
        <v>144</v>
      </c>
      <c r="CM184" s="3" t="s">
        <v>144</v>
      </c>
      <c r="CN184" s="3" t="s">
        <v>144</v>
      </c>
      <c r="CO184" s="3" t="s">
        <v>144</v>
      </c>
      <c r="CP184" s="3" t="s">
        <v>144</v>
      </c>
      <c r="CQ184" s="3" t="s">
        <v>144</v>
      </c>
      <c r="CR184" s="3" t="s">
        <v>144</v>
      </c>
      <c r="CS184" s="3" t="s">
        <v>144</v>
      </c>
      <c r="CT184" s="3" t="s">
        <v>144</v>
      </c>
      <c r="CU184" s="3" t="s">
        <v>144</v>
      </c>
      <c r="CV184" s="3" t="s">
        <v>144</v>
      </c>
      <c r="CW184" s="3" t="s">
        <v>144</v>
      </c>
      <c r="CX184" s="3" t="s">
        <v>144</v>
      </c>
      <c r="CY184" s="3" t="s">
        <v>144</v>
      </c>
    </row>
    <row r="185" spans="1:103" x14ac:dyDescent="0.25">
      <c r="A185" t="s">
        <v>95</v>
      </c>
      <c r="B185" t="s">
        <v>4</v>
      </c>
      <c r="C185">
        <v>3656.1712900471844</v>
      </c>
      <c r="D185">
        <v>2168.8238659775143</v>
      </c>
      <c r="E185">
        <v>1927.9761032503541</v>
      </c>
      <c r="F185">
        <v>2252.4645899861407</v>
      </c>
      <c r="G185">
        <v>2013.5879434512037</v>
      </c>
      <c r="H185">
        <v>3035.1657673393693</v>
      </c>
      <c r="I185">
        <v>2827.121675490715</v>
      </c>
      <c r="J185">
        <v>3366.1573862344676</v>
      </c>
      <c r="K185">
        <v>3485.3886265176443</v>
      </c>
      <c r="L185">
        <v>3493.8432703308672</v>
      </c>
      <c r="M185">
        <v>3548.973521918208</v>
      </c>
      <c r="N185">
        <v>3207.4475285769627</v>
      </c>
      <c r="O185">
        <v>3103.2629797642799</v>
      </c>
      <c r="P185">
        <v>2867.1001266187218</v>
      </c>
      <c r="Q185">
        <v>2792.4477822168178</v>
      </c>
      <c r="R185">
        <v>2801.0185697014208</v>
      </c>
      <c r="S185">
        <v>2833.4354541934285</v>
      </c>
      <c r="T185">
        <v>2972.9230946028401</v>
      </c>
      <c r="U185">
        <v>3057.5992576797521</v>
      </c>
      <c r="V185">
        <v>3156.4936780310181</v>
      </c>
      <c r="W185">
        <v>3194.8476550684982</v>
      </c>
      <c r="X185">
        <v>3190.9848760576519</v>
      </c>
      <c r="Y185">
        <v>3166.1056548047763</v>
      </c>
      <c r="Z185">
        <v>3109.2143090127638</v>
      </c>
      <c r="AA185">
        <v>3064.045330234866</v>
      </c>
      <c r="AB185">
        <v>3020.0724678093261</v>
      </c>
      <c r="AC185">
        <v>2997.8716238348547</v>
      </c>
      <c r="AD185">
        <v>2995.0939087840879</v>
      </c>
      <c r="AE185">
        <v>3006.168920292911</v>
      </c>
      <c r="AF185">
        <v>3030.9581578101615</v>
      </c>
      <c r="AG185">
        <v>3055.5696449922789</v>
      </c>
      <c r="AH185">
        <v>3078.3760729146948</v>
      </c>
      <c r="AI185">
        <v>3091.6025986507216</v>
      </c>
      <c r="AJ185">
        <v>3094.2749423259297</v>
      </c>
      <c r="AK185">
        <v>3088.0739476462277</v>
      </c>
      <c r="AL185">
        <v>3074.9222668507869</v>
      </c>
      <c r="AM185">
        <v>3060.6198267652594</v>
      </c>
      <c r="AN185">
        <v>3047.9978164695285</v>
      </c>
      <c r="AO185">
        <v>3040.4354531026729</v>
      </c>
      <c r="AP185">
        <v>3038.656307190347</v>
      </c>
      <c r="AQ185">
        <v>3041.7629149712611</v>
      </c>
      <c r="AR185">
        <v>3048.178514082254</v>
      </c>
      <c r="AS185">
        <v>3055.2602854191073</v>
      </c>
      <c r="AT185">
        <v>3061.2499103562386</v>
      </c>
      <c r="AU185">
        <v>3064.7029883520927</v>
      </c>
      <c r="AV185">
        <v>3065.2705415849641</v>
      </c>
      <c r="AW185">
        <v>3063.390511052949</v>
      </c>
      <c r="AX185">
        <v>3059.9159045690799</v>
      </c>
      <c r="AY185">
        <v>3056.0349272390495</v>
      </c>
      <c r="BA185" s="1">
        <v>1</v>
      </c>
      <c r="BB185" t="str">
        <f t="shared" si="2"/>
        <v>Sp - Campinas</v>
      </c>
      <c r="BC185" s="3">
        <v>3930.235008300031</v>
      </c>
      <c r="BD185" s="3">
        <v>1382.3311572783346</v>
      </c>
      <c r="BE185" s="3">
        <v>-352.74760493006238</v>
      </c>
      <c r="BF185" s="3">
        <v>988.20845730351516</v>
      </c>
      <c r="BG185" s="3">
        <v>-84.718073022090948</v>
      </c>
      <c r="BH185" s="3">
        <v>1028.6328052336858</v>
      </c>
      <c r="BI185" s="3">
        <v>407.83366421118581</v>
      </c>
      <c r="BJ185" s="3">
        <v>779.16914889537156</v>
      </c>
      <c r="BK185" s="3">
        <v>1096.0055399421176</v>
      </c>
      <c r="BL185" s="3">
        <v>811.01299254183641</v>
      </c>
      <c r="BM185" s="3">
        <v>987.19776042897183</v>
      </c>
      <c r="BN185" s="3">
        <v>534.61122848131799</v>
      </c>
      <c r="BO185" s="3">
        <v>489.29137208121438</v>
      </c>
      <c r="BP185" s="3">
        <v>301.97555949074103</v>
      </c>
      <c r="BQ185" s="3">
        <v>172.6457526725726</v>
      </c>
      <c r="BR185" s="3">
        <v>193.57476186397253</v>
      </c>
      <c r="BS185" s="3">
        <v>118.25554200117085</v>
      </c>
      <c r="BT185" s="3">
        <v>200.4476176442754</v>
      </c>
      <c r="BU185" s="3">
        <v>198.39730069023744</v>
      </c>
      <c r="BV185" s="3">
        <v>225.3220925846399</v>
      </c>
      <c r="BW185" s="3">
        <v>230.41122571592905</v>
      </c>
      <c r="BX185" s="3">
        <v>191.0315033758302</v>
      </c>
      <c r="BY185" s="3">
        <v>165.46689051211024</v>
      </c>
      <c r="BZ185" s="3">
        <v>97.209897334922061</v>
      </c>
      <c r="CA185" s="3">
        <v>44.021586439615021</v>
      </c>
      <c r="CB185" s="3">
        <v>-14.907779084124286</v>
      </c>
      <c r="CC185" s="3">
        <v>-63.1524777699683</v>
      </c>
      <c r="CD185" s="3">
        <v>-92.173729936951077</v>
      </c>
      <c r="CE185" s="3">
        <v>-115.23355406372048</v>
      </c>
      <c r="CF185" s="3">
        <v>-121.70256220952342</v>
      </c>
      <c r="CG185" s="3">
        <v>-128.18873456847723</v>
      </c>
      <c r="CH185" s="3">
        <v>-133.42344694300709</v>
      </c>
      <c r="CI185" s="3">
        <v>-143.54629472566512</v>
      </c>
      <c r="CJ185" s="3">
        <v>-161.54329183725213</v>
      </c>
      <c r="CK185" s="3">
        <v>-183.88406217705324</v>
      </c>
      <c r="CL185" s="3">
        <v>-211.54502421836105</v>
      </c>
      <c r="CM185" s="3">
        <v>-239.0051470213657</v>
      </c>
      <c r="CN185" s="3">
        <v>-265.08888845765932</v>
      </c>
      <c r="CO185" s="3">
        <v>-287.54803641560966</v>
      </c>
      <c r="CP185" s="3">
        <v>-305.45732691212834</v>
      </c>
      <c r="CQ185" s="3">
        <v>-319.90694752331274</v>
      </c>
      <c r="CR185" s="3">
        <v>-331.27309076540541</v>
      </c>
      <c r="CS185" s="3">
        <v>-341.53571889648492</v>
      </c>
      <c r="CT185" s="3">
        <v>-351.63885290981489</v>
      </c>
      <c r="CU185" s="3">
        <v>-362.59222910393828</v>
      </c>
      <c r="CV185" s="3">
        <v>-374.87077347608647</v>
      </c>
      <c r="CW185" s="3">
        <v>-388.23454453305612</v>
      </c>
      <c r="CX185" s="3">
        <v>-402.3959593145687</v>
      </c>
      <c r="CY185" s="3">
        <v>-416.57049070342873</v>
      </c>
    </row>
    <row r="186" spans="1:103" x14ac:dyDescent="0.25">
      <c r="A186" t="s">
        <v>95</v>
      </c>
      <c r="B186" t="s">
        <v>5</v>
      </c>
      <c r="C186">
        <v>-274.06371825284685</v>
      </c>
      <c r="D186">
        <v>786.49270869917962</v>
      </c>
      <c r="E186">
        <v>2280.7237081804165</v>
      </c>
      <c r="F186">
        <v>1264.2561326826255</v>
      </c>
      <c r="G186">
        <v>2098.3060164732947</v>
      </c>
      <c r="H186">
        <v>2006.5329621056835</v>
      </c>
      <c r="I186">
        <v>2419.2880112795292</v>
      </c>
      <c r="J186">
        <v>2586.988237339096</v>
      </c>
      <c r="K186">
        <v>2389.3830865755267</v>
      </c>
      <c r="L186">
        <v>2682.8302777890308</v>
      </c>
      <c r="M186">
        <v>2561.7757614892362</v>
      </c>
      <c r="N186">
        <v>2672.8363000956447</v>
      </c>
      <c r="O186">
        <v>2613.9716076830655</v>
      </c>
      <c r="P186">
        <v>2565.1245671279808</v>
      </c>
      <c r="Q186">
        <v>2619.8020295442452</v>
      </c>
      <c r="R186">
        <v>2607.4438078374483</v>
      </c>
      <c r="S186">
        <v>2715.1799121922577</v>
      </c>
      <c r="T186">
        <v>2772.4754769585647</v>
      </c>
      <c r="U186">
        <v>2859.2019569895147</v>
      </c>
      <c r="V186">
        <v>2931.1715854463782</v>
      </c>
      <c r="W186">
        <v>2964.4364293525691</v>
      </c>
      <c r="X186">
        <v>2999.9533726818217</v>
      </c>
      <c r="Y186">
        <v>3000.6387642926661</v>
      </c>
      <c r="Z186">
        <v>3012.0044116778417</v>
      </c>
      <c r="AA186">
        <v>3020.023743795251</v>
      </c>
      <c r="AB186">
        <v>3034.9802468934504</v>
      </c>
      <c r="AC186">
        <v>3061.024101604823</v>
      </c>
      <c r="AD186">
        <v>3087.267638721039</v>
      </c>
      <c r="AE186">
        <v>3121.4024743566315</v>
      </c>
      <c r="AF186">
        <v>3152.660720019685</v>
      </c>
      <c r="AG186">
        <v>3183.7583795607561</v>
      </c>
      <c r="AH186">
        <v>3211.7995198577019</v>
      </c>
      <c r="AI186">
        <v>3235.1488933763867</v>
      </c>
      <c r="AJ186">
        <v>3255.8182341631818</v>
      </c>
      <c r="AK186">
        <v>3271.9580098232809</v>
      </c>
      <c r="AL186">
        <v>3286.4672910691479</v>
      </c>
      <c r="AM186">
        <v>3299.6249737866251</v>
      </c>
      <c r="AN186">
        <v>3313.0867049271878</v>
      </c>
      <c r="AO186">
        <v>3327.9834895182826</v>
      </c>
      <c r="AP186">
        <v>3344.1136341024753</v>
      </c>
      <c r="AQ186">
        <v>3361.6698624945739</v>
      </c>
      <c r="AR186">
        <v>3379.4516048476594</v>
      </c>
      <c r="AS186">
        <v>3396.7960043155922</v>
      </c>
      <c r="AT186">
        <v>3412.8887632660535</v>
      </c>
      <c r="AU186">
        <v>3427.295217456031</v>
      </c>
      <c r="AV186">
        <v>3440.1413150610506</v>
      </c>
      <c r="AW186">
        <v>3451.6250555860051</v>
      </c>
      <c r="AX186">
        <v>3462.3118638836486</v>
      </c>
      <c r="AY186">
        <v>3472.6054179424782</v>
      </c>
      <c r="BA186" s="1">
        <v>-1</v>
      </c>
      <c r="BB186" t="str">
        <f t="shared" si="2"/>
        <v>Sp - Campinas</v>
      </c>
      <c r="BC186" s="3" t="s">
        <v>144</v>
      </c>
      <c r="BD186" s="3" t="s">
        <v>144</v>
      </c>
      <c r="BE186" s="3" t="s">
        <v>144</v>
      </c>
      <c r="BF186" s="3" t="s">
        <v>144</v>
      </c>
      <c r="BG186" s="3" t="s">
        <v>144</v>
      </c>
      <c r="BH186" s="3" t="s">
        <v>144</v>
      </c>
      <c r="BI186" s="3" t="s">
        <v>144</v>
      </c>
      <c r="BJ186" s="3" t="s">
        <v>144</v>
      </c>
      <c r="BK186" s="3" t="s">
        <v>144</v>
      </c>
      <c r="BL186" s="3" t="s">
        <v>144</v>
      </c>
      <c r="BM186" s="3" t="s">
        <v>144</v>
      </c>
      <c r="BN186" s="3" t="s">
        <v>144</v>
      </c>
      <c r="BO186" s="3" t="s">
        <v>144</v>
      </c>
      <c r="BP186" s="3" t="s">
        <v>144</v>
      </c>
      <c r="BQ186" s="3" t="s">
        <v>144</v>
      </c>
      <c r="BR186" s="3" t="s">
        <v>144</v>
      </c>
      <c r="BS186" s="3" t="s">
        <v>144</v>
      </c>
      <c r="BT186" s="3" t="s">
        <v>144</v>
      </c>
      <c r="BU186" s="3" t="s">
        <v>144</v>
      </c>
      <c r="BV186" s="3" t="s">
        <v>144</v>
      </c>
      <c r="BW186" s="3" t="s">
        <v>144</v>
      </c>
      <c r="BX186" s="3" t="s">
        <v>144</v>
      </c>
      <c r="BY186" s="3" t="s">
        <v>144</v>
      </c>
      <c r="BZ186" s="3" t="s">
        <v>144</v>
      </c>
      <c r="CA186" s="3" t="s">
        <v>144</v>
      </c>
      <c r="CB186" s="3" t="s">
        <v>144</v>
      </c>
      <c r="CC186" s="3" t="s">
        <v>144</v>
      </c>
      <c r="CD186" s="3" t="s">
        <v>144</v>
      </c>
      <c r="CE186" s="3" t="s">
        <v>144</v>
      </c>
      <c r="CF186" s="3" t="s">
        <v>144</v>
      </c>
      <c r="CG186" s="3" t="s">
        <v>144</v>
      </c>
      <c r="CH186" s="3" t="s">
        <v>144</v>
      </c>
      <c r="CI186" s="3" t="s">
        <v>144</v>
      </c>
      <c r="CJ186" s="3" t="s">
        <v>144</v>
      </c>
      <c r="CK186" s="3" t="s">
        <v>144</v>
      </c>
      <c r="CL186" s="3" t="s">
        <v>144</v>
      </c>
      <c r="CM186" s="3" t="s">
        <v>144</v>
      </c>
      <c r="CN186" s="3" t="s">
        <v>144</v>
      </c>
      <c r="CO186" s="3" t="s">
        <v>144</v>
      </c>
      <c r="CP186" s="3" t="s">
        <v>144</v>
      </c>
      <c r="CQ186" s="3" t="s">
        <v>144</v>
      </c>
      <c r="CR186" s="3" t="s">
        <v>144</v>
      </c>
      <c r="CS186" s="3" t="s">
        <v>144</v>
      </c>
      <c r="CT186" s="3" t="s">
        <v>144</v>
      </c>
      <c r="CU186" s="3" t="s">
        <v>144</v>
      </c>
      <c r="CV186" s="3" t="s">
        <v>144</v>
      </c>
      <c r="CW186" s="3" t="s">
        <v>144</v>
      </c>
      <c r="CX186" s="3" t="s">
        <v>144</v>
      </c>
      <c r="CY186" s="3" t="s">
        <v>144</v>
      </c>
    </row>
    <row r="187" spans="1:103" x14ac:dyDescent="0.25">
      <c r="A187" t="s">
        <v>96</v>
      </c>
      <c r="B187" t="s">
        <v>4</v>
      </c>
      <c r="C187">
        <v>410.38341851646311</v>
      </c>
      <c r="D187">
        <v>278.07335482081515</v>
      </c>
      <c r="E187">
        <v>27.812440028587787</v>
      </c>
      <c r="F187">
        <v>63.28048041726732</v>
      </c>
      <c r="G187">
        <v>83.884031119000142</v>
      </c>
      <c r="H187">
        <v>255.43580745941571</v>
      </c>
      <c r="I187">
        <v>279.90605324179307</v>
      </c>
      <c r="J187">
        <v>323.22366949965453</v>
      </c>
      <c r="K187">
        <v>356.64313400831782</v>
      </c>
      <c r="L187">
        <v>346.76425076609934</v>
      </c>
      <c r="M187">
        <v>340.13723257015096</v>
      </c>
      <c r="N187">
        <v>280.66818562325784</v>
      </c>
      <c r="O187">
        <v>243.89986941118036</v>
      </c>
      <c r="P187">
        <v>211.59742586833349</v>
      </c>
      <c r="Q187">
        <v>197.07223489771584</v>
      </c>
      <c r="R187">
        <v>203.29566108488245</v>
      </c>
      <c r="S187">
        <v>213.54593918604425</v>
      </c>
      <c r="T187">
        <v>238.04191959255036</v>
      </c>
      <c r="U187">
        <v>257.74205974585954</v>
      </c>
      <c r="V187">
        <v>273.85389662213151</v>
      </c>
      <c r="W187">
        <v>280.95918549196841</v>
      </c>
      <c r="X187">
        <v>278.11105814918585</v>
      </c>
      <c r="Y187">
        <v>270.84942421872046</v>
      </c>
      <c r="Z187">
        <v>258.95407085761826</v>
      </c>
      <c r="AA187">
        <v>248.42326714625932</v>
      </c>
      <c r="AB187">
        <v>240.14243117803406</v>
      </c>
      <c r="AC187">
        <v>236.02108954751694</v>
      </c>
      <c r="AD187">
        <v>236.43023575646268</v>
      </c>
      <c r="AE187">
        <v>239.66833378605091</v>
      </c>
      <c r="AF187">
        <v>244.97269766045994</v>
      </c>
      <c r="AG187">
        <v>250.07782908437159</v>
      </c>
      <c r="AH187">
        <v>254.03594643034148</v>
      </c>
      <c r="AI187">
        <v>255.95961549814035</v>
      </c>
      <c r="AJ187">
        <v>255.64069972081657</v>
      </c>
      <c r="AK187">
        <v>253.66498142660785</v>
      </c>
      <c r="AL187">
        <v>250.62903224962713</v>
      </c>
      <c r="AM187">
        <v>247.55412203334689</v>
      </c>
      <c r="AN187">
        <v>245.0939806221192</v>
      </c>
      <c r="AO187">
        <v>243.71410315537199</v>
      </c>
      <c r="AP187">
        <v>243.51790615242726</v>
      </c>
      <c r="AQ187">
        <v>244.24559016282905</v>
      </c>
      <c r="AR187">
        <v>245.52324366751273</v>
      </c>
      <c r="AS187">
        <v>246.8521221781306</v>
      </c>
      <c r="AT187">
        <v>247.86328312877015</v>
      </c>
      <c r="AU187">
        <v>248.32375631725901</v>
      </c>
      <c r="AV187">
        <v>248.18752517224146</v>
      </c>
      <c r="AW187">
        <v>247.57887140363491</v>
      </c>
      <c r="AX187">
        <v>246.70007468410836</v>
      </c>
      <c r="AY187">
        <v>245.79423304945183</v>
      </c>
      <c r="BA187" s="1">
        <v>1</v>
      </c>
      <c r="BB187" t="str">
        <f t="shared" si="2"/>
        <v>Sp - Presidente Prudente</v>
      </c>
      <c r="BC187" s="3">
        <v>722.37691242019923</v>
      </c>
      <c r="BD187" s="3">
        <v>136.12644338090345</v>
      </c>
      <c r="BE187" s="3">
        <v>-468.49228258697724</v>
      </c>
      <c r="BF187" s="3">
        <v>-81.840581294955541</v>
      </c>
      <c r="BG187" s="3">
        <v>-210.9930868697333</v>
      </c>
      <c r="BH187" s="3">
        <v>52.30793725295834</v>
      </c>
      <c r="BI187" s="3">
        <v>-31.919674066869447</v>
      </c>
      <c r="BJ187" s="3">
        <v>39.408441933440827</v>
      </c>
      <c r="BK187" s="3">
        <v>153.494831113966</v>
      </c>
      <c r="BL187" s="3">
        <v>91.916135595990539</v>
      </c>
      <c r="BM187" s="3">
        <v>127.8247049839463</v>
      </c>
      <c r="BN187" s="3">
        <v>32.553657581527602</v>
      </c>
      <c r="BO187" s="3">
        <v>13.149408706981262</v>
      </c>
      <c r="BP187" s="3">
        <v>-21.57373489978815</v>
      </c>
      <c r="BQ187" s="3">
        <v>-57.318811823436675</v>
      </c>
      <c r="BR187" s="3">
        <v>-52.825644763836635</v>
      </c>
      <c r="BS187" s="3">
        <v>-67.187053368784149</v>
      </c>
      <c r="BT187" s="3">
        <v>-43.697354028144673</v>
      </c>
      <c r="BU187" s="3">
        <v>-31.505047292909921</v>
      </c>
      <c r="BV187" s="3">
        <v>-15.817040820215709</v>
      </c>
      <c r="BW187" s="3">
        <v>-3.8648230679476683</v>
      </c>
      <c r="BX187" s="3">
        <v>-6.4040204949980648</v>
      </c>
      <c r="BY187" s="3">
        <v>-9.1170954984711443</v>
      </c>
      <c r="BZ187" s="3">
        <v>-23.527605738544992</v>
      </c>
      <c r="CA187" s="3">
        <v>-36.681038946249316</v>
      </c>
      <c r="CB187" s="3">
        <v>-49.892651242430276</v>
      </c>
      <c r="CC187" s="3">
        <v>-60.000656911524601</v>
      </c>
      <c r="CD187" s="3">
        <v>-63.927319667309661</v>
      </c>
      <c r="CE187" s="3">
        <v>-65.364363337334595</v>
      </c>
      <c r="CF187" s="3">
        <v>-62.622709563778443</v>
      </c>
      <c r="CG187" s="3">
        <v>-59.646331081148759</v>
      </c>
      <c r="CH187" s="3">
        <v>-56.956407812180601</v>
      </c>
      <c r="CI187" s="3">
        <v>-55.783637265035281</v>
      </c>
      <c r="CJ187" s="3">
        <v>-57.052171174311212</v>
      </c>
      <c r="CK187" s="3">
        <v>-59.833122360718704</v>
      </c>
      <c r="CL187" s="3">
        <v>-64.210821462500462</v>
      </c>
      <c r="CM187" s="3">
        <v>-68.882693603614797</v>
      </c>
      <c r="CN187" s="3">
        <v>-73.325067280324447</v>
      </c>
      <c r="CO187" s="3">
        <v>-76.945462099722278</v>
      </c>
      <c r="CP187" s="3">
        <v>-79.355989591051468</v>
      </c>
      <c r="CQ187" s="3">
        <v>-80.757067874639688</v>
      </c>
      <c r="CR187" s="3">
        <v>-81.263943673732712</v>
      </c>
      <c r="CS187" s="3">
        <v>-81.40195289666903</v>
      </c>
      <c r="CT187" s="3">
        <v>-81.541152986304041</v>
      </c>
      <c r="CU187" s="3">
        <v>-82.017224397069896</v>
      </c>
      <c r="CV187" s="3">
        <v>-83.026765601830505</v>
      </c>
      <c r="CW187" s="3">
        <v>-84.526490743501057</v>
      </c>
      <c r="CX187" s="3">
        <v>-86.407477281819638</v>
      </c>
      <c r="CY187" s="3">
        <v>-88.421605701087032</v>
      </c>
    </row>
    <row r="188" spans="1:103" x14ac:dyDescent="0.25">
      <c r="A188" t="s">
        <v>96</v>
      </c>
      <c r="B188" t="s">
        <v>5</v>
      </c>
      <c r="C188">
        <v>-311.99349390373612</v>
      </c>
      <c r="D188">
        <v>141.9469114399117</v>
      </c>
      <c r="E188">
        <v>496.30472261556503</v>
      </c>
      <c r="F188">
        <v>145.12106171222285</v>
      </c>
      <c r="G188">
        <v>294.87711798873346</v>
      </c>
      <c r="H188">
        <v>203.12787020645737</v>
      </c>
      <c r="I188">
        <v>311.82572730866252</v>
      </c>
      <c r="J188">
        <v>283.81522756621371</v>
      </c>
      <c r="K188">
        <v>203.14830289435181</v>
      </c>
      <c r="L188">
        <v>254.8481151701088</v>
      </c>
      <c r="M188">
        <v>212.31252758620465</v>
      </c>
      <c r="N188">
        <v>248.11452804173024</v>
      </c>
      <c r="O188">
        <v>230.7504607041991</v>
      </c>
      <c r="P188">
        <v>233.17116076812164</v>
      </c>
      <c r="Q188">
        <v>254.39104672115252</v>
      </c>
      <c r="R188">
        <v>256.12130584871909</v>
      </c>
      <c r="S188">
        <v>280.7329925548284</v>
      </c>
      <c r="T188">
        <v>281.73927362069503</v>
      </c>
      <c r="U188">
        <v>289.24710703876946</v>
      </c>
      <c r="V188">
        <v>289.67093744234722</v>
      </c>
      <c r="W188">
        <v>284.82400855991608</v>
      </c>
      <c r="X188">
        <v>284.51507864418392</v>
      </c>
      <c r="Y188">
        <v>279.9665197171916</v>
      </c>
      <c r="Z188">
        <v>282.48167659616325</v>
      </c>
      <c r="AA188">
        <v>285.10430609250864</v>
      </c>
      <c r="AB188">
        <v>290.03508242046433</v>
      </c>
      <c r="AC188">
        <v>296.02174645904154</v>
      </c>
      <c r="AD188">
        <v>300.35755542377234</v>
      </c>
      <c r="AE188">
        <v>305.0326971233855</v>
      </c>
      <c r="AF188">
        <v>307.59540722423839</v>
      </c>
      <c r="AG188">
        <v>309.72416016552035</v>
      </c>
      <c r="AH188">
        <v>310.99235424252208</v>
      </c>
      <c r="AI188">
        <v>311.74325276317563</v>
      </c>
      <c r="AJ188">
        <v>312.69287089512778</v>
      </c>
      <c r="AK188">
        <v>313.49810378732656</v>
      </c>
      <c r="AL188">
        <v>314.83985371212759</v>
      </c>
      <c r="AM188">
        <v>316.43681563696168</v>
      </c>
      <c r="AN188">
        <v>318.41904790244365</v>
      </c>
      <c r="AO188">
        <v>320.65956525509426</v>
      </c>
      <c r="AP188">
        <v>322.87389574347873</v>
      </c>
      <c r="AQ188">
        <v>325.00265803746873</v>
      </c>
      <c r="AR188">
        <v>326.78718734124544</v>
      </c>
      <c r="AS188">
        <v>328.25407507479963</v>
      </c>
      <c r="AT188">
        <v>329.40443611507419</v>
      </c>
      <c r="AU188">
        <v>330.34098071432891</v>
      </c>
      <c r="AV188">
        <v>331.21429077407197</v>
      </c>
      <c r="AW188">
        <v>332.10536214713596</v>
      </c>
      <c r="AX188">
        <v>333.107551965928</v>
      </c>
      <c r="AY188">
        <v>334.21583875053886</v>
      </c>
      <c r="BA188" s="1">
        <v>-1</v>
      </c>
      <c r="BB188" t="str">
        <f t="shared" si="2"/>
        <v>Sp - Presidente Prudente</v>
      </c>
      <c r="BC188" s="3" t="s">
        <v>144</v>
      </c>
      <c r="BD188" s="3" t="s">
        <v>144</v>
      </c>
      <c r="BE188" s="3" t="s">
        <v>144</v>
      </c>
      <c r="BF188" s="3" t="s">
        <v>144</v>
      </c>
      <c r="BG188" s="3" t="s">
        <v>144</v>
      </c>
      <c r="BH188" s="3" t="s">
        <v>144</v>
      </c>
      <c r="BI188" s="3" t="s">
        <v>144</v>
      </c>
      <c r="BJ188" s="3" t="s">
        <v>144</v>
      </c>
      <c r="BK188" s="3" t="s">
        <v>144</v>
      </c>
      <c r="BL188" s="3" t="s">
        <v>144</v>
      </c>
      <c r="BM188" s="3" t="s">
        <v>144</v>
      </c>
      <c r="BN188" s="3" t="s">
        <v>144</v>
      </c>
      <c r="BO188" s="3" t="s">
        <v>144</v>
      </c>
      <c r="BP188" s="3" t="s">
        <v>144</v>
      </c>
      <c r="BQ188" s="3" t="s">
        <v>144</v>
      </c>
      <c r="BR188" s="3" t="s">
        <v>144</v>
      </c>
      <c r="BS188" s="3" t="s">
        <v>144</v>
      </c>
      <c r="BT188" s="3" t="s">
        <v>144</v>
      </c>
      <c r="BU188" s="3" t="s">
        <v>144</v>
      </c>
      <c r="BV188" s="3" t="s">
        <v>144</v>
      </c>
      <c r="BW188" s="3" t="s">
        <v>144</v>
      </c>
      <c r="BX188" s="3" t="s">
        <v>144</v>
      </c>
      <c r="BY188" s="3" t="s">
        <v>144</v>
      </c>
      <c r="BZ188" s="3" t="s">
        <v>144</v>
      </c>
      <c r="CA188" s="3" t="s">
        <v>144</v>
      </c>
      <c r="CB188" s="3" t="s">
        <v>144</v>
      </c>
      <c r="CC188" s="3" t="s">
        <v>144</v>
      </c>
      <c r="CD188" s="3" t="s">
        <v>144</v>
      </c>
      <c r="CE188" s="3" t="s">
        <v>144</v>
      </c>
      <c r="CF188" s="3" t="s">
        <v>144</v>
      </c>
      <c r="CG188" s="3" t="s">
        <v>144</v>
      </c>
      <c r="CH188" s="3" t="s">
        <v>144</v>
      </c>
      <c r="CI188" s="3" t="s">
        <v>144</v>
      </c>
      <c r="CJ188" s="3" t="s">
        <v>144</v>
      </c>
      <c r="CK188" s="3" t="s">
        <v>144</v>
      </c>
      <c r="CL188" s="3" t="s">
        <v>144</v>
      </c>
      <c r="CM188" s="3" t="s">
        <v>144</v>
      </c>
      <c r="CN188" s="3" t="s">
        <v>144</v>
      </c>
      <c r="CO188" s="3" t="s">
        <v>144</v>
      </c>
      <c r="CP188" s="3" t="s">
        <v>144</v>
      </c>
      <c r="CQ188" s="3" t="s">
        <v>144</v>
      </c>
      <c r="CR188" s="3" t="s">
        <v>144</v>
      </c>
      <c r="CS188" s="3" t="s">
        <v>144</v>
      </c>
      <c r="CT188" s="3" t="s">
        <v>144</v>
      </c>
      <c r="CU188" s="3" t="s">
        <v>144</v>
      </c>
      <c r="CV188" s="3" t="s">
        <v>144</v>
      </c>
      <c r="CW188" s="3" t="s">
        <v>144</v>
      </c>
      <c r="CX188" s="3" t="s">
        <v>144</v>
      </c>
      <c r="CY188" s="3" t="s">
        <v>144</v>
      </c>
    </row>
    <row r="189" spans="1:103" x14ac:dyDescent="0.25">
      <c r="A189" t="s">
        <v>97</v>
      </c>
      <c r="B189" t="s">
        <v>4</v>
      </c>
      <c r="C189">
        <v>287.66184259175878</v>
      </c>
      <c r="D189">
        <v>92.133401465026793</v>
      </c>
      <c r="E189">
        <v>78.609431318454924</v>
      </c>
      <c r="F189">
        <v>54.575387559762078</v>
      </c>
      <c r="G189">
        <v>118.33220753053443</v>
      </c>
      <c r="H189">
        <v>158.25906712997505</v>
      </c>
      <c r="I189">
        <v>151.08348695610559</v>
      </c>
      <c r="J189">
        <v>198.31863847238836</v>
      </c>
      <c r="K189">
        <v>202.62216409661983</v>
      </c>
      <c r="L189">
        <v>220.76137417352729</v>
      </c>
      <c r="M189">
        <v>212.23564639477007</v>
      </c>
      <c r="N189">
        <v>196.9947235151694</v>
      </c>
      <c r="O189">
        <v>189.37443770384556</v>
      </c>
      <c r="P189">
        <v>173.40905485351857</v>
      </c>
      <c r="Q189">
        <v>170.8785339907146</v>
      </c>
      <c r="R189">
        <v>167.13283410719183</v>
      </c>
      <c r="S189">
        <v>171.52060006002102</v>
      </c>
      <c r="T189">
        <v>179.89758603755823</v>
      </c>
      <c r="U189">
        <v>187.71856461004418</v>
      </c>
      <c r="V189">
        <v>196.84135372986196</v>
      </c>
      <c r="W189">
        <v>201.12406359525141</v>
      </c>
      <c r="X189">
        <v>203.71408458164541</v>
      </c>
      <c r="Y189">
        <v>202.90305573696</v>
      </c>
      <c r="Z189">
        <v>200.20986617859089</v>
      </c>
      <c r="AA189">
        <v>197.31251005095191</v>
      </c>
      <c r="AB189">
        <v>194.35939419466013</v>
      </c>
      <c r="AC189">
        <v>193.16936776050753</v>
      </c>
      <c r="AD189">
        <v>193.17963210560436</v>
      </c>
      <c r="AE189">
        <v>194.67305021252201</v>
      </c>
      <c r="AF189">
        <v>197.05016495837341</v>
      </c>
      <c r="AG189">
        <v>199.61934878527245</v>
      </c>
      <c r="AH189">
        <v>202.06999822135302</v>
      </c>
      <c r="AI189">
        <v>203.78067026055567</v>
      </c>
      <c r="AJ189">
        <v>204.77690085078208</v>
      </c>
      <c r="AK189">
        <v>205.00825352938031</v>
      </c>
      <c r="AL189">
        <v>204.72002597962526</v>
      </c>
      <c r="AM189">
        <v>204.23421501857001</v>
      </c>
      <c r="AN189">
        <v>203.78793089991635</v>
      </c>
      <c r="AO189">
        <v>203.65066454606398</v>
      </c>
      <c r="AP189">
        <v>203.88009103504075</v>
      </c>
      <c r="AQ189">
        <v>204.48156317790671</v>
      </c>
      <c r="AR189">
        <v>205.338138284053</v>
      </c>
      <c r="AS189">
        <v>206.28611004891701</v>
      </c>
      <c r="AT189">
        <v>207.18219109511782</v>
      </c>
      <c r="AU189">
        <v>207.89988537125697</v>
      </c>
      <c r="AV189">
        <v>208.39728643620305</v>
      </c>
      <c r="AW189">
        <v>208.68058729117649</v>
      </c>
      <c r="AX189">
        <v>208.81034322307107</v>
      </c>
      <c r="AY189">
        <v>208.87035289876226</v>
      </c>
      <c r="BA189" s="1">
        <v>1</v>
      </c>
      <c r="BB189" t="str">
        <f t="shared" si="2"/>
        <v>Sp - Marilia</v>
      </c>
      <c r="BC189" s="3">
        <v>212.78404651141827</v>
      </c>
      <c r="BD189" s="3">
        <v>-17.577240807969645</v>
      </c>
      <c r="BE189" s="3">
        <v>-110.16670326031426</v>
      </c>
      <c r="BF189" s="3">
        <v>-6.2457659501089111</v>
      </c>
      <c r="BG189" s="3">
        <v>-2.9957228479994313</v>
      </c>
      <c r="BH189" s="3">
        <v>37.275347012736702</v>
      </c>
      <c r="BI189" s="3">
        <v>4.8741883725269304</v>
      </c>
      <c r="BJ189" s="3">
        <v>45.674379022347608</v>
      </c>
      <c r="BK189" s="3">
        <v>74.868295716644909</v>
      </c>
      <c r="BL189" s="3">
        <v>67.787613355469801</v>
      </c>
      <c r="BM189" s="3">
        <v>66.572872674222992</v>
      </c>
      <c r="BN189" s="3">
        <v>41.09498497956622</v>
      </c>
      <c r="BO189" s="3">
        <v>34.416455451701836</v>
      </c>
      <c r="BP189" s="3">
        <v>18.771457795146603</v>
      </c>
      <c r="BQ189" s="3">
        <v>7.0351883230848102</v>
      </c>
      <c r="BR189" s="3">
        <v>2.7450752455828251</v>
      </c>
      <c r="BS189" s="3">
        <v>-0.50088111578298822</v>
      </c>
      <c r="BT189" s="3">
        <v>5.9620782161236434</v>
      </c>
      <c r="BU189" s="3">
        <v>10.31392532936556</v>
      </c>
      <c r="BV189" s="3">
        <v>16.153455179388118</v>
      </c>
      <c r="BW189" s="3">
        <v>19.395221843061222</v>
      </c>
      <c r="BX189" s="3">
        <v>19.192718665024302</v>
      </c>
      <c r="BY189" s="3">
        <v>17.333219267584724</v>
      </c>
      <c r="BZ189" s="3">
        <v>12.208355685888904</v>
      </c>
      <c r="CA189" s="3">
        <v>7.1001992766285866</v>
      </c>
      <c r="CB189" s="3">
        <v>1.9051005029451744</v>
      </c>
      <c r="CC189" s="3">
        <v>-1.9273268642155301</v>
      </c>
      <c r="CD189" s="3">
        <v>-4.0251064938376828</v>
      </c>
      <c r="CE189" s="3">
        <v>-4.9301584780261578</v>
      </c>
      <c r="CF189" s="3">
        <v>-4.5386969344997965</v>
      </c>
      <c r="CG189" s="3">
        <v>-3.8876473201467832</v>
      </c>
      <c r="CH189" s="3">
        <v>-3.2202674121466259</v>
      </c>
      <c r="CI189" s="3">
        <v>-3.0736893660120472</v>
      </c>
      <c r="CJ189" s="3">
        <v>-3.6525517613194722</v>
      </c>
      <c r="CK189" s="3">
        <v>-4.8407813217492048</v>
      </c>
      <c r="CL189" s="3">
        <v>-6.5779912497351347</v>
      </c>
      <c r="CM189" s="3">
        <v>-8.4875055953986305</v>
      </c>
      <c r="CN189" s="3">
        <v>-10.359554365402204</v>
      </c>
      <c r="CO189" s="3">
        <v>-11.942393714720396</v>
      </c>
      <c r="CP189" s="3">
        <v>-13.111429917963193</v>
      </c>
      <c r="CQ189" s="3">
        <v>-13.881709745209093</v>
      </c>
      <c r="CR189" s="3">
        <v>-14.314973177053162</v>
      </c>
      <c r="CS189" s="3">
        <v>-14.582511204781497</v>
      </c>
      <c r="CT189" s="3">
        <v>-14.825304176061678</v>
      </c>
      <c r="CU189" s="3">
        <v>-15.174984552196747</v>
      </c>
      <c r="CV189" s="3">
        <v>-15.699982320664901</v>
      </c>
      <c r="CW189" s="3">
        <v>-16.39917738270222</v>
      </c>
      <c r="CX189" s="3">
        <v>-17.231001201044052</v>
      </c>
      <c r="CY189" s="3">
        <v>-18.112894454007005</v>
      </c>
    </row>
    <row r="190" spans="1:103" x14ac:dyDescent="0.25">
      <c r="A190" t="s">
        <v>97</v>
      </c>
      <c r="B190" t="s">
        <v>5</v>
      </c>
      <c r="C190">
        <v>74.877796080340516</v>
      </c>
      <c r="D190">
        <v>109.71064227299644</v>
      </c>
      <c r="E190">
        <v>188.77613457876919</v>
      </c>
      <c r="F190">
        <v>60.821153509870989</v>
      </c>
      <c r="G190">
        <v>121.32793037853386</v>
      </c>
      <c r="H190">
        <v>120.98372011723835</v>
      </c>
      <c r="I190">
        <v>146.20929858357866</v>
      </c>
      <c r="J190">
        <v>152.64425945004075</v>
      </c>
      <c r="K190">
        <v>127.75386837997492</v>
      </c>
      <c r="L190">
        <v>152.97376081805749</v>
      </c>
      <c r="M190">
        <v>145.66277372054708</v>
      </c>
      <c r="N190">
        <v>155.89973853560318</v>
      </c>
      <c r="O190">
        <v>154.95798225214372</v>
      </c>
      <c r="P190">
        <v>154.63759705837197</v>
      </c>
      <c r="Q190">
        <v>163.84334566762979</v>
      </c>
      <c r="R190">
        <v>164.387758861609</v>
      </c>
      <c r="S190">
        <v>172.02148117580401</v>
      </c>
      <c r="T190">
        <v>173.93550782143458</v>
      </c>
      <c r="U190">
        <v>177.40463928067862</v>
      </c>
      <c r="V190">
        <v>180.68789855047385</v>
      </c>
      <c r="W190">
        <v>181.72884175219019</v>
      </c>
      <c r="X190">
        <v>184.52136591662111</v>
      </c>
      <c r="Y190">
        <v>185.56983646937528</v>
      </c>
      <c r="Z190">
        <v>188.00151049270198</v>
      </c>
      <c r="AA190">
        <v>190.21231077432333</v>
      </c>
      <c r="AB190">
        <v>192.45429369171495</v>
      </c>
      <c r="AC190">
        <v>195.09669462472306</v>
      </c>
      <c r="AD190">
        <v>197.20473859944204</v>
      </c>
      <c r="AE190">
        <v>199.60320869054817</v>
      </c>
      <c r="AF190">
        <v>201.58886189287321</v>
      </c>
      <c r="AG190">
        <v>203.50699610541923</v>
      </c>
      <c r="AH190">
        <v>205.29026563349964</v>
      </c>
      <c r="AI190">
        <v>206.85435962656771</v>
      </c>
      <c r="AJ190">
        <v>208.42945261210156</v>
      </c>
      <c r="AK190">
        <v>209.84903485112952</v>
      </c>
      <c r="AL190">
        <v>211.2980172293604</v>
      </c>
      <c r="AM190">
        <v>212.72172061396864</v>
      </c>
      <c r="AN190">
        <v>214.14748526531855</v>
      </c>
      <c r="AO190">
        <v>215.59305826078437</v>
      </c>
      <c r="AP190">
        <v>216.99152095300394</v>
      </c>
      <c r="AQ190">
        <v>218.3632729231158</v>
      </c>
      <c r="AR190">
        <v>219.65311146110616</v>
      </c>
      <c r="AS190">
        <v>220.86862125369851</v>
      </c>
      <c r="AT190">
        <v>222.00749527117949</v>
      </c>
      <c r="AU190">
        <v>223.07486992345372</v>
      </c>
      <c r="AV190">
        <v>224.09726875686795</v>
      </c>
      <c r="AW190">
        <v>225.07976467387871</v>
      </c>
      <c r="AX190">
        <v>226.04134442411512</v>
      </c>
      <c r="AY190">
        <v>226.98324735276927</v>
      </c>
      <c r="BA190" s="1">
        <v>-1</v>
      </c>
      <c r="BB190" t="str">
        <f t="shared" si="2"/>
        <v>Sp - Marilia</v>
      </c>
      <c r="BC190" s="3" t="s">
        <v>144</v>
      </c>
      <c r="BD190" s="3" t="s">
        <v>144</v>
      </c>
      <c r="BE190" s="3" t="s">
        <v>144</v>
      </c>
      <c r="BF190" s="3" t="s">
        <v>144</v>
      </c>
      <c r="BG190" s="3" t="s">
        <v>144</v>
      </c>
      <c r="BH190" s="3" t="s">
        <v>144</v>
      </c>
      <c r="BI190" s="3" t="s">
        <v>144</v>
      </c>
      <c r="BJ190" s="3" t="s">
        <v>144</v>
      </c>
      <c r="BK190" s="3" t="s">
        <v>144</v>
      </c>
      <c r="BL190" s="3" t="s">
        <v>144</v>
      </c>
      <c r="BM190" s="3" t="s">
        <v>144</v>
      </c>
      <c r="BN190" s="3" t="s">
        <v>144</v>
      </c>
      <c r="BO190" s="3" t="s">
        <v>144</v>
      </c>
      <c r="BP190" s="3" t="s">
        <v>144</v>
      </c>
      <c r="BQ190" s="3" t="s">
        <v>144</v>
      </c>
      <c r="BR190" s="3" t="s">
        <v>144</v>
      </c>
      <c r="BS190" s="3" t="s">
        <v>144</v>
      </c>
      <c r="BT190" s="3" t="s">
        <v>144</v>
      </c>
      <c r="BU190" s="3" t="s">
        <v>144</v>
      </c>
      <c r="BV190" s="3" t="s">
        <v>144</v>
      </c>
      <c r="BW190" s="3" t="s">
        <v>144</v>
      </c>
      <c r="BX190" s="3" t="s">
        <v>144</v>
      </c>
      <c r="BY190" s="3" t="s">
        <v>144</v>
      </c>
      <c r="BZ190" s="3" t="s">
        <v>144</v>
      </c>
      <c r="CA190" s="3" t="s">
        <v>144</v>
      </c>
      <c r="CB190" s="3" t="s">
        <v>144</v>
      </c>
      <c r="CC190" s="3" t="s">
        <v>144</v>
      </c>
      <c r="CD190" s="3" t="s">
        <v>144</v>
      </c>
      <c r="CE190" s="3" t="s">
        <v>144</v>
      </c>
      <c r="CF190" s="3" t="s">
        <v>144</v>
      </c>
      <c r="CG190" s="3" t="s">
        <v>144</v>
      </c>
      <c r="CH190" s="3" t="s">
        <v>144</v>
      </c>
      <c r="CI190" s="3" t="s">
        <v>144</v>
      </c>
      <c r="CJ190" s="3" t="s">
        <v>144</v>
      </c>
      <c r="CK190" s="3" t="s">
        <v>144</v>
      </c>
      <c r="CL190" s="3" t="s">
        <v>144</v>
      </c>
      <c r="CM190" s="3" t="s">
        <v>144</v>
      </c>
      <c r="CN190" s="3" t="s">
        <v>144</v>
      </c>
      <c r="CO190" s="3" t="s">
        <v>144</v>
      </c>
      <c r="CP190" s="3" t="s">
        <v>144</v>
      </c>
      <c r="CQ190" s="3" t="s">
        <v>144</v>
      </c>
      <c r="CR190" s="3" t="s">
        <v>144</v>
      </c>
      <c r="CS190" s="3" t="s">
        <v>144</v>
      </c>
      <c r="CT190" s="3" t="s">
        <v>144</v>
      </c>
      <c r="CU190" s="3" t="s">
        <v>144</v>
      </c>
      <c r="CV190" s="3" t="s">
        <v>144</v>
      </c>
      <c r="CW190" s="3" t="s">
        <v>144</v>
      </c>
      <c r="CX190" s="3" t="s">
        <v>144</v>
      </c>
      <c r="CY190" s="3" t="s">
        <v>144</v>
      </c>
    </row>
    <row r="191" spans="1:103" x14ac:dyDescent="0.25">
      <c r="A191" t="s">
        <v>98</v>
      </c>
      <c r="B191" t="s">
        <v>4</v>
      </c>
      <c r="C191">
        <v>342.81010882328542</v>
      </c>
      <c r="D191">
        <v>192.52207837706027</v>
      </c>
      <c r="E191">
        <v>-125.47407602014938</v>
      </c>
      <c r="F191">
        <v>-30.56897290578647</v>
      </c>
      <c r="G191">
        <v>-138.1600896222281</v>
      </c>
      <c r="H191">
        <v>46.616601084883158</v>
      </c>
      <c r="I191">
        <v>58.154811934951631</v>
      </c>
      <c r="J191">
        <v>100.60430536819536</v>
      </c>
      <c r="K191">
        <v>167.91340678174541</v>
      </c>
      <c r="L191">
        <v>151.17365128308452</v>
      </c>
      <c r="M191">
        <v>176.08549173360637</v>
      </c>
      <c r="N191">
        <v>123.76787965664244</v>
      </c>
      <c r="O191">
        <v>100.98909328136324</v>
      </c>
      <c r="P191">
        <v>76.198014312083515</v>
      </c>
      <c r="Q191">
        <v>55.65723270710474</v>
      </c>
      <c r="R191">
        <v>61.344451405872654</v>
      </c>
      <c r="S191">
        <v>60.906879451013893</v>
      </c>
      <c r="T191">
        <v>80.708255778664878</v>
      </c>
      <c r="U191">
        <v>95.842187345896619</v>
      </c>
      <c r="V191">
        <v>111.11365667805192</v>
      </c>
      <c r="W191">
        <v>122.7452431093015</v>
      </c>
      <c r="X191">
        <v>124.58713972171449</v>
      </c>
      <c r="Y191">
        <v>124.49377959207621</v>
      </c>
      <c r="Z191">
        <v>117.56768123950111</v>
      </c>
      <c r="AA191">
        <v>110.72873904552283</v>
      </c>
      <c r="AB191">
        <v>104.15055161044597</v>
      </c>
      <c r="AC191">
        <v>99.67236440163262</v>
      </c>
      <c r="AD191">
        <v>99.238365757075357</v>
      </c>
      <c r="AE191">
        <v>100.9697174008294</v>
      </c>
      <c r="AF191">
        <v>105.43353173315201</v>
      </c>
      <c r="AG191">
        <v>110.30921103485311</v>
      </c>
      <c r="AH191">
        <v>114.85381778492639</v>
      </c>
      <c r="AI191">
        <v>118.16775486550944</v>
      </c>
      <c r="AJ191">
        <v>119.59172101390084</v>
      </c>
      <c r="AK191">
        <v>119.61606482787401</v>
      </c>
      <c r="AL191">
        <v>118.37648251665145</v>
      </c>
      <c r="AM191">
        <v>116.76361111150294</v>
      </c>
      <c r="AN191">
        <v>115.29793028579586</v>
      </c>
      <c r="AO191">
        <v>114.43625959406266</v>
      </c>
      <c r="AP191">
        <v>114.44739391078407</v>
      </c>
      <c r="AQ191">
        <v>115.20123505167524</v>
      </c>
      <c r="AR191">
        <v>116.54466885818697</v>
      </c>
      <c r="AS191">
        <v>118.09752685501134</v>
      </c>
      <c r="AT191">
        <v>119.56157810524591</v>
      </c>
      <c r="AU191">
        <v>120.69652983132235</v>
      </c>
      <c r="AV191">
        <v>121.37287060786404</v>
      </c>
      <c r="AW191">
        <v>121.62495346395048</v>
      </c>
      <c r="AX191">
        <v>121.55018744576158</v>
      </c>
      <c r="AY191">
        <v>121.32925050284622</v>
      </c>
      <c r="BA191" s="1">
        <v>1</v>
      </c>
      <c r="BB191" t="str">
        <f t="shared" si="2"/>
        <v>Sp - Assis</v>
      </c>
      <c r="BC191" s="3">
        <v>790.5916772443104</v>
      </c>
      <c r="BD191" s="3">
        <v>15.033563292127184</v>
      </c>
      <c r="BE191" s="3">
        <v>-641.71170539207287</v>
      </c>
      <c r="BF191" s="3">
        <v>-159.72930050146877</v>
      </c>
      <c r="BG191" s="3">
        <v>-363.86424601855759</v>
      </c>
      <c r="BH191" s="3">
        <v>-126.34038490142812</v>
      </c>
      <c r="BI191" s="3">
        <v>-233.92534159709066</v>
      </c>
      <c r="BJ191" s="3">
        <v>-146.76505269307307</v>
      </c>
      <c r="BK191" s="3">
        <v>12.832351296820093</v>
      </c>
      <c r="BL191" s="3">
        <v>-38.014454261240246</v>
      </c>
      <c r="BM191" s="3">
        <v>26.925008944799117</v>
      </c>
      <c r="BN191" s="3">
        <v>-50.105426149141351</v>
      </c>
      <c r="BO191" s="3">
        <v>-49.375854015756317</v>
      </c>
      <c r="BP191" s="3">
        <v>-73.522407798188411</v>
      </c>
      <c r="BQ191" s="3">
        <v>-114.41502512552712</v>
      </c>
      <c r="BR191" s="3">
        <v>-115.92190247293726</v>
      </c>
      <c r="BS191" s="3">
        <v>-143.18824285712253</v>
      </c>
      <c r="BT191" s="3">
        <v>-127.97083462803279</v>
      </c>
      <c r="BU191" s="3">
        <v>-120.75314629815601</v>
      </c>
      <c r="BV191" s="3">
        <v>-104.17990658472588</v>
      </c>
      <c r="BW191" s="3">
        <v>-84.561169361896418</v>
      </c>
      <c r="BX191" s="3">
        <v>-77.368184605432333</v>
      </c>
      <c r="BY191" s="3">
        <v>-68.827082368538328</v>
      </c>
      <c r="BZ191" s="3">
        <v>-74.665942521249079</v>
      </c>
      <c r="CA191" s="3">
        <v>-82.184910365331731</v>
      </c>
      <c r="CB191" s="3">
        <v>-92.932418118127828</v>
      </c>
      <c r="CC191" s="3">
        <v>-103.27955928164013</v>
      </c>
      <c r="CD191" s="3">
        <v>-108.42226527205237</v>
      </c>
      <c r="CE191" s="3">
        <v>-111.44372603066471</v>
      </c>
      <c r="CF191" s="3">
        <v>-109.37797997098777</v>
      </c>
      <c r="CG191" s="3">
        <v>-105.93640337429186</v>
      </c>
      <c r="CH191" s="3">
        <v>-101.54422026793439</v>
      </c>
      <c r="CI191" s="3">
        <v>-97.594521790731989</v>
      </c>
      <c r="CJ191" s="3">
        <v>-95.546849496131472</v>
      </c>
      <c r="CK191" s="3">
        <v>-94.816900966599391</v>
      </c>
      <c r="CL191" s="3">
        <v>-96.018383566840456</v>
      </c>
      <c r="CM191" s="3">
        <v>-98.117496682097709</v>
      </c>
      <c r="CN191" s="3">
        <v>-100.74073410001564</v>
      </c>
      <c r="CO191" s="3">
        <v>-103.26359704719032</v>
      </c>
      <c r="CP191" s="3">
        <v>-105.06343015712152</v>
      </c>
      <c r="CQ191" s="3">
        <v>-106.08034314885143</v>
      </c>
      <c r="CR191" s="3">
        <v>-106.12334884826011</v>
      </c>
      <c r="CS191" s="3">
        <v>-105.52347292750189</v>
      </c>
      <c r="CT191" s="3">
        <v>-104.56601629723393</v>
      </c>
      <c r="CU191" s="3">
        <v>-103.62307216872418</v>
      </c>
      <c r="CV191" s="3">
        <v>-103.02699948163881</v>
      </c>
      <c r="CW191" s="3">
        <v>-102.89217537276167</v>
      </c>
      <c r="CX191" s="3">
        <v>-103.26168773491484</v>
      </c>
      <c r="CY191" s="3">
        <v>-103.97921298950489</v>
      </c>
    </row>
    <row r="192" spans="1:103" x14ac:dyDescent="0.25">
      <c r="A192" t="s">
        <v>98</v>
      </c>
      <c r="B192" t="s">
        <v>5</v>
      </c>
      <c r="C192">
        <v>-447.78156842102493</v>
      </c>
      <c r="D192">
        <v>177.48851508493308</v>
      </c>
      <c r="E192">
        <v>516.2376293719235</v>
      </c>
      <c r="F192">
        <v>129.1603275956823</v>
      </c>
      <c r="G192">
        <v>225.70415639632949</v>
      </c>
      <c r="H192">
        <v>172.95698598631128</v>
      </c>
      <c r="I192">
        <v>292.08015353204229</v>
      </c>
      <c r="J192">
        <v>247.36935806126843</v>
      </c>
      <c r="K192">
        <v>155.08105548492532</v>
      </c>
      <c r="L192">
        <v>189.18810554432477</v>
      </c>
      <c r="M192">
        <v>149.16048278880726</v>
      </c>
      <c r="N192">
        <v>173.87330580578379</v>
      </c>
      <c r="O192">
        <v>150.36494729711956</v>
      </c>
      <c r="P192">
        <v>149.72042211027193</v>
      </c>
      <c r="Q192">
        <v>170.07225783263186</v>
      </c>
      <c r="R192">
        <v>177.26635387880992</v>
      </c>
      <c r="S192">
        <v>204.09512230813641</v>
      </c>
      <c r="T192">
        <v>208.67909040669767</v>
      </c>
      <c r="U192">
        <v>216.59533364405263</v>
      </c>
      <c r="V192">
        <v>215.29356326277781</v>
      </c>
      <c r="W192">
        <v>207.30641247119792</v>
      </c>
      <c r="X192">
        <v>201.95532432714683</v>
      </c>
      <c r="Y192">
        <v>193.32086196061454</v>
      </c>
      <c r="Z192">
        <v>192.23362376075019</v>
      </c>
      <c r="AA192">
        <v>192.91364941085456</v>
      </c>
      <c r="AB192">
        <v>197.0829697285738</v>
      </c>
      <c r="AC192">
        <v>202.95192368327275</v>
      </c>
      <c r="AD192">
        <v>207.66063102912773</v>
      </c>
      <c r="AE192">
        <v>212.4134434314941</v>
      </c>
      <c r="AF192">
        <v>214.81151170413978</v>
      </c>
      <c r="AG192">
        <v>216.24561440914496</v>
      </c>
      <c r="AH192">
        <v>216.39803805286078</v>
      </c>
      <c r="AI192">
        <v>215.76227665624143</v>
      </c>
      <c r="AJ192">
        <v>215.13857051003231</v>
      </c>
      <c r="AK192">
        <v>214.4329657944734</v>
      </c>
      <c r="AL192">
        <v>214.39486608349191</v>
      </c>
      <c r="AM192">
        <v>214.88110779360065</v>
      </c>
      <c r="AN192">
        <v>216.0386643858115</v>
      </c>
      <c r="AO192">
        <v>217.69985664125298</v>
      </c>
      <c r="AP192">
        <v>219.51082406790559</v>
      </c>
      <c r="AQ192">
        <v>221.28157820052667</v>
      </c>
      <c r="AR192">
        <v>222.66801770644707</v>
      </c>
      <c r="AS192">
        <v>223.62099978251322</v>
      </c>
      <c r="AT192">
        <v>224.12759440247984</v>
      </c>
      <c r="AU192">
        <v>224.31960200004653</v>
      </c>
      <c r="AV192">
        <v>224.39987008950285</v>
      </c>
      <c r="AW192">
        <v>224.51712883671215</v>
      </c>
      <c r="AX192">
        <v>224.81187518067642</v>
      </c>
      <c r="AY192">
        <v>225.30846349235111</v>
      </c>
      <c r="BA192" s="1">
        <v>-1</v>
      </c>
      <c r="BB192" t="str">
        <f t="shared" si="2"/>
        <v>Sp - Assis</v>
      </c>
      <c r="BC192" s="3" t="s">
        <v>144</v>
      </c>
      <c r="BD192" s="3" t="s">
        <v>144</v>
      </c>
      <c r="BE192" s="3" t="s">
        <v>144</v>
      </c>
      <c r="BF192" s="3" t="s">
        <v>144</v>
      </c>
      <c r="BG192" s="3" t="s">
        <v>144</v>
      </c>
      <c r="BH192" s="3" t="s">
        <v>144</v>
      </c>
      <c r="BI192" s="3" t="s">
        <v>144</v>
      </c>
      <c r="BJ192" s="3" t="s">
        <v>144</v>
      </c>
      <c r="BK192" s="3" t="s">
        <v>144</v>
      </c>
      <c r="BL192" s="3" t="s">
        <v>144</v>
      </c>
      <c r="BM192" s="3" t="s">
        <v>144</v>
      </c>
      <c r="BN192" s="3" t="s">
        <v>144</v>
      </c>
      <c r="BO192" s="3" t="s">
        <v>144</v>
      </c>
      <c r="BP192" s="3" t="s">
        <v>144</v>
      </c>
      <c r="BQ192" s="3" t="s">
        <v>144</v>
      </c>
      <c r="BR192" s="3" t="s">
        <v>144</v>
      </c>
      <c r="BS192" s="3" t="s">
        <v>144</v>
      </c>
      <c r="BT192" s="3" t="s">
        <v>144</v>
      </c>
      <c r="BU192" s="3" t="s">
        <v>144</v>
      </c>
      <c r="BV192" s="3" t="s">
        <v>144</v>
      </c>
      <c r="BW192" s="3" t="s">
        <v>144</v>
      </c>
      <c r="BX192" s="3" t="s">
        <v>144</v>
      </c>
      <c r="BY192" s="3" t="s">
        <v>144</v>
      </c>
      <c r="BZ192" s="3" t="s">
        <v>144</v>
      </c>
      <c r="CA192" s="3" t="s">
        <v>144</v>
      </c>
      <c r="CB192" s="3" t="s">
        <v>144</v>
      </c>
      <c r="CC192" s="3" t="s">
        <v>144</v>
      </c>
      <c r="CD192" s="3" t="s">
        <v>144</v>
      </c>
      <c r="CE192" s="3" t="s">
        <v>144</v>
      </c>
      <c r="CF192" s="3" t="s">
        <v>144</v>
      </c>
      <c r="CG192" s="3" t="s">
        <v>144</v>
      </c>
      <c r="CH192" s="3" t="s">
        <v>144</v>
      </c>
      <c r="CI192" s="3" t="s">
        <v>144</v>
      </c>
      <c r="CJ192" s="3" t="s">
        <v>144</v>
      </c>
      <c r="CK192" s="3" t="s">
        <v>144</v>
      </c>
      <c r="CL192" s="3" t="s">
        <v>144</v>
      </c>
      <c r="CM192" s="3" t="s">
        <v>144</v>
      </c>
      <c r="CN192" s="3" t="s">
        <v>144</v>
      </c>
      <c r="CO192" s="3" t="s">
        <v>144</v>
      </c>
      <c r="CP192" s="3" t="s">
        <v>144</v>
      </c>
      <c r="CQ192" s="3" t="s">
        <v>144</v>
      </c>
      <c r="CR192" s="3" t="s">
        <v>144</v>
      </c>
      <c r="CS192" s="3" t="s">
        <v>144</v>
      </c>
      <c r="CT192" s="3" t="s">
        <v>144</v>
      </c>
      <c r="CU192" s="3" t="s">
        <v>144</v>
      </c>
      <c r="CV192" s="3" t="s">
        <v>144</v>
      </c>
      <c r="CW192" s="3" t="s">
        <v>144</v>
      </c>
      <c r="CX192" s="3" t="s">
        <v>144</v>
      </c>
      <c r="CY192" s="3" t="s">
        <v>144</v>
      </c>
    </row>
    <row r="193" spans="1:103" x14ac:dyDescent="0.25">
      <c r="A193" t="s">
        <v>99</v>
      </c>
      <c r="B193" t="s">
        <v>4</v>
      </c>
      <c r="C193">
        <v>586.26590705793319</v>
      </c>
      <c r="D193">
        <v>298.81755338324609</v>
      </c>
      <c r="E193">
        <v>232.04653407416396</v>
      </c>
      <c r="F193">
        <v>268.65092898400889</v>
      </c>
      <c r="G193">
        <v>306.88485937751733</v>
      </c>
      <c r="H193">
        <v>388.18117314422551</v>
      </c>
      <c r="I193">
        <v>358.3682310044714</v>
      </c>
      <c r="J193">
        <v>407.75292483004409</v>
      </c>
      <c r="K193">
        <v>416.56043915464159</v>
      </c>
      <c r="L193">
        <v>422.91719406122218</v>
      </c>
      <c r="M193">
        <v>420.56106161340614</v>
      </c>
      <c r="N193">
        <v>392.15482207294349</v>
      </c>
      <c r="O193">
        <v>384.84510117885515</v>
      </c>
      <c r="P193">
        <v>366.52269186518879</v>
      </c>
      <c r="Q193">
        <v>363.34564259048312</v>
      </c>
      <c r="R193">
        <v>363.22214989430427</v>
      </c>
      <c r="S193">
        <v>366.54140849397919</v>
      </c>
      <c r="T193">
        <v>377.54387548581104</v>
      </c>
      <c r="U193">
        <v>384.46721754730714</v>
      </c>
      <c r="V193">
        <v>392.99586018842086</v>
      </c>
      <c r="W193">
        <v>396.08349106073433</v>
      </c>
      <c r="X193">
        <v>396.38916097643425</v>
      </c>
      <c r="Y193">
        <v>394.45147364934655</v>
      </c>
      <c r="Z193">
        <v>389.96829746884458</v>
      </c>
      <c r="AA193">
        <v>386.24237629090771</v>
      </c>
      <c r="AB193">
        <v>382.52663765678079</v>
      </c>
      <c r="AC193">
        <v>380.83777930266854</v>
      </c>
      <c r="AD193">
        <v>380.73648870494242</v>
      </c>
      <c r="AE193">
        <v>381.9595248117609</v>
      </c>
      <c r="AF193">
        <v>384.25725823548203</v>
      </c>
      <c r="AG193">
        <v>386.49644410055373</v>
      </c>
      <c r="AH193">
        <v>388.52049212650104</v>
      </c>
      <c r="AI193">
        <v>389.65360034969996</v>
      </c>
      <c r="AJ193">
        <v>389.91575164784513</v>
      </c>
      <c r="AK193">
        <v>389.43060109206846</v>
      </c>
      <c r="AL193">
        <v>388.41818515439229</v>
      </c>
      <c r="AM193">
        <v>387.34195320524344</v>
      </c>
      <c r="AN193">
        <v>386.41965169725916</v>
      </c>
      <c r="AO193">
        <v>385.922328248182</v>
      </c>
      <c r="AP193">
        <v>385.88280766270742</v>
      </c>
      <c r="AQ193">
        <v>386.23644924179121</v>
      </c>
      <c r="AR193">
        <v>386.84818865714232</v>
      </c>
      <c r="AS193">
        <v>387.50909394193326</v>
      </c>
      <c r="AT193">
        <v>388.07803119119262</v>
      </c>
      <c r="AU193">
        <v>388.43394655022598</v>
      </c>
      <c r="AV193">
        <v>388.55001717985863</v>
      </c>
      <c r="AW193">
        <v>388.45828922884954</v>
      </c>
      <c r="AX193">
        <v>388.23145023015752</v>
      </c>
      <c r="AY193">
        <v>387.96874163723243</v>
      </c>
      <c r="BA193" s="1">
        <v>1</v>
      </c>
      <c r="BB193" t="str">
        <f t="shared" si="2"/>
        <v>Sp - Itapetininga</v>
      </c>
      <c r="BC193" s="3">
        <v>969.83522022101874</v>
      </c>
      <c r="BD193" s="3">
        <v>449.95253167527756</v>
      </c>
      <c r="BE193" s="3">
        <v>-1.869056791780082</v>
      </c>
      <c r="BF193" s="3">
        <v>277.6525769329271</v>
      </c>
      <c r="BG193" s="3">
        <v>125.63750419853974</v>
      </c>
      <c r="BH193" s="3">
        <v>297.22194339994292</v>
      </c>
      <c r="BI193" s="3">
        <v>141.44069944065109</v>
      </c>
      <c r="BJ193" s="3">
        <v>168.92516157128554</v>
      </c>
      <c r="BK193" s="3">
        <v>219.20002305305937</v>
      </c>
      <c r="BL193" s="3">
        <v>169.62533861377366</v>
      </c>
      <c r="BM193" s="3">
        <v>210.48544979015958</v>
      </c>
      <c r="BN193" s="3">
        <v>150.42331285243696</v>
      </c>
      <c r="BO193" s="3">
        <v>163.36642605746383</v>
      </c>
      <c r="BP193" s="3">
        <v>149.96713048464554</v>
      </c>
      <c r="BQ193" s="3">
        <v>134.92947254553152</v>
      </c>
      <c r="BR193" s="3">
        <v>136.68980220784616</v>
      </c>
      <c r="BS193" s="3">
        <v>113.55762938356415</v>
      </c>
      <c r="BT193" s="3">
        <v>114.83773395120716</v>
      </c>
      <c r="BU193" s="3">
        <v>102.90195649573656</v>
      </c>
      <c r="BV193" s="3">
        <v>99.139182971691184</v>
      </c>
      <c r="BW193" s="3">
        <v>96.75540017022405</v>
      </c>
      <c r="BX193" s="3">
        <v>90.691174232994854</v>
      </c>
      <c r="BY193" s="3">
        <v>90.106677664939411</v>
      </c>
      <c r="BZ193" s="3">
        <v>83.240492243564347</v>
      </c>
      <c r="CA193" s="3">
        <v>78.475969242394342</v>
      </c>
      <c r="CB193" s="3">
        <v>71.403685108163018</v>
      </c>
      <c r="CC193" s="3">
        <v>64.229583561964034</v>
      </c>
      <c r="CD193" s="3">
        <v>58.640719243381966</v>
      </c>
      <c r="CE193" s="3">
        <v>52.611748294780398</v>
      </c>
      <c r="CF193" s="3">
        <v>48.638339058810232</v>
      </c>
      <c r="CG193" s="3">
        <v>44.567206349362834</v>
      </c>
      <c r="CH193" s="3">
        <v>41.210765038548629</v>
      </c>
      <c r="CI193" s="3">
        <v>37.980194410239505</v>
      </c>
      <c r="CJ193" s="3">
        <v>34.454965932964285</v>
      </c>
      <c r="CK193" s="3">
        <v>31.118453111108636</v>
      </c>
      <c r="CL193" s="3">
        <v>27.425328934935351</v>
      </c>
      <c r="CM193" s="3">
        <v>23.871835376512536</v>
      </c>
      <c r="CN193" s="3">
        <v>20.265193741648034</v>
      </c>
      <c r="CO193" s="3">
        <v>16.732584127662619</v>
      </c>
      <c r="CP193" s="3">
        <v>13.390160360037783</v>
      </c>
      <c r="CQ193" s="3">
        <v>10.164401924824233</v>
      </c>
      <c r="CR193" s="3">
        <v>7.2177474508010278</v>
      </c>
      <c r="CS193" s="3">
        <v>4.4548723252129889</v>
      </c>
      <c r="CT193" s="3">
        <v>1.9071078961319472</v>
      </c>
      <c r="CU193" s="3">
        <v>-0.4907211757127925</v>
      </c>
      <c r="CV193" s="3">
        <v>-2.8123481072253185</v>
      </c>
      <c r="CW193" s="3">
        <v>-5.0807498861108229</v>
      </c>
      <c r="CX193" s="3">
        <v>-7.354495887064104</v>
      </c>
      <c r="CY193" s="3">
        <v>-9.6123437599109138</v>
      </c>
    </row>
    <row r="194" spans="1:103" x14ac:dyDescent="0.25">
      <c r="A194" t="s">
        <v>99</v>
      </c>
      <c r="B194" t="s">
        <v>5</v>
      </c>
      <c r="C194">
        <v>-383.56931316308555</v>
      </c>
      <c r="D194">
        <v>-151.13497829203146</v>
      </c>
      <c r="E194">
        <v>233.91559086594404</v>
      </c>
      <c r="F194">
        <v>-9.0016479489182437</v>
      </c>
      <c r="G194">
        <v>181.24735517897759</v>
      </c>
      <c r="H194">
        <v>90.959229744282595</v>
      </c>
      <c r="I194">
        <v>216.92753156382031</v>
      </c>
      <c r="J194">
        <v>238.82776325875855</v>
      </c>
      <c r="K194">
        <v>197.36041610158222</v>
      </c>
      <c r="L194">
        <v>253.29185544744851</v>
      </c>
      <c r="M194">
        <v>210.07561182324656</v>
      </c>
      <c r="N194">
        <v>241.73150922050652</v>
      </c>
      <c r="O194">
        <v>221.47867512139132</v>
      </c>
      <c r="P194">
        <v>216.55556138054325</v>
      </c>
      <c r="Q194">
        <v>228.4161700449516</v>
      </c>
      <c r="R194">
        <v>226.53234768645811</v>
      </c>
      <c r="S194">
        <v>252.98377911041504</v>
      </c>
      <c r="T194">
        <v>262.70614153460389</v>
      </c>
      <c r="U194">
        <v>281.56526105157059</v>
      </c>
      <c r="V194">
        <v>293.85667721672968</v>
      </c>
      <c r="W194">
        <v>299.32809089051028</v>
      </c>
      <c r="X194">
        <v>305.6979867434394</v>
      </c>
      <c r="Y194">
        <v>304.34479598440714</v>
      </c>
      <c r="Z194">
        <v>306.72780522528024</v>
      </c>
      <c r="AA194">
        <v>307.76640704851337</v>
      </c>
      <c r="AB194">
        <v>311.12295254861777</v>
      </c>
      <c r="AC194">
        <v>316.6081957407045</v>
      </c>
      <c r="AD194">
        <v>322.09576946156045</v>
      </c>
      <c r="AE194">
        <v>329.3477765169805</v>
      </c>
      <c r="AF194">
        <v>335.6189191766718</v>
      </c>
      <c r="AG194">
        <v>341.9292377511909</v>
      </c>
      <c r="AH194">
        <v>347.30972708795241</v>
      </c>
      <c r="AI194">
        <v>351.67340593946045</v>
      </c>
      <c r="AJ194">
        <v>355.46078571488084</v>
      </c>
      <c r="AK194">
        <v>358.31214798095982</v>
      </c>
      <c r="AL194">
        <v>360.99285621945694</v>
      </c>
      <c r="AM194">
        <v>363.47011782873091</v>
      </c>
      <c r="AN194">
        <v>366.15445795561112</v>
      </c>
      <c r="AO194">
        <v>369.18974412051938</v>
      </c>
      <c r="AP194">
        <v>372.49264730266964</v>
      </c>
      <c r="AQ194">
        <v>376.07204731696697</v>
      </c>
      <c r="AR194">
        <v>379.63044120634129</v>
      </c>
      <c r="AS194">
        <v>383.05422161672027</v>
      </c>
      <c r="AT194">
        <v>386.17092329506067</v>
      </c>
      <c r="AU194">
        <v>388.92466772593878</v>
      </c>
      <c r="AV194">
        <v>391.36236528708395</v>
      </c>
      <c r="AW194">
        <v>393.53903911496036</v>
      </c>
      <c r="AX194">
        <v>395.58594611722162</v>
      </c>
      <c r="AY194">
        <v>397.58108539714334</v>
      </c>
      <c r="BA194" s="1">
        <v>-1</v>
      </c>
      <c r="BB194" t="str">
        <f t="shared" si="2"/>
        <v>Sp - Itapetininga</v>
      </c>
      <c r="BC194" s="3" t="s">
        <v>144</v>
      </c>
      <c r="BD194" s="3" t="s">
        <v>144</v>
      </c>
      <c r="BE194" s="3" t="s">
        <v>144</v>
      </c>
      <c r="BF194" s="3" t="s">
        <v>144</v>
      </c>
      <c r="BG194" s="3" t="s">
        <v>144</v>
      </c>
      <c r="BH194" s="3" t="s">
        <v>144</v>
      </c>
      <c r="BI194" s="3" t="s">
        <v>144</v>
      </c>
      <c r="BJ194" s="3" t="s">
        <v>144</v>
      </c>
      <c r="BK194" s="3" t="s">
        <v>144</v>
      </c>
      <c r="BL194" s="3" t="s">
        <v>144</v>
      </c>
      <c r="BM194" s="3" t="s">
        <v>144</v>
      </c>
      <c r="BN194" s="3" t="s">
        <v>144</v>
      </c>
      <c r="BO194" s="3" t="s">
        <v>144</v>
      </c>
      <c r="BP194" s="3" t="s">
        <v>144</v>
      </c>
      <c r="BQ194" s="3" t="s">
        <v>144</v>
      </c>
      <c r="BR194" s="3" t="s">
        <v>144</v>
      </c>
      <c r="BS194" s="3" t="s">
        <v>144</v>
      </c>
      <c r="BT194" s="3" t="s">
        <v>144</v>
      </c>
      <c r="BU194" s="3" t="s">
        <v>144</v>
      </c>
      <c r="BV194" s="3" t="s">
        <v>144</v>
      </c>
      <c r="BW194" s="3" t="s">
        <v>144</v>
      </c>
      <c r="BX194" s="3" t="s">
        <v>144</v>
      </c>
      <c r="BY194" s="3" t="s">
        <v>144</v>
      </c>
      <c r="BZ194" s="3" t="s">
        <v>144</v>
      </c>
      <c r="CA194" s="3" t="s">
        <v>144</v>
      </c>
      <c r="CB194" s="3" t="s">
        <v>144</v>
      </c>
      <c r="CC194" s="3" t="s">
        <v>144</v>
      </c>
      <c r="CD194" s="3" t="s">
        <v>144</v>
      </c>
      <c r="CE194" s="3" t="s">
        <v>144</v>
      </c>
      <c r="CF194" s="3" t="s">
        <v>144</v>
      </c>
      <c r="CG194" s="3" t="s">
        <v>144</v>
      </c>
      <c r="CH194" s="3" t="s">
        <v>144</v>
      </c>
      <c r="CI194" s="3" t="s">
        <v>144</v>
      </c>
      <c r="CJ194" s="3" t="s">
        <v>144</v>
      </c>
      <c r="CK194" s="3" t="s">
        <v>144</v>
      </c>
      <c r="CL194" s="3" t="s">
        <v>144</v>
      </c>
      <c r="CM194" s="3" t="s">
        <v>144</v>
      </c>
      <c r="CN194" s="3" t="s">
        <v>144</v>
      </c>
      <c r="CO194" s="3" t="s">
        <v>144</v>
      </c>
      <c r="CP194" s="3" t="s">
        <v>144</v>
      </c>
      <c r="CQ194" s="3" t="s">
        <v>144</v>
      </c>
      <c r="CR194" s="3" t="s">
        <v>144</v>
      </c>
      <c r="CS194" s="3" t="s">
        <v>144</v>
      </c>
      <c r="CT194" s="3" t="s">
        <v>144</v>
      </c>
      <c r="CU194" s="3" t="s">
        <v>144</v>
      </c>
      <c r="CV194" s="3" t="s">
        <v>144</v>
      </c>
      <c r="CW194" s="3" t="s">
        <v>144</v>
      </c>
      <c r="CX194" s="3" t="s">
        <v>144</v>
      </c>
      <c r="CY194" s="3" t="s">
        <v>144</v>
      </c>
    </row>
    <row r="195" spans="1:103" x14ac:dyDescent="0.25">
      <c r="A195" t="s">
        <v>100</v>
      </c>
      <c r="B195" t="s">
        <v>4</v>
      </c>
      <c r="C195">
        <v>2450.6497904064122</v>
      </c>
      <c r="D195">
        <v>1736.1289052763327</v>
      </c>
      <c r="E195">
        <v>1680.0905570831292</v>
      </c>
      <c r="F195">
        <v>1778.1734841803377</v>
      </c>
      <c r="G195">
        <v>1883.2941428869919</v>
      </c>
      <c r="H195">
        <v>2461.7721599880529</v>
      </c>
      <c r="I195">
        <v>2395.2827858755145</v>
      </c>
      <c r="J195">
        <v>2674.1766132743055</v>
      </c>
      <c r="K195">
        <v>2685.5055007505648</v>
      </c>
      <c r="L195">
        <v>2700.4817934587454</v>
      </c>
      <c r="M195">
        <v>2690.2479761762861</v>
      </c>
      <c r="N195">
        <v>2513.0813728549192</v>
      </c>
      <c r="O195">
        <v>2454.157142526914</v>
      </c>
      <c r="P195">
        <v>2339.2328120922193</v>
      </c>
      <c r="Q195">
        <v>2326.3001720365287</v>
      </c>
      <c r="R195">
        <v>2344.9701003669406</v>
      </c>
      <c r="S195">
        <v>2384.4014971873994</v>
      </c>
      <c r="T195">
        <v>2465.8336036362839</v>
      </c>
      <c r="U195">
        <v>2515.4299590060832</v>
      </c>
      <c r="V195">
        <v>2565.684957858577</v>
      </c>
      <c r="W195">
        <v>2576.9285471850199</v>
      </c>
      <c r="X195">
        <v>2566.7503717600339</v>
      </c>
      <c r="Y195">
        <v>2543.5090995081287</v>
      </c>
      <c r="Z195">
        <v>2508.176939271154</v>
      </c>
      <c r="AA195">
        <v>2481.8947752145505</v>
      </c>
      <c r="AB195">
        <v>2459.7616548540573</v>
      </c>
      <c r="AC195">
        <v>2451.9851042988876</v>
      </c>
      <c r="AD195">
        <v>2454.6318294852449</v>
      </c>
      <c r="AE195">
        <v>2464.6108308276689</v>
      </c>
      <c r="AF195">
        <v>2479.7546838813532</v>
      </c>
      <c r="AG195">
        <v>2492.9717243826967</v>
      </c>
      <c r="AH195">
        <v>2503.4069114957924</v>
      </c>
      <c r="AI195">
        <v>2507.4700768042512</v>
      </c>
      <c r="AJ195">
        <v>2505.7002266022419</v>
      </c>
      <c r="AK195">
        <v>2499.4013584404729</v>
      </c>
      <c r="AL195">
        <v>2490.3277951303862</v>
      </c>
      <c r="AM195">
        <v>2481.6022420798249</v>
      </c>
      <c r="AN195">
        <v>2474.6890982335331</v>
      </c>
      <c r="AO195">
        <v>2471.1179127660885</v>
      </c>
      <c r="AP195">
        <v>2470.8331068703087</v>
      </c>
      <c r="AQ195">
        <v>2473.0674767395453</v>
      </c>
      <c r="AR195">
        <v>2476.6673060293865</v>
      </c>
      <c r="AS195">
        <v>2480.1452055205355</v>
      </c>
      <c r="AT195">
        <v>2482.5838755588666</v>
      </c>
      <c r="AU195">
        <v>2483.3499197625451</v>
      </c>
      <c r="AV195">
        <v>2482.4686098051939</v>
      </c>
      <c r="AW195">
        <v>2480.3508430998891</v>
      </c>
      <c r="AX195">
        <v>2477.6061997534757</v>
      </c>
      <c r="AY195">
        <v>2474.9247826699198</v>
      </c>
      <c r="BA195" s="1">
        <v>1</v>
      </c>
      <c r="BB195" t="str">
        <f t="shared" si="2"/>
        <v>Sp - Macro Metropol SP</v>
      </c>
      <c r="BC195" s="3">
        <v>2341.3893796245275</v>
      </c>
      <c r="BD195" s="3">
        <v>1299.7789698408001</v>
      </c>
      <c r="BE195" s="3">
        <v>393.63212752665936</v>
      </c>
      <c r="BF195" s="3">
        <v>1118.5730145064383</v>
      </c>
      <c r="BG195" s="3">
        <v>574.11524178338664</v>
      </c>
      <c r="BH195" s="3">
        <v>1126.3845179783809</v>
      </c>
      <c r="BI195" s="3">
        <v>738.25582612410585</v>
      </c>
      <c r="BJ195" s="3">
        <v>843.24005665355776</v>
      </c>
      <c r="BK195" s="3">
        <v>921.90791532150638</v>
      </c>
      <c r="BL195" s="3">
        <v>730.27935202661934</v>
      </c>
      <c r="BM195" s="3">
        <v>794.58741327311736</v>
      </c>
      <c r="BN195" s="3">
        <v>558.15583276258394</v>
      </c>
      <c r="BO195" s="3">
        <v>536.87355645374487</v>
      </c>
      <c r="BP195" s="3">
        <v>446.53117589892304</v>
      </c>
      <c r="BQ195" s="3">
        <v>385.36708477512093</v>
      </c>
      <c r="BR195" s="3">
        <v>392.96951755602777</v>
      </c>
      <c r="BS195" s="3">
        <v>343.87282393542841</v>
      </c>
      <c r="BT195" s="3">
        <v>366.78074007312853</v>
      </c>
      <c r="BU195" s="3">
        <v>341.97006752074503</v>
      </c>
      <c r="BV195" s="3">
        <v>330.16428925830178</v>
      </c>
      <c r="BW195" s="3">
        <v>308.00405233683659</v>
      </c>
      <c r="BX195" s="3">
        <v>267.08143035006651</v>
      </c>
      <c r="BY195" s="3">
        <v>238.14665885945897</v>
      </c>
      <c r="BZ195" s="3">
        <v>192.97304596613139</v>
      </c>
      <c r="CA195" s="3">
        <v>159.65147124171608</v>
      </c>
      <c r="CB195" s="3">
        <v>125.59508495236105</v>
      </c>
      <c r="CC195" s="3">
        <v>97.160826522586376</v>
      </c>
      <c r="CD195" s="3">
        <v>76.921652719673148</v>
      </c>
      <c r="CE195" s="3">
        <v>57.409288311642285</v>
      </c>
      <c r="CF195" s="3">
        <v>44.001421080942691</v>
      </c>
      <c r="CG195" s="3">
        <v>29.019133755098665</v>
      </c>
      <c r="CH195" s="3">
        <v>14.203072540571611</v>
      </c>
      <c r="CI195" s="3">
        <v>-2.5297933566507709</v>
      </c>
      <c r="CJ195" s="3">
        <v>-21.912494578003134</v>
      </c>
      <c r="CK195" s="3">
        <v>-41.852859180266933</v>
      </c>
      <c r="CL195" s="3">
        <v>-62.922942414068075</v>
      </c>
      <c r="CM195" s="3">
        <v>-82.708086259772699</v>
      </c>
      <c r="CN195" s="3">
        <v>-101.13534047239591</v>
      </c>
      <c r="CO195" s="3">
        <v>-117.5637741805067</v>
      </c>
      <c r="CP195" s="3">
        <v>-131.90944066436305</v>
      </c>
      <c r="CQ195" s="3">
        <v>-144.91422420016443</v>
      </c>
      <c r="CR195" s="3">
        <v>-156.77537154369611</v>
      </c>
      <c r="CS195" s="3">
        <v>-168.34853987625957</v>
      </c>
      <c r="CT195" s="3">
        <v>-179.87642460905863</v>
      </c>
      <c r="CU195" s="3">
        <v>-191.62282331181223</v>
      </c>
      <c r="CV195" s="3">
        <v>-203.62698383856787</v>
      </c>
      <c r="CW195" s="3">
        <v>-215.65962937821951</v>
      </c>
      <c r="CX195" s="3">
        <v>-227.56983803276944</v>
      </c>
      <c r="CY195" s="3">
        <v>-239.0440375265357</v>
      </c>
    </row>
    <row r="196" spans="1:103" x14ac:dyDescent="0.25">
      <c r="A196" t="s">
        <v>100</v>
      </c>
      <c r="B196" t="s">
        <v>5</v>
      </c>
      <c r="C196">
        <v>109.2604107818849</v>
      </c>
      <c r="D196">
        <v>436.3499354355327</v>
      </c>
      <c r="E196">
        <v>1286.4584295564698</v>
      </c>
      <c r="F196">
        <v>659.6004696738994</v>
      </c>
      <c r="G196">
        <v>1309.1789011036053</v>
      </c>
      <c r="H196">
        <v>1335.3876420096719</v>
      </c>
      <c r="I196">
        <v>1657.0269597514086</v>
      </c>
      <c r="J196">
        <v>1830.9365566207478</v>
      </c>
      <c r="K196">
        <v>1763.5975854290584</v>
      </c>
      <c r="L196">
        <v>1970.2024414321261</v>
      </c>
      <c r="M196">
        <v>1895.6605629031687</v>
      </c>
      <c r="N196">
        <v>1954.9255400923353</v>
      </c>
      <c r="O196">
        <v>1917.2835860731691</v>
      </c>
      <c r="P196">
        <v>1892.7016361932963</v>
      </c>
      <c r="Q196">
        <v>1940.9330872614078</v>
      </c>
      <c r="R196">
        <v>1952.0005828109129</v>
      </c>
      <c r="S196">
        <v>2040.528673251971</v>
      </c>
      <c r="T196">
        <v>2099.0528635631554</v>
      </c>
      <c r="U196">
        <v>2173.4598914853382</v>
      </c>
      <c r="V196">
        <v>2235.5206686002753</v>
      </c>
      <c r="W196">
        <v>2268.9244948481833</v>
      </c>
      <c r="X196">
        <v>2299.6689414099674</v>
      </c>
      <c r="Y196">
        <v>2305.3624406486697</v>
      </c>
      <c r="Z196">
        <v>2315.2038933050226</v>
      </c>
      <c r="AA196">
        <v>2322.2433039728344</v>
      </c>
      <c r="AB196">
        <v>2334.1665699016962</v>
      </c>
      <c r="AC196">
        <v>2354.8242777763012</v>
      </c>
      <c r="AD196">
        <v>2377.7101767655718</v>
      </c>
      <c r="AE196">
        <v>2407.2015425160266</v>
      </c>
      <c r="AF196">
        <v>2435.7532628004105</v>
      </c>
      <c r="AG196">
        <v>2463.9525906275981</v>
      </c>
      <c r="AH196">
        <v>2489.2038389552208</v>
      </c>
      <c r="AI196">
        <v>2509.999870160902</v>
      </c>
      <c r="AJ196">
        <v>2527.612721180245</v>
      </c>
      <c r="AK196">
        <v>2541.2542176207398</v>
      </c>
      <c r="AL196">
        <v>2553.2507375444543</v>
      </c>
      <c r="AM196">
        <v>2564.3103283395976</v>
      </c>
      <c r="AN196">
        <v>2575.824438705929</v>
      </c>
      <c r="AO196">
        <v>2588.6816869465952</v>
      </c>
      <c r="AP196">
        <v>2602.7425475346718</v>
      </c>
      <c r="AQ196">
        <v>2617.9817009397098</v>
      </c>
      <c r="AR196">
        <v>2633.4426775730826</v>
      </c>
      <c r="AS196">
        <v>2648.493745396795</v>
      </c>
      <c r="AT196">
        <v>2662.4603001679252</v>
      </c>
      <c r="AU196">
        <v>2674.9727430743574</v>
      </c>
      <c r="AV196">
        <v>2686.0955936437617</v>
      </c>
      <c r="AW196">
        <v>2696.0104724781086</v>
      </c>
      <c r="AX196">
        <v>2705.1760377862452</v>
      </c>
      <c r="AY196">
        <v>2713.9688201964555</v>
      </c>
      <c r="BA196" s="1">
        <v>-1</v>
      </c>
      <c r="BB196" t="str">
        <f t="shared" si="2"/>
        <v>Sp - Macro Metropol SP</v>
      </c>
      <c r="BC196" s="3" t="s">
        <v>144</v>
      </c>
      <c r="BD196" s="3" t="s">
        <v>144</v>
      </c>
      <c r="BE196" s="3" t="s">
        <v>144</v>
      </c>
      <c r="BF196" s="3" t="s">
        <v>144</v>
      </c>
      <c r="BG196" s="3" t="s">
        <v>144</v>
      </c>
      <c r="BH196" s="3" t="s">
        <v>144</v>
      </c>
      <c r="BI196" s="3" t="s">
        <v>144</v>
      </c>
      <c r="BJ196" s="3" t="s">
        <v>144</v>
      </c>
      <c r="BK196" s="3" t="s">
        <v>144</v>
      </c>
      <c r="BL196" s="3" t="s">
        <v>144</v>
      </c>
      <c r="BM196" s="3" t="s">
        <v>144</v>
      </c>
      <c r="BN196" s="3" t="s">
        <v>144</v>
      </c>
      <c r="BO196" s="3" t="s">
        <v>144</v>
      </c>
      <c r="BP196" s="3" t="s">
        <v>144</v>
      </c>
      <c r="BQ196" s="3" t="s">
        <v>144</v>
      </c>
      <c r="BR196" s="3" t="s">
        <v>144</v>
      </c>
      <c r="BS196" s="3" t="s">
        <v>144</v>
      </c>
      <c r="BT196" s="3" t="s">
        <v>144</v>
      </c>
      <c r="BU196" s="3" t="s">
        <v>144</v>
      </c>
      <c r="BV196" s="3" t="s">
        <v>144</v>
      </c>
      <c r="BW196" s="3" t="s">
        <v>144</v>
      </c>
      <c r="BX196" s="3" t="s">
        <v>144</v>
      </c>
      <c r="BY196" s="3" t="s">
        <v>144</v>
      </c>
      <c r="BZ196" s="3" t="s">
        <v>144</v>
      </c>
      <c r="CA196" s="3" t="s">
        <v>144</v>
      </c>
      <c r="CB196" s="3" t="s">
        <v>144</v>
      </c>
      <c r="CC196" s="3" t="s">
        <v>144</v>
      </c>
      <c r="CD196" s="3" t="s">
        <v>144</v>
      </c>
      <c r="CE196" s="3" t="s">
        <v>144</v>
      </c>
      <c r="CF196" s="3" t="s">
        <v>144</v>
      </c>
      <c r="CG196" s="3" t="s">
        <v>144</v>
      </c>
      <c r="CH196" s="3" t="s">
        <v>144</v>
      </c>
      <c r="CI196" s="3" t="s">
        <v>144</v>
      </c>
      <c r="CJ196" s="3" t="s">
        <v>144</v>
      </c>
      <c r="CK196" s="3" t="s">
        <v>144</v>
      </c>
      <c r="CL196" s="3" t="s">
        <v>144</v>
      </c>
      <c r="CM196" s="3" t="s">
        <v>144</v>
      </c>
      <c r="CN196" s="3" t="s">
        <v>144</v>
      </c>
      <c r="CO196" s="3" t="s">
        <v>144</v>
      </c>
      <c r="CP196" s="3" t="s">
        <v>144</v>
      </c>
      <c r="CQ196" s="3" t="s">
        <v>144</v>
      </c>
      <c r="CR196" s="3" t="s">
        <v>144</v>
      </c>
      <c r="CS196" s="3" t="s">
        <v>144</v>
      </c>
      <c r="CT196" s="3" t="s">
        <v>144</v>
      </c>
      <c r="CU196" s="3" t="s">
        <v>144</v>
      </c>
      <c r="CV196" s="3" t="s">
        <v>144</v>
      </c>
      <c r="CW196" s="3" t="s">
        <v>144</v>
      </c>
      <c r="CX196" s="3" t="s">
        <v>144</v>
      </c>
      <c r="CY196" s="3" t="s">
        <v>144</v>
      </c>
    </row>
    <row r="197" spans="1:103" x14ac:dyDescent="0.25">
      <c r="A197" t="s">
        <v>101</v>
      </c>
      <c r="B197" t="s">
        <v>4</v>
      </c>
      <c r="C197">
        <v>1156.5474849207762</v>
      </c>
      <c r="D197">
        <v>991.9669229970176</v>
      </c>
      <c r="E197">
        <v>946.48848806794308</v>
      </c>
      <c r="F197">
        <v>1011.5769036585964</v>
      </c>
      <c r="G197">
        <v>1086.8411887883294</v>
      </c>
      <c r="H197">
        <v>1345.2819880136162</v>
      </c>
      <c r="I197">
        <v>1356.4920863674424</v>
      </c>
      <c r="J197">
        <v>1443.6004871936157</v>
      </c>
      <c r="K197">
        <v>1450.8533756301968</v>
      </c>
      <c r="L197">
        <v>1443.0244953952467</v>
      </c>
      <c r="M197">
        <v>1431.1053961574987</v>
      </c>
      <c r="N197">
        <v>1353.7927192256918</v>
      </c>
      <c r="O197">
        <v>1317.5308188029508</v>
      </c>
      <c r="P197">
        <v>1273.0349495099404</v>
      </c>
      <c r="Q197">
        <v>1266.4096444664021</v>
      </c>
      <c r="R197">
        <v>1278.6385511063124</v>
      </c>
      <c r="S197">
        <v>1297.3546854844415</v>
      </c>
      <c r="T197">
        <v>1330.4988239587678</v>
      </c>
      <c r="U197">
        <v>1350.5466964905979</v>
      </c>
      <c r="V197">
        <v>1366.4671855845743</v>
      </c>
      <c r="W197">
        <v>1366.7138238953287</v>
      </c>
      <c r="X197">
        <v>1356.7175467586874</v>
      </c>
      <c r="Y197">
        <v>1342.2375894372574</v>
      </c>
      <c r="Z197">
        <v>1324.2585605115312</v>
      </c>
      <c r="AA197">
        <v>1310.8575459581434</v>
      </c>
      <c r="AB197">
        <v>1300.8180072560026</v>
      </c>
      <c r="AC197">
        <v>1296.9840688529816</v>
      </c>
      <c r="AD197">
        <v>1297.9300275441137</v>
      </c>
      <c r="AE197">
        <v>1301.7023917077336</v>
      </c>
      <c r="AF197">
        <v>1307.1563331425912</v>
      </c>
      <c r="AG197">
        <v>1311.4512209588268</v>
      </c>
      <c r="AH197">
        <v>1314.0467727251073</v>
      </c>
      <c r="AI197">
        <v>1313.8293160548997</v>
      </c>
      <c r="AJ197">
        <v>1311.0704614451495</v>
      </c>
      <c r="AK197">
        <v>1306.5660748561759</v>
      </c>
      <c r="AL197">
        <v>1301.1879809148757</v>
      </c>
      <c r="AM197">
        <v>1296.2579915113338</v>
      </c>
      <c r="AN197">
        <v>1292.4275107210806</v>
      </c>
      <c r="AO197">
        <v>1290.2011152680118</v>
      </c>
      <c r="AP197">
        <v>1289.4726871154212</v>
      </c>
      <c r="AQ197">
        <v>1289.7915395538926</v>
      </c>
      <c r="AR197">
        <v>1290.5904126135572</v>
      </c>
      <c r="AS197">
        <v>1291.2212891133065</v>
      </c>
      <c r="AT197">
        <v>1291.298880927349</v>
      </c>
      <c r="AU197">
        <v>1290.6170166876195</v>
      </c>
      <c r="AV197">
        <v>1289.2409243383649</v>
      </c>
      <c r="AW197">
        <v>1287.4036059816699</v>
      </c>
      <c r="AX197">
        <v>1285.3991997416208</v>
      </c>
      <c r="AY197">
        <v>1283.5277702620294</v>
      </c>
      <c r="BA197" s="1">
        <v>1</v>
      </c>
      <c r="BB197" t="str">
        <f t="shared" si="2"/>
        <v>Sp - Vale do Paraiba SP</v>
      </c>
      <c r="BC197" s="3">
        <v>1244.0795380502359</v>
      </c>
      <c r="BD197" s="3">
        <v>1027.5178538396872</v>
      </c>
      <c r="BE197" s="3">
        <v>279.78190694109674</v>
      </c>
      <c r="BF197" s="3">
        <v>676.52649455793562</v>
      </c>
      <c r="BG197" s="3">
        <v>234.68209509203848</v>
      </c>
      <c r="BH197" s="3">
        <v>610.20957604063358</v>
      </c>
      <c r="BI197" s="3">
        <v>434.25351977448179</v>
      </c>
      <c r="BJ197" s="3">
        <v>405.25441832846218</v>
      </c>
      <c r="BK197" s="3">
        <v>491.59371449818036</v>
      </c>
      <c r="BL197" s="3">
        <v>351.67842120165801</v>
      </c>
      <c r="BM197" s="3">
        <v>430.36258514943449</v>
      </c>
      <c r="BN197" s="3">
        <v>302.43830915169337</v>
      </c>
      <c r="BO197" s="3">
        <v>291.63644028486897</v>
      </c>
      <c r="BP197" s="3">
        <v>262.66255749213428</v>
      </c>
      <c r="BQ197" s="3">
        <v>221.84102799226571</v>
      </c>
      <c r="BR197" s="3">
        <v>236.216867328842</v>
      </c>
      <c r="BS197" s="3">
        <v>196.22771704403999</v>
      </c>
      <c r="BT197" s="3">
        <v>199.61480435421231</v>
      </c>
      <c r="BU197" s="3">
        <v>176.39398625753529</v>
      </c>
      <c r="BV197" s="3">
        <v>158.17992487980155</v>
      </c>
      <c r="BW197" s="3">
        <v>143.4013526934616</v>
      </c>
      <c r="BX197" s="3">
        <v>116.16936394862478</v>
      </c>
      <c r="BY197" s="3">
        <v>101.88565742707169</v>
      </c>
      <c r="BZ197" s="3">
        <v>78.327096729432014</v>
      </c>
      <c r="CA197" s="3">
        <v>61.18496453206194</v>
      </c>
      <c r="CB197" s="3">
        <v>43.45936749614043</v>
      </c>
      <c r="CC197" s="3">
        <v>25.910242509665295</v>
      </c>
      <c r="CD197" s="3">
        <v>12.727826439980163</v>
      </c>
      <c r="CE197" s="3">
        <v>-1.8263262769480662</v>
      </c>
      <c r="CF197" s="3">
        <v>-13.047615375456189</v>
      </c>
      <c r="CG197" s="3">
        <v>-25.041078390244138</v>
      </c>
      <c r="CH197" s="3">
        <v>-36.693497007914857</v>
      </c>
      <c r="CI197" s="3">
        <v>-48.384870425347344</v>
      </c>
      <c r="CJ197" s="3">
        <v>-61.071908318371925</v>
      </c>
      <c r="CK197" s="3">
        <v>-73.24300194551688</v>
      </c>
      <c r="CL197" s="3">
        <v>-85.705476851627964</v>
      </c>
      <c r="CM197" s="3">
        <v>-97.313068211380369</v>
      </c>
      <c r="CN197" s="3">
        <v>-108.22158768026588</v>
      </c>
      <c r="CO197" s="3">
        <v>-118.38082314256917</v>
      </c>
      <c r="CP197" s="3">
        <v>-127.67389286029288</v>
      </c>
      <c r="CQ197" s="3">
        <v>-136.5668530137807</v>
      </c>
      <c r="CR197" s="3">
        <v>-144.97264513297296</v>
      </c>
      <c r="CS197" s="3">
        <v>-153.21415759313163</v>
      </c>
      <c r="CT197" s="3">
        <v>-161.29093313562271</v>
      </c>
      <c r="CU197" s="3">
        <v>-169.2288244096269</v>
      </c>
      <c r="CV197" s="3">
        <v>-177.0606654189321</v>
      </c>
      <c r="CW197" s="3">
        <v>-184.67779177237162</v>
      </c>
      <c r="CX197" s="3">
        <v>-192.09059792415519</v>
      </c>
      <c r="CY197" s="3">
        <v>-199.21031659231971</v>
      </c>
    </row>
    <row r="198" spans="1:103" x14ac:dyDescent="0.25">
      <c r="A198" t="s">
        <v>101</v>
      </c>
      <c r="B198" t="s">
        <v>5</v>
      </c>
      <c r="C198">
        <v>-87.532053129459712</v>
      </c>
      <c r="D198">
        <v>-35.550930842669523</v>
      </c>
      <c r="E198">
        <v>666.70658112684634</v>
      </c>
      <c r="F198">
        <v>335.05040910066083</v>
      </c>
      <c r="G198">
        <v>852.15909369629094</v>
      </c>
      <c r="H198">
        <v>735.07241197298265</v>
      </c>
      <c r="I198">
        <v>922.23856659296064</v>
      </c>
      <c r="J198">
        <v>1038.3460688651535</v>
      </c>
      <c r="K198">
        <v>959.25966113201639</v>
      </c>
      <c r="L198">
        <v>1091.3460741935887</v>
      </c>
      <c r="M198">
        <v>1000.7428110080642</v>
      </c>
      <c r="N198">
        <v>1051.3544100739985</v>
      </c>
      <c r="O198">
        <v>1025.8943785180818</v>
      </c>
      <c r="P198">
        <v>1010.3723920178061</v>
      </c>
      <c r="Q198">
        <v>1044.5686164741364</v>
      </c>
      <c r="R198">
        <v>1042.4216837774704</v>
      </c>
      <c r="S198">
        <v>1101.1269684404015</v>
      </c>
      <c r="T198">
        <v>1130.8840196045555</v>
      </c>
      <c r="U198">
        <v>1174.1527102330626</v>
      </c>
      <c r="V198">
        <v>1208.2872607047727</v>
      </c>
      <c r="W198">
        <v>1223.3124712018671</v>
      </c>
      <c r="X198">
        <v>1240.5481828100626</v>
      </c>
      <c r="Y198">
        <v>1240.3519320101857</v>
      </c>
      <c r="Z198">
        <v>1245.9314637820992</v>
      </c>
      <c r="AA198">
        <v>1249.6725814260815</v>
      </c>
      <c r="AB198">
        <v>1257.3586397598622</v>
      </c>
      <c r="AC198">
        <v>1271.0738263433163</v>
      </c>
      <c r="AD198">
        <v>1285.2022011041336</v>
      </c>
      <c r="AE198">
        <v>1303.5287179846816</v>
      </c>
      <c r="AF198">
        <v>1320.2039485180474</v>
      </c>
      <c r="AG198">
        <v>1336.4922993490709</v>
      </c>
      <c r="AH198">
        <v>1350.7402697330222</v>
      </c>
      <c r="AI198">
        <v>1362.214186480247</v>
      </c>
      <c r="AJ198">
        <v>1372.1423697635214</v>
      </c>
      <c r="AK198">
        <v>1379.8090768016928</v>
      </c>
      <c r="AL198">
        <v>1386.8934577665036</v>
      </c>
      <c r="AM198">
        <v>1393.5710597227142</v>
      </c>
      <c r="AN198">
        <v>1400.6490984013465</v>
      </c>
      <c r="AO198">
        <v>1408.581938410581</v>
      </c>
      <c r="AP198">
        <v>1417.1465799757141</v>
      </c>
      <c r="AQ198">
        <v>1426.3583925676733</v>
      </c>
      <c r="AR198">
        <v>1435.5630577465301</v>
      </c>
      <c r="AS198">
        <v>1444.4354467064381</v>
      </c>
      <c r="AT198">
        <v>1452.5898140629718</v>
      </c>
      <c r="AU198">
        <v>1459.8458410972464</v>
      </c>
      <c r="AV198">
        <v>1466.3015897572971</v>
      </c>
      <c r="AW198">
        <v>1472.0813977540415</v>
      </c>
      <c r="AX198">
        <v>1477.489797665776</v>
      </c>
      <c r="AY198">
        <v>1482.7380868543491</v>
      </c>
      <c r="BA198" s="1">
        <v>-1</v>
      </c>
      <c r="BB198" t="str">
        <f t="shared" ref="BB198:BB261" si="3">A198</f>
        <v>Sp - Vale do Paraiba SP</v>
      </c>
      <c r="BC198" s="3" t="s">
        <v>144</v>
      </c>
      <c r="BD198" s="3" t="s">
        <v>144</v>
      </c>
      <c r="BE198" s="3" t="s">
        <v>144</v>
      </c>
      <c r="BF198" s="3" t="s">
        <v>144</v>
      </c>
      <c r="BG198" s="3" t="s">
        <v>144</v>
      </c>
      <c r="BH198" s="3" t="s">
        <v>144</v>
      </c>
      <c r="BI198" s="3" t="s">
        <v>144</v>
      </c>
      <c r="BJ198" s="3" t="s">
        <v>144</v>
      </c>
      <c r="BK198" s="3" t="s">
        <v>144</v>
      </c>
      <c r="BL198" s="3" t="s">
        <v>144</v>
      </c>
      <c r="BM198" s="3" t="s">
        <v>144</v>
      </c>
      <c r="BN198" s="3" t="s">
        <v>144</v>
      </c>
      <c r="BO198" s="3" t="s">
        <v>144</v>
      </c>
      <c r="BP198" s="3" t="s">
        <v>144</v>
      </c>
      <c r="BQ198" s="3" t="s">
        <v>144</v>
      </c>
      <c r="BR198" s="3" t="s">
        <v>144</v>
      </c>
      <c r="BS198" s="3" t="s">
        <v>144</v>
      </c>
      <c r="BT198" s="3" t="s">
        <v>144</v>
      </c>
      <c r="BU198" s="3" t="s">
        <v>144</v>
      </c>
      <c r="BV198" s="3" t="s">
        <v>144</v>
      </c>
      <c r="BW198" s="3" t="s">
        <v>144</v>
      </c>
      <c r="BX198" s="3" t="s">
        <v>144</v>
      </c>
      <c r="BY198" s="3" t="s">
        <v>144</v>
      </c>
      <c r="BZ198" s="3" t="s">
        <v>144</v>
      </c>
      <c r="CA198" s="3" t="s">
        <v>144</v>
      </c>
      <c r="CB198" s="3" t="s">
        <v>144</v>
      </c>
      <c r="CC198" s="3" t="s">
        <v>144</v>
      </c>
      <c r="CD198" s="3" t="s">
        <v>144</v>
      </c>
      <c r="CE198" s="3" t="s">
        <v>144</v>
      </c>
      <c r="CF198" s="3" t="s">
        <v>144</v>
      </c>
      <c r="CG198" s="3" t="s">
        <v>144</v>
      </c>
      <c r="CH198" s="3" t="s">
        <v>144</v>
      </c>
      <c r="CI198" s="3" t="s">
        <v>144</v>
      </c>
      <c r="CJ198" s="3" t="s">
        <v>144</v>
      </c>
      <c r="CK198" s="3" t="s">
        <v>144</v>
      </c>
      <c r="CL198" s="3" t="s">
        <v>144</v>
      </c>
      <c r="CM198" s="3" t="s">
        <v>144</v>
      </c>
      <c r="CN198" s="3" t="s">
        <v>144</v>
      </c>
      <c r="CO198" s="3" t="s">
        <v>144</v>
      </c>
      <c r="CP198" s="3" t="s">
        <v>144</v>
      </c>
      <c r="CQ198" s="3" t="s">
        <v>144</v>
      </c>
      <c r="CR198" s="3" t="s">
        <v>144</v>
      </c>
      <c r="CS198" s="3" t="s">
        <v>144</v>
      </c>
      <c r="CT198" s="3" t="s">
        <v>144</v>
      </c>
      <c r="CU198" s="3" t="s">
        <v>144</v>
      </c>
      <c r="CV198" s="3" t="s">
        <v>144</v>
      </c>
      <c r="CW198" s="3" t="s">
        <v>144</v>
      </c>
      <c r="CX198" s="3" t="s">
        <v>144</v>
      </c>
      <c r="CY198" s="3" t="s">
        <v>144</v>
      </c>
    </row>
    <row r="199" spans="1:103" x14ac:dyDescent="0.25">
      <c r="A199" t="s">
        <v>102</v>
      </c>
      <c r="B199" t="s">
        <v>4</v>
      </c>
      <c r="C199">
        <v>42.576082880529185</v>
      </c>
      <c r="D199">
        <v>24.154034870926502</v>
      </c>
      <c r="E199">
        <v>41.175231620181179</v>
      </c>
      <c r="F199">
        <v>78.520723963992069</v>
      </c>
      <c r="G199">
        <v>81.229040449015116</v>
      </c>
      <c r="H199">
        <v>96.473306505495529</v>
      </c>
      <c r="I199">
        <v>101.27889768190929</v>
      </c>
      <c r="J199">
        <v>112.60962221623147</v>
      </c>
      <c r="K199">
        <v>114.5082921366314</v>
      </c>
      <c r="L199">
        <v>109.66787019496029</v>
      </c>
      <c r="M199">
        <v>107.60408316986634</v>
      </c>
      <c r="N199">
        <v>101.08927518708811</v>
      </c>
      <c r="O199">
        <v>98.091594525787102</v>
      </c>
      <c r="P199">
        <v>94.564863677695442</v>
      </c>
      <c r="Q199">
        <v>94.014287201251392</v>
      </c>
      <c r="R199">
        <v>96.57847727822957</v>
      </c>
      <c r="S199">
        <v>100.06793524047734</v>
      </c>
      <c r="T199">
        <v>105.10351057778978</v>
      </c>
      <c r="U199">
        <v>108.76528261316641</v>
      </c>
      <c r="V199">
        <v>111.47385985546535</v>
      </c>
      <c r="W199">
        <v>112.46911320475881</v>
      </c>
      <c r="X199">
        <v>111.9967582909448</v>
      </c>
      <c r="Y199">
        <v>110.93451490162229</v>
      </c>
      <c r="Z199">
        <v>109.50044132627494</v>
      </c>
      <c r="AA199">
        <v>108.62426101226781</v>
      </c>
      <c r="AB199">
        <v>108.32738162870545</v>
      </c>
      <c r="AC199">
        <v>108.76049215363857</v>
      </c>
      <c r="AD199">
        <v>109.77092406548267</v>
      </c>
      <c r="AE199">
        <v>111.03970263422671</v>
      </c>
      <c r="AF199">
        <v>112.40992295754317</v>
      </c>
      <c r="AG199">
        <v>113.57851892354671</v>
      </c>
      <c r="AH199">
        <v>114.46965896751469</v>
      </c>
      <c r="AI199">
        <v>115.00901349643128</v>
      </c>
      <c r="AJ199">
        <v>115.23012733466405</v>
      </c>
      <c r="AK199">
        <v>115.24506184059487</v>
      </c>
      <c r="AL199">
        <v>115.15700160486844</v>
      </c>
      <c r="AM199">
        <v>115.11116210716246</v>
      </c>
      <c r="AN199">
        <v>115.18788073330896</v>
      </c>
      <c r="AO199">
        <v>115.43724480943409</v>
      </c>
      <c r="AP199">
        <v>115.84935681975881</v>
      </c>
      <c r="AQ199">
        <v>116.36688092173745</v>
      </c>
      <c r="AR199">
        <v>116.91990558628581</v>
      </c>
      <c r="AS199">
        <v>117.43092754004299</v>
      </c>
      <c r="AT199">
        <v>117.85184479658956</v>
      </c>
      <c r="AU199">
        <v>118.1614250494754</v>
      </c>
      <c r="AV199">
        <v>118.37011542764711</v>
      </c>
      <c r="AW199">
        <v>118.51068890830607</v>
      </c>
      <c r="AX199">
        <v>118.62225138389907</v>
      </c>
      <c r="AY199">
        <v>118.74243339041591</v>
      </c>
      <c r="BA199" s="1">
        <v>1</v>
      </c>
      <c r="BB199" t="str">
        <f t="shared" si="3"/>
        <v>Sp - Litoral Sul SP</v>
      </c>
      <c r="BC199" s="3">
        <v>33.808108940201286</v>
      </c>
      <c r="BD199" s="3">
        <v>56.002771294318826</v>
      </c>
      <c r="BE199" s="3">
        <v>11.03334087455049</v>
      </c>
      <c r="BF199" s="3">
        <v>100.68959393227735</v>
      </c>
      <c r="BG199" s="3">
        <v>35.011043148892838</v>
      </c>
      <c r="BH199" s="3">
        <v>46.799327308560642</v>
      </c>
      <c r="BI199" s="3">
        <v>43.798521772269616</v>
      </c>
      <c r="BJ199" s="3">
        <v>38.27861767374516</v>
      </c>
      <c r="BK199" s="3">
        <v>54.25981767936851</v>
      </c>
      <c r="BL199" s="3">
        <v>33.902693071516794</v>
      </c>
      <c r="BM199" s="3">
        <v>43.896498415801055</v>
      </c>
      <c r="BN199" s="3">
        <v>36.786392241981133</v>
      </c>
      <c r="BO199" s="3">
        <v>35.499295177056858</v>
      </c>
      <c r="BP199" s="3">
        <v>34.843839590370777</v>
      </c>
      <c r="BQ199" s="3">
        <v>27.928139995962795</v>
      </c>
      <c r="BR199" s="3">
        <v>29.393024191173765</v>
      </c>
      <c r="BS199" s="3">
        <v>24.932952553139557</v>
      </c>
      <c r="BT199" s="3">
        <v>24.825799974022203</v>
      </c>
      <c r="BU199" s="3">
        <v>23.331686749911981</v>
      </c>
      <c r="BV199" s="3">
        <v>21.589405001123438</v>
      </c>
      <c r="BW199" s="3">
        <v>21.408094010569499</v>
      </c>
      <c r="BX199" s="3">
        <v>19.428097127036082</v>
      </c>
      <c r="BY199" s="3">
        <v>18.802415631811982</v>
      </c>
      <c r="BZ199" s="3">
        <v>17.133889776498805</v>
      </c>
      <c r="CA199" s="3">
        <v>15.740377689101692</v>
      </c>
      <c r="CB199" s="3">
        <v>14.428966112368059</v>
      </c>
      <c r="CC199" s="3">
        <v>12.81130312917027</v>
      </c>
      <c r="CD199" s="3">
        <v>11.679385188966847</v>
      </c>
      <c r="CE199" s="3">
        <v>10.332791777093973</v>
      </c>
      <c r="CF199" s="3">
        <v>9.3283052284719901</v>
      </c>
      <c r="CG199" s="3">
        <v>8.362261352613416</v>
      </c>
      <c r="CH199" s="3">
        <v>7.4507041205014843</v>
      </c>
      <c r="CI199" s="3">
        <v>6.6552608339491286</v>
      </c>
      <c r="CJ199" s="3">
        <v>5.7725249828431657</v>
      </c>
      <c r="CK199" s="3">
        <v>4.9524973322021992</v>
      </c>
      <c r="CL199" s="3">
        <v>4.0684726414356192</v>
      </c>
      <c r="CM199" s="3">
        <v>3.1949902627126789</v>
      </c>
      <c r="CN199" s="3">
        <v>2.3385032131978107</v>
      </c>
      <c r="CO199" s="3">
        <v>1.493725708682959</v>
      </c>
      <c r="CP199" s="3">
        <v>0.71373218263383365</v>
      </c>
      <c r="CQ199" s="3">
        <v>-3.3458355391672967E-2</v>
      </c>
      <c r="CR199" s="3">
        <v>-0.72056767053518911</v>
      </c>
      <c r="CS199" s="3">
        <v>-1.3684468054138534</v>
      </c>
      <c r="CT199" s="3">
        <v>-1.9840858560301058</v>
      </c>
      <c r="CU199" s="3">
        <v>-2.571766171444068</v>
      </c>
      <c r="CV199" s="3">
        <v>-3.1486147665507218</v>
      </c>
      <c r="CW199" s="3">
        <v>-3.7109087755722641</v>
      </c>
      <c r="CX199" s="3">
        <v>-4.2666326574649105</v>
      </c>
      <c r="CY199" s="3">
        <v>-4.8111322934921503</v>
      </c>
    </row>
    <row r="200" spans="1:103" x14ac:dyDescent="0.25">
      <c r="A200" t="s">
        <v>102</v>
      </c>
      <c r="B200" t="s">
        <v>5</v>
      </c>
      <c r="C200">
        <v>8.7679739403278987</v>
      </c>
      <c r="D200">
        <v>-31.848736423392324</v>
      </c>
      <c r="E200">
        <v>30.14189074563069</v>
      </c>
      <c r="F200">
        <v>-22.168869968285286</v>
      </c>
      <c r="G200">
        <v>46.217997300122278</v>
      </c>
      <c r="H200">
        <v>49.673979196934887</v>
      </c>
      <c r="I200">
        <v>57.480375909639669</v>
      </c>
      <c r="J200">
        <v>74.331004542486312</v>
      </c>
      <c r="K200">
        <v>60.248474457262887</v>
      </c>
      <c r="L200">
        <v>75.765177123443493</v>
      </c>
      <c r="M200">
        <v>63.707584754065287</v>
      </c>
      <c r="N200">
        <v>64.302882945106973</v>
      </c>
      <c r="O200">
        <v>62.592299348730243</v>
      </c>
      <c r="P200">
        <v>59.721024087324665</v>
      </c>
      <c r="Q200">
        <v>66.086147205288597</v>
      </c>
      <c r="R200">
        <v>67.185453087055805</v>
      </c>
      <c r="S200">
        <v>75.134982687337782</v>
      </c>
      <c r="T200">
        <v>80.277710603767574</v>
      </c>
      <c r="U200">
        <v>85.433595863254425</v>
      </c>
      <c r="V200">
        <v>89.884454854341911</v>
      </c>
      <c r="W200">
        <v>91.061019194189313</v>
      </c>
      <c r="X200">
        <v>92.568661163908715</v>
      </c>
      <c r="Y200">
        <v>92.132099269810311</v>
      </c>
      <c r="Z200">
        <v>92.366551549776133</v>
      </c>
      <c r="AA200">
        <v>92.883883323166117</v>
      </c>
      <c r="AB200">
        <v>93.898415516337394</v>
      </c>
      <c r="AC200">
        <v>95.949189024468296</v>
      </c>
      <c r="AD200">
        <v>98.091538876515827</v>
      </c>
      <c r="AE200">
        <v>100.70691085713274</v>
      </c>
      <c r="AF200">
        <v>103.08161772907118</v>
      </c>
      <c r="AG200">
        <v>105.21625757093329</v>
      </c>
      <c r="AH200">
        <v>107.01895484701321</v>
      </c>
      <c r="AI200">
        <v>108.35375266248215</v>
      </c>
      <c r="AJ200">
        <v>109.45760235182088</v>
      </c>
      <c r="AK200">
        <v>110.29256450839267</v>
      </c>
      <c r="AL200">
        <v>111.08852896343282</v>
      </c>
      <c r="AM200">
        <v>111.91617184444978</v>
      </c>
      <c r="AN200">
        <v>112.84937752011115</v>
      </c>
      <c r="AO200">
        <v>113.94351910075113</v>
      </c>
      <c r="AP200">
        <v>115.13562463712498</v>
      </c>
      <c r="AQ200">
        <v>116.40033927712912</v>
      </c>
      <c r="AR200">
        <v>117.640473256821</v>
      </c>
      <c r="AS200">
        <v>118.79937434545684</v>
      </c>
      <c r="AT200">
        <v>119.83593065261967</v>
      </c>
      <c r="AU200">
        <v>120.73319122091947</v>
      </c>
      <c r="AV200">
        <v>121.51873019419783</v>
      </c>
      <c r="AW200">
        <v>122.22159768387833</v>
      </c>
      <c r="AX200">
        <v>122.88888404136398</v>
      </c>
      <c r="AY200">
        <v>123.55356568390806</v>
      </c>
      <c r="BA200" s="1">
        <v>-1</v>
      </c>
      <c r="BB200" t="str">
        <f t="shared" si="3"/>
        <v>Sp - Litoral Sul SP</v>
      </c>
      <c r="BC200" s="3" t="s">
        <v>144</v>
      </c>
      <c r="BD200" s="3" t="s">
        <v>144</v>
      </c>
      <c r="BE200" s="3" t="s">
        <v>144</v>
      </c>
      <c r="BF200" s="3" t="s">
        <v>144</v>
      </c>
      <c r="BG200" s="3" t="s">
        <v>144</v>
      </c>
      <c r="BH200" s="3" t="s">
        <v>144</v>
      </c>
      <c r="BI200" s="3" t="s">
        <v>144</v>
      </c>
      <c r="BJ200" s="3" t="s">
        <v>144</v>
      </c>
      <c r="BK200" s="3" t="s">
        <v>144</v>
      </c>
      <c r="BL200" s="3" t="s">
        <v>144</v>
      </c>
      <c r="BM200" s="3" t="s">
        <v>144</v>
      </c>
      <c r="BN200" s="3" t="s">
        <v>144</v>
      </c>
      <c r="BO200" s="3" t="s">
        <v>144</v>
      </c>
      <c r="BP200" s="3" t="s">
        <v>144</v>
      </c>
      <c r="BQ200" s="3" t="s">
        <v>144</v>
      </c>
      <c r="BR200" s="3" t="s">
        <v>144</v>
      </c>
      <c r="BS200" s="3" t="s">
        <v>144</v>
      </c>
      <c r="BT200" s="3" t="s">
        <v>144</v>
      </c>
      <c r="BU200" s="3" t="s">
        <v>144</v>
      </c>
      <c r="BV200" s="3" t="s">
        <v>144</v>
      </c>
      <c r="BW200" s="3" t="s">
        <v>144</v>
      </c>
      <c r="BX200" s="3" t="s">
        <v>144</v>
      </c>
      <c r="BY200" s="3" t="s">
        <v>144</v>
      </c>
      <c r="BZ200" s="3" t="s">
        <v>144</v>
      </c>
      <c r="CA200" s="3" t="s">
        <v>144</v>
      </c>
      <c r="CB200" s="3" t="s">
        <v>144</v>
      </c>
      <c r="CC200" s="3" t="s">
        <v>144</v>
      </c>
      <c r="CD200" s="3" t="s">
        <v>144</v>
      </c>
      <c r="CE200" s="3" t="s">
        <v>144</v>
      </c>
      <c r="CF200" s="3" t="s">
        <v>144</v>
      </c>
      <c r="CG200" s="3" t="s">
        <v>144</v>
      </c>
      <c r="CH200" s="3" t="s">
        <v>144</v>
      </c>
      <c r="CI200" s="3" t="s">
        <v>144</v>
      </c>
      <c r="CJ200" s="3" t="s">
        <v>144</v>
      </c>
      <c r="CK200" s="3" t="s">
        <v>144</v>
      </c>
      <c r="CL200" s="3" t="s">
        <v>144</v>
      </c>
      <c r="CM200" s="3" t="s">
        <v>144</v>
      </c>
      <c r="CN200" s="3" t="s">
        <v>144</v>
      </c>
      <c r="CO200" s="3" t="s">
        <v>144</v>
      </c>
      <c r="CP200" s="3" t="s">
        <v>144</v>
      </c>
      <c r="CQ200" s="3" t="s">
        <v>144</v>
      </c>
      <c r="CR200" s="3" t="s">
        <v>144</v>
      </c>
      <c r="CS200" s="3" t="s">
        <v>144</v>
      </c>
      <c r="CT200" s="3" t="s">
        <v>144</v>
      </c>
      <c r="CU200" s="3" t="s">
        <v>144</v>
      </c>
      <c r="CV200" s="3" t="s">
        <v>144</v>
      </c>
      <c r="CW200" s="3" t="s">
        <v>144</v>
      </c>
      <c r="CX200" s="3" t="s">
        <v>144</v>
      </c>
      <c r="CY200" s="3" t="s">
        <v>144</v>
      </c>
    </row>
    <row r="201" spans="1:103" x14ac:dyDescent="0.25">
      <c r="A201" t="s">
        <v>103</v>
      </c>
      <c r="B201" t="s">
        <v>4</v>
      </c>
      <c r="C201">
        <v>18312.017191151201</v>
      </c>
      <c r="D201">
        <v>13663.302375711235</v>
      </c>
      <c r="E201">
        <v>13554.304129225175</v>
      </c>
      <c r="F201">
        <v>12845.152196813751</v>
      </c>
      <c r="G201">
        <v>13605.048526327311</v>
      </c>
      <c r="H201">
        <v>17884.279989750841</v>
      </c>
      <c r="I201">
        <v>17289.62334992459</v>
      </c>
      <c r="J201">
        <v>19418.625071001276</v>
      </c>
      <c r="K201">
        <v>19301.749753866407</v>
      </c>
      <c r="L201">
        <v>19605.339488013808</v>
      </c>
      <c r="M201">
        <v>19532.702272394763</v>
      </c>
      <c r="N201">
        <v>18264.195040104729</v>
      </c>
      <c r="O201">
        <v>17853.736261861781</v>
      </c>
      <c r="P201">
        <v>16965.841375069089</v>
      </c>
      <c r="Q201">
        <v>16914.918310347693</v>
      </c>
      <c r="R201">
        <v>17033.151407741247</v>
      </c>
      <c r="S201">
        <v>17355.64353549376</v>
      </c>
      <c r="T201">
        <v>17985.143837767373</v>
      </c>
      <c r="U201">
        <v>18394.661324324636</v>
      </c>
      <c r="V201">
        <v>18836.929848606051</v>
      </c>
      <c r="W201">
        <v>18978.333688524304</v>
      </c>
      <c r="X201">
        <v>18975.218225669905</v>
      </c>
      <c r="Y201">
        <v>18859.67502160482</v>
      </c>
      <c r="Z201">
        <v>18650.816167122946</v>
      </c>
      <c r="AA201">
        <v>18501.448306170871</v>
      </c>
      <c r="AB201">
        <v>18373.181626221678</v>
      </c>
      <c r="AC201">
        <v>18351.905655462197</v>
      </c>
      <c r="AD201">
        <v>18403.920844740234</v>
      </c>
      <c r="AE201">
        <v>18514.129965983466</v>
      </c>
      <c r="AF201">
        <v>18664.091436331819</v>
      </c>
      <c r="AG201">
        <v>18801.840176812864</v>
      </c>
      <c r="AH201">
        <v>18921.046827377369</v>
      </c>
      <c r="AI201">
        <v>18992.198168128503</v>
      </c>
      <c r="AJ201">
        <v>19019.734809085654</v>
      </c>
      <c r="AK201">
        <v>19010.978570034422</v>
      </c>
      <c r="AL201">
        <v>18979.063270654857</v>
      </c>
      <c r="AM201">
        <v>18946.873970530392</v>
      </c>
      <c r="AN201">
        <v>18925.407735031829</v>
      </c>
      <c r="AO201">
        <v>18927.024687497116</v>
      </c>
      <c r="AP201">
        <v>18951.659344200267</v>
      </c>
      <c r="AQ201">
        <v>18994.574271349506</v>
      </c>
      <c r="AR201">
        <v>19047.47221477624</v>
      </c>
      <c r="AS201">
        <v>19099.484234688174</v>
      </c>
      <c r="AT201">
        <v>19143.706938739066</v>
      </c>
      <c r="AU201">
        <v>19175.031505444316</v>
      </c>
      <c r="AV201">
        <v>19193.362824084754</v>
      </c>
      <c r="AW201">
        <v>19201.374326109864</v>
      </c>
      <c r="AX201">
        <v>19203.457378784096</v>
      </c>
      <c r="AY201">
        <v>19204.716755048241</v>
      </c>
      <c r="BA201" s="1">
        <v>1</v>
      </c>
      <c r="BB201" t="str">
        <f t="shared" si="3"/>
        <v>Sp - Metropol Sao Paulo</v>
      </c>
      <c r="BC201" s="3">
        <v>13063.196188531863</v>
      </c>
      <c r="BD201" s="3">
        <v>9094.7738237200483</v>
      </c>
      <c r="BE201" s="3">
        <v>3549.9395700963196</v>
      </c>
      <c r="BF201" s="3">
        <v>8214.9444694556296</v>
      </c>
      <c r="BG201" s="3">
        <v>4793.1621451503561</v>
      </c>
      <c r="BH201" s="3">
        <v>7800.0963079698759</v>
      </c>
      <c r="BI201" s="3">
        <v>5845.3127771080126</v>
      </c>
      <c r="BJ201" s="3">
        <v>6100.3044477744588</v>
      </c>
      <c r="BK201" s="3">
        <v>6721.9310933918241</v>
      </c>
      <c r="BL201" s="3">
        <v>5391.6975425082619</v>
      </c>
      <c r="BM201" s="3">
        <v>5776.5361182597717</v>
      </c>
      <c r="BN201" s="3">
        <v>4373.5362892961384</v>
      </c>
      <c r="BO201" s="3">
        <v>4106.8886384365742</v>
      </c>
      <c r="BP201" s="3">
        <v>3550.8809202400098</v>
      </c>
      <c r="BQ201" s="3">
        <v>3041.1384816406771</v>
      </c>
      <c r="BR201" s="3">
        <v>3028.2971088612248</v>
      </c>
      <c r="BS201" s="3">
        <v>2650.5937946036192</v>
      </c>
      <c r="BT201" s="3">
        <v>2704.7536803571529</v>
      </c>
      <c r="BU201" s="3">
        <v>2508.7423975488509</v>
      </c>
      <c r="BV201" s="3">
        <v>2363.7164968901379</v>
      </c>
      <c r="BW201" s="3">
        <v>2189.0124693856815</v>
      </c>
      <c r="BX201" s="3">
        <v>1884.8007762103953</v>
      </c>
      <c r="BY201" s="3">
        <v>1659.3619265319394</v>
      </c>
      <c r="BZ201" s="3">
        <v>1338.2357450190684</v>
      </c>
      <c r="CA201" s="3">
        <v>1081.8270605172547</v>
      </c>
      <c r="CB201" s="3">
        <v>828.74112177258576</v>
      </c>
      <c r="CC201" s="3">
        <v>602.90015760140159</v>
      </c>
      <c r="CD201" s="3">
        <v>430.85804669483696</v>
      </c>
      <c r="CE201" s="3">
        <v>263.06127287130948</v>
      </c>
      <c r="CF201" s="3">
        <v>133.74496655943221</v>
      </c>
      <c r="CG201" s="3">
        <v>-0.64376040843126248</v>
      </c>
      <c r="CH201" s="3">
        <v>-132.75763199256471</v>
      </c>
      <c r="CI201" s="3">
        <v>-272.1189851384479</v>
      </c>
      <c r="CJ201" s="3">
        <v>-426.17640232423582</v>
      </c>
      <c r="CK201" s="3">
        <v>-581.89002346213965</v>
      </c>
      <c r="CL201" s="3">
        <v>-743.56796547587874</v>
      </c>
      <c r="CM201" s="3">
        <v>-897.49703415581462</v>
      </c>
      <c r="CN201" s="3">
        <v>-1042.4767851915276</v>
      </c>
      <c r="CO201" s="3">
        <v>-1175.1567951754369</v>
      </c>
      <c r="CP201" s="3">
        <v>-1294.148099833139</v>
      </c>
      <c r="CQ201" s="3">
        <v>-1403.8896430103487</v>
      </c>
      <c r="CR201" s="3">
        <v>-1505.3413569418917</v>
      </c>
      <c r="CS201" s="3">
        <v>-1603.5048310968414</v>
      </c>
      <c r="CT201" s="3">
        <v>-1700.1002401979495</v>
      </c>
      <c r="CU201" s="3">
        <v>-1796.7011216588398</v>
      </c>
      <c r="CV201" s="3">
        <v>-1893.8472420059734</v>
      </c>
      <c r="CW201" s="3">
        <v>-1990.2624461201522</v>
      </c>
      <c r="CX201" s="3">
        <v>-2085.1776276981582</v>
      </c>
      <c r="CY201" s="3">
        <v>-2176.814374965812</v>
      </c>
    </row>
    <row r="202" spans="1:103" x14ac:dyDescent="0.25">
      <c r="A202" t="s">
        <v>103</v>
      </c>
      <c r="B202" t="s">
        <v>5</v>
      </c>
      <c r="C202">
        <v>5248.8210026193383</v>
      </c>
      <c r="D202">
        <v>4568.5285519911868</v>
      </c>
      <c r="E202">
        <v>10004.364559128855</v>
      </c>
      <c r="F202">
        <v>4630.2077273581226</v>
      </c>
      <c r="G202">
        <v>8811.8863811769552</v>
      </c>
      <c r="H202">
        <v>10084.183681780965</v>
      </c>
      <c r="I202">
        <v>11444.310572816577</v>
      </c>
      <c r="J202">
        <v>13318.320623226817</v>
      </c>
      <c r="K202">
        <v>12579.818660474582</v>
      </c>
      <c r="L202">
        <v>14213.641945505546</v>
      </c>
      <c r="M202">
        <v>13756.166154134991</v>
      </c>
      <c r="N202">
        <v>13890.65875080859</v>
      </c>
      <c r="O202">
        <v>13746.847623425207</v>
      </c>
      <c r="P202">
        <v>13414.960454829079</v>
      </c>
      <c r="Q202">
        <v>13873.779828707016</v>
      </c>
      <c r="R202">
        <v>14004.854298880022</v>
      </c>
      <c r="S202">
        <v>14705.049740890141</v>
      </c>
      <c r="T202">
        <v>15280.39015741022</v>
      </c>
      <c r="U202">
        <v>15885.918926775785</v>
      </c>
      <c r="V202">
        <v>16473.213351715913</v>
      </c>
      <c r="W202">
        <v>16789.321219138623</v>
      </c>
      <c r="X202">
        <v>17090.41744945951</v>
      </c>
      <c r="Y202">
        <v>17200.313095072881</v>
      </c>
      <c r="Z202">
        <v>17312.580422103878</v>
      </c>
      <c r="AA202">
        <v>17419.621245653616</v>
      </c>
      <c r="AB202">
        <v>17544.440504449092</v>
      </c>
      <c r="AC202">
        <v>17749.005497860795</v>
      </c>
      <c r="AD202">
        <v>17973.062798045397</v>
      </c>
      <c r="AE202">
        <v>18251.068693112156</v>
      </c>
      <c r="AF202">
        <v>18530.346469772387</v>
      </c>
      <c r="AG202">
        <v>18802.483937221295</v>
      </c>
      <c r="AH202">
        <v>19053.804459369934</v>
      </c>
      <c r="AI202">
        <v>19264.317153266951</v>
      </c>
      <c r="AJ202">
        <v>19445.91121140989</v>
      </c>
      <c r="AK202">
        <v>19592.868593496562</v>
      </c>
      <c r="AL202">
        <v>19722.631236130735</v>
      </c>
      <c r="AM202">
        <v>19844.371004686207</v>
      </c>
      <c r="AN202">
        <v>19967.884520223357</v>
      </c>
      <c r="AO202">
        <v>20102.181482672553</v>
      </c>
      <c r="AP202">
        <v>20245.807444033406</v>
      </c>
      <c r="AQ202">
        <v>20398.463914359854</v>
      </c>
      <c r="AR202">
        <v>20552.813571718132</v>
      </c>
      <c r="AS202">
        <v>20702.989065785016</v>
      </c>
      <c r="AT202">
        <v>20843.807178937015</v>
      </c>
      <c r="AU202">
        <v>20971.732627103156</v>
      </c>
      <c r="AV202">
        <v>21087.210066090727</v>
      </c>
      <c r="AW202">
        <v>21191.636772230017</v>
      </c>
      <c r="AX202">
        <v>21288.635006482255</v>
      </c>
      <c r="AY202">
        <v>21381.531130014053</v>
      </c>
      <c r="BA202" s="1">
        <v>-1</v>
      </c>
      <c r="BB202" t="str">
        <f t="shared" si="3"/>
        <v>Sp - Metropol Sao Paulo</v>
      </c>
      <c r="BC202" s="3" t="s">
        <v>144</v>
      </c>
      <c r="BD202" s="3" t="s">
        <v>144</v>
      </c>
      <c r="BE202" s="3" t="s">
        <v>144</v>
      </c>
      <c r="BF202" s="3" t="s">
        <v>144</v>
      </c>
      <c r="BG202" s="3" t="s">
        <v>144</v>
      </c>
      <c r="BH202" s="3" t="s">
        <v>144</v>
      </c>
      <c r="BI202" s="3" t="s">
        <v>144</v>
      </c>
      <c r="BJ202" s="3" t="s">
        <v>144</v>
      </c>
      <c r="BK202" s="3" t="s">
        <v>144</v>
      </c>
      <c r="BL202" s="3" t="s">
        <v>144</v>
      </c>
      <c r="BM202" s="3" t="s">
        <v>144</v>
      </c>
      <c r="BN202" s="3" t="s">
        <v>144</v>
      </c>
      <c r="BO202" s="3" t="s">
        <v>144</v>
      </c>
      <c r="BP202" s="3" t="s">
        <v>144</v>
      </c>
      <c r="BQ202" s="3" t="s">
        <v>144</v>
      </c>
      <c r="BR202" s="3" t="s">
        <v>144</v>
      </c>
      <c r="BS202" s="3" t="s">
        <v>144</v>
      </c>
      <c r="BT202" s="3" t="s">
        <v>144</v>
      </c>
      <c r="BU202" s="3" t="s">
        <v>144</v>
      </c>
      <c r="BV202" s="3" t="s">
        <v>144</v>
      </c>
      <c r="BW202" s="3" t="s">
        <v>144</v>
      </c>
      <c r="BX202" s="3" t="s">
        <v>144</v>
      </c>
      <c r="BY202" s="3" t="s">
        <v>144</v>
      </c>
      <c r="BZ202" s="3" t="s">
        <v>144</v>
      </c>
      <c r="CA202" s="3" t="s">
        <v>144</v>
      </c>
      <c r="CB202" s="3" t="s">
        <v>144</v>
      </c>
      <c r="CC202" s="3" t="s">
        <v>144</v>
      </c>
      <c r="CD202" s="3" t="s">
        <v>144</v>
      </c>
      <c r="CE202" s="3" t="s">
        <v>144</v>
      </c>
      <c r="CF202" s="3" t="s">
        <v>144</v>
      </c>
      <c r="CG202" s="3" t="s">
        <v>144</v>
      </c>
      <c r="CH202" s="3" t="s">
        <v>144</v>
      </c>
      <c r="CI202" s="3" t="s">
        <v>144</v>
      </c>
      <c r="CJ202" s="3" t="s">
        <v>144</v>
      </c>
      <c r="CK202" s="3" t="s">
        <v>144</v>
      </c>
      <c r="CL202" s="3" t="s">
        <v>144</v>
      </c>
      <c r="CM202" s="3" t="s">
        <v>144</v>
      </c>
      <c r="CN202" s="3" t="s">
        <v>144</v>
      </c>
      <c r="CO202" s="3" t="s">
        <v>144</v>
      </c>
      <c r="CP202" s="3" t="s">
        <v>144</v>
      </c>
      <c r="CQ202" s="3" t="s">
        <v>144</v>
      </c>
      <c r="CR202" s="3" t="s">
        <v>144</v>
      </c>
      <c r="CS202" s="3" t="s">
        <v>144</v>
      </c>
      <c r="CT202" s="3" t="s">
        <v>144</v>
      </c>
      <c r="CU202" s="3" t="s">
        <v>144</v>
      </c>
      <c r="CV202" s="3" t="s">
        <v>144</v>
      </c>
      <c r="CW202" s="3" t="s">
        <v>144</v>
      </c>
      <c r="CX202" s="3" t="s">
        <v>144</v>
      </c>
      <c r="CY202" s="3" t="s">
        <v>144</v>
      </c>
    </row>
    <row r="203" spans="1:103" x14ac:dyDescent="0.25">
      <c r="A203" t="s">
        <v>104</v>
      </c>
      <c r="B203" t="s">
        <v>4</v>
      </c>
      <c r="C203">
        <v>601.17762059341328</v>
      </c>
      <c r="D203">
        <v>380.48399485472515</v>
      </c>
      <c r="E203">
        <v>224.35490785011234</v>
      </c>
      <c r="F203">
        <v>-64.293637633419763</v>
      </c>
      <c r="G203">
        <v>-97.392960232181949</v>
      </c>
      <c r="H203">
        <v>280.93857716576815</v>
      </c>
      <c r="I203">
        <v>225.22518833578235</v>
      </c>
      <c r="J203">
        <v>366.19149528868383</v>
      </c>
      <c r="K203">
        <v>347.29884680340638</v>
      </c>
      <c r="L203">
        <v>373.69909825161233</v>
      </c>
      <c r="M203">
        <v>385.44090076670636</v>
      </c>
      <c r="N203">
        <v>292.76500938849989</v>
      </c>
      <c r="O203">
        <v>272.41494833770116</v>
      </c>
      <c r="P203">
        <v>211.76086615523371</v>
      </c>
      <c r="Q203">
        <v>212.09065266570923</v>
      </c>
      <c r="R203">
        <v>220.71144130963154</v>
      </c>
      <c r="S203">
        <v>237.14767677515297</v>
      </c>
      <c r="T203">
        <v>277.31204119003002</v>
      </c>
      <c r="U203">
        <v>300.41494408789021</v>
      </c>
      <c r="V203">
        <v>330.05192421213849</v>
      </c>
      <c r="W203">
        <v>340.05952801774487</v>
      </c>
      <c r="X203">
        <v>341.45118756942367</v>
      </c>
      <c r="Y203">
        <v>336.38634039192118</v>
      </c>
      <c r="Z203">
        <v>323.90211044769637</v>
      </c>
      <c r="AA203">
        <v>315.47472825166494</v>
      </c>
      <c r="AB203">
        <v>307.06871780301719</v>
      </c>
      <c r="AC203">
        <v>305.47082247326051</v>
      </c>
      <c r="AD203">
        <v>308.51968508393065</v>
      </c>
      <c r="AE203">
        <v>315.30592210611837</v>
      </c>
      <c r="AF203">
        <v>325.0927072310223</v>
      </c>
      <c r="AG203">
        <v>334.0638606616385</v>
      </c>
      <c r="AH203">
        <v>342.12436212190545</v>
      </c>
      <c r="AI203">
        <v>347.10856949796454</v>
      </c>
      <c r="AJ203">
        <v>349.33427718721754</v>
      </c>
      <c r="AK203">
        <v>349.27148084657711</v>
      </c>
      <c r="AL203">
        <v>347.63962320715228</v>
      </c>
      <c r="AM203">
        <v>345.97688588142665</v>
      </c>
      <c r="AN203">
        <v>344.87789896513243</v>
      </c>
      <c r="AO203">
        <v>345.17598299265563</v>
      </c>
      <c r="AP203">
        <v>346.86758159750968</v>
      </c>
      <c r="AQ203">
        <v>349.68084186414586</v>
      </c>
      <c r="AR203">
        <v>353.15290016872871</v>
      </c>
      <c r="AS203">
        <v>356.60174699186399</v>
      </c>
      <c r="AT203">
        <v>359.6204054339442</v>
      </c>
      <c r="AU203">
        <v>361.86256261220797</v>
      </c>
      <c r="AV203">
        <v>363.30097076465347</v>
      </c>
      <c r="AW203">
        <v>364.078348015622</v>
      </c>
      <c r="AX203">
        <v>364.44612300232484</v>
      </c>
      <c r="AY203">
        <v>364.7237838541792</v>
      </c>
      <c r="BA203" s="1">
        <v>1</v>
      </c>
      <c r="BB203" t="str">
        <f t="shared" si="3"/>
        <v>Pr - Noroeste PR</v>
      </c>
      <c r="BC203" s="3">
        <v>1191.5016057172961</v>
      </c>
      <c r="BD203" s="3">
        <v>310.26714558132522</v>
      </c>
      <c r="BE203" s="3">
        <v>-263.16934317926058</v>
      </c>
      <c r="BF203" s="3">
        <v>-230.55800634179596</v>
      </c>
      <c r="BG203" s="3">
        <v>-387.81671912806883</v>
      </c>
      <c r="BH203" s="3">
        <v>147.39027169669598</v>
      </c>
      <c r="BI203" s="3">
        <v>-91.379209715149472</v>
      </c>
      <c r="BJ203" s="3">
        <v>72.096906656987414</v>
      </c>
      <c r="BK203" s="3">
        <v>107.75984967189939</v>
      </c>
      <c r="BL203" s="3">
        <v>93.837284280644269</v>
      </c>
      <c r="BM203" s="3">
        <v>145.92381896534837</v>
      </c>
      <c r="BN203" s="3">
        <v>0.15152425839329453</v>
      </c>
      <c r="BO203" s="3">
        <v>6.065959774276223</v>
      </c>
      <c r="BP203" s="3">
        <v>-57.740463284614407</v>
      </c>
      <c r="BQ203" s="3">
        <v>-67.760189348854624</v>
      </c>
      <c r="BR203" s="3">
        <v>-59.861724482629654</v>
      </c>
      <c r="BS203" s="3">
        <v>-69.999224698891823</v>
      </c>
      <c r="BT203" s="3">
        <v>-32.344362824937548</v>
      </c>
      <c r="BU203" s="3">
        <v>-23.82983594493129</v>
      </c>
      <c r="BV203" s="3">
        <v>1.4617739142347546</v>
      </c>
      <c r="BW203" s="3">
        <v>10.19500583422672</v>
      </c>
      <c r="BX203" s="3">
        <v>8.621314537433534</v>
      </c>
      <c r="BY203" s="3">
        <v>6.5348559885833311</v>
      </c>
      <c r="BZ203" s="3">
        <v>-9.3042877148297407</v>
      </c>
      <c r="CA203" s="3">
        <v>-19.616818462065453</v>
      </c>
      <c r="CB203" s="3">
        <v>-33.030474258596143</v>
      </c>
      <c r="CC203" s="3">
        <v>-40.368800132235208</v>
      </c>
      <c r="CD203" s="3">
        <v>-42.182991259296671</v>
      </c>
      <c r="CE203" s="3">
        <v>-41.117445918346107</v>
      </c>
      <c r="CF203" s="3">
        <v>-35.267661602756903</v>
      </c>
      <c r="CG203" s="3">
        <v>-30.325276003735212</v>
      </c>
      <c r="CH203" s="3">
        <v>-25.338698614338341</v>
      </c>
      <c r="CI203" s="3">
        <v>-22.959476335681757</v>
      </c>
      <c r="CJ203" s="3">
        <v>-23.224083855552465</v>
      </c>
      <c r="CK203" s="3">
        <v>-25.295327179267247</v>
      </c>
      <c r="CL203" s="3">
        <v>-29.150942056904455</v>
      </c>
      <c r="CM203" s="3">
        <v>-32.957940336183015</v>
      </c>
      <c r="CN203" s="3">
        <v>-36.475419790253</v>
      </c>
      <c r="CO203" s="3">
        <v>-38.810327261812574</v>
      </c>
      <c r="CP203" s="3">
        <v>-39.843793468224248</v>
      </c>
      <c r="CQ203" s="3">
        <v>-39.831304716179091</v>
      </c>
      <c r="CR203" s="3">
        <v>-38.965396733466719</v>
      </c>
      <c r="CS203" s="3">
        <v>-37.919705971106225</v>
      </c>
      <c r="CT203" s="3">
        <v>-37.002228195144369</v>
      </c>
      <c r="CU203" s="3">
        <v>-36.604178908735662</v>
      </c>
      <c r="CV203" s="3">
        <v>-36.841071331919181</v>
      </c>
      <c r="CW203" s="3">
        <v>-37.635099630740569</v>
      </c>
      <c r="CX203" s="3">
        <v>-38.840087248743828</v>
      </c>
      <c r="CY203" s="3">
        <v>-40.157165284516225</v>
      </c>
    </row>
    <row r="204" spans="1:103" x14ac:dyDescent="0.25">
      <c r="A204" t="s">
        <v>104</v>
      </c>
      <c r="B204" t="s">
        <v>5</v>
      </c>
      <c r="C204">
        <v>-590.32398512388272</v>
      </c>
      <c r="D204">
        <v>70.216849273399944</v>
      </c>
      <c r="E204">
        <v>487.52425102937292</v>
      </c>
      <c r="F204">
        <v>166.2643687083762</v>
      </c>
      <c r="G204">
        <v>290.42375889588686</v>
      </c>
      <c r="H204">
        <v>133.54830546907218</v>
      </c>
      <c r="I204">
        <v>316.60439805093182</v>
      </c>
      <c r="J204">
        <v>294.09458863169641</v>
      </c>
      <c r="K204">
        <v>239.53899713150699</v>
      </c>
      <c r="L204">
        <v>279.86181397096806</v>
      </c>
      <c r="M204">
        <v>239.51708180135799</v>
      </c>
      <c r="N204">
        <v>292.6134851301066</v>
      </c>
      <c r="O204">
        <v>266.34898856342494</v>
      </c>
      <c r="P204">
        <v>269.50132943984812</v>
      </c>
      <c r="Q204">
        <v>279.85084201456385</v>
      </c>
      <c r="R204">
        <v>280.57316579226119</v>
      </c>
      <c r="S204">
        <v>307.1469014740448</v>
      </c>
      <c r="T204">
        <v>309.65640401496756</v>
      </c>
      <c r="U204">
        <v>324.2447800328215</v>
      </c>
      <c r="V204">
        <v>328.59015029790373</v>
      </c>
      <c r="W204">
        <v>329.86452218351815</v>
      </c>
      <c r="X204">
        <v>332.82987303199013</v>
      </c>
      <c r="Y204">
        <v>329.85148440333785</v>
      </c>
      <c r="Z204">
        <v>333.20639816252611</v>
      </c>
      <c r="AA204">
        <v>335.09154671373039</v>
      </c>
      <c r="AB204">
        <v>340.09919206161334</v>
      </c>
      <c r="AC204">
        <v>345.83962260549572</v>
      </c>
      <c r="AD204">
        <v>350.70267634322732</v>
      </c>
      <c r="AE204">
        <v>356.42336802446448</v>
      </c>
      <c r="AF204">
        <v>360.36036883377921</v>
      </c>
      <c r="AG204">
        <v>364.38913666537371</v>
      </c>
      <c r="AH204">
        <v>367.46306073624379</v>
      </c>
      <c r="AI204">
        <v>370.06804583364629</v>
      </c>
      <c r="AJ204">
        <v>372.55836104277</v>
      </c>
      <c r="AK204">
        <v>374.56680802584435</v>
      </c>
      <c r="AL204">
        <v>376.79056526405674</v>
      </c>
      <c r="AM204">
        <v>378.93482621760967</v>
      </c>
      <c r="AN204">
        <v>381.35331875538543</v>
      </c>
      <c r="AO204">
        <v>383.98631025446821</v>
      </c>
      <c r="AP204">
        <v>386.71137506573393</v>
      </c>
      <c r="AQ204">
        <v>389.51214658032495</v>
      </c>
      <c r="AR204">
        <v>392.11829690219542</v>
      </c>
      <c r="AS204">
        <v>394.52145296297022</v>
      </c>
      <c r="AT204">
        <v>396.62263362908857</v>
      </c>
      <c r="AU204">
        <v>398.46674152094363</v>
      </c>
      <c r="AV204">
        <v>400.14204209657265</v>
      </c>
      <c r="AW204">
        <v>401.71344764636257</v>
      </c>
      <c r="AX204">
        <v>403.28621025106867</v>
      </c>
      <c r="AY204">
        <v>404.88094913869543</v>
      </c>
      <c r="BA204" s="1">
        <v>-1</v>
      </c>
      <c r="BB204" t="str">
        <f t="shared" si="3"/>
        <v>Pr - Noroeste PR</v>
      </c>
      <c r="BC204" s="3" t="s">
        <v>144</v>
      </c>
      <c r="BD204" s="3" t="s">
        <v>144</v>
      </c>
      <c r="BE204" s="3" t="s">
        <v>144</v>
      </c>
      <c r="BF204" s="3" t="s">
        <v>144</v>
      </c>
      <c r="BG204" s="3" t="s">
        <v>144</v>
      </c>
      <c r="BH204" s="3" t="s">
        <v>144</v>
      </c>
      <c r="BI204" s="3" t="s">
        <v>144</v>
      </c>
      <c r="BJ204" s="3" t="s">
        <v>144</v>
      </c>
      <c r="BK204" s="3" t="s">
        <v>144</v>
      </c>
      <c r="BL204" s="3" t="s">
        <v>144</v>
      </c>
      <c r="BM204" s="3" t="s">
        <v>144</v>
      </c>
      <c r="BN204" s="3" t="s">
        <v>144</v>
      </c>
      <c r="BO204" s="3" t="s">
        <v>144</v>
      </c>
      <c r="BP204" s="3" t="s">
        <v>144</v>
      </c>
      <c r="BQ204" s="3" t="s">
        <v>144</v>
      </c>
      <c r="BR204" s="3" t="s">
        <v>144</v>
      </c>
      <c r="BS204" s="3" t="s">
        <v>144</v>
      </c>
      <c r="BT204" s="3" t="s">
        <v>144</v>
      </c>
      <c r="BU204" s="3" t="s">
        <v>144</v>
      </c>
      <c r="BV204" s="3" t="s">
        <v>144</v>
      </c>
      <c r="BW204" s="3" t="s">
        <v>144</v>
      </c>
      <c r="BX204" s="3" t="s">
        <v>144</v>
      </c>
      <c r="BY204" s="3" t="s">
        <v>144</v>
      </c>
      <c r="BZ204" s="3" t="s">
        <v>144</v>
      </c>
      <c r="CA204" s="3" t="s">
        <v>144</v>
      </c>
      <c r="CB204" s="3" t="s">
        <v>144</v>
      </c>
      <c r="CC204" s="3" t="s">
        <v>144</v>
      </c>
      <c r="CD204" s="3" t="s">
        <v>144</v>
      </c>
      <c r="CE204" s="3" t="s">
        <v>144</v>
      </c>
      <c r="CF204" s="3" t="s">
        <v>144</v>
      </c>
      <c r="CG204" s="3" t="s">
        <v>144</v>
      </c>
      <c r="CH204" s="3" t="s">
        <v>144</v>
      </c>
      <c r="CI204" s="3" t="s">
        <v>144</v>
      </c>
      <c r="CJ204" s="3" t="s">
        <v>144</v>
      </c>
      <c r="CK204" s="3" t="s">
        <v>144</v>
      </c>
      <c r="CL204" s="3" t="s">
        <v>144</v>
      </c>
      <c r="CM204" s="3" t="s">
        <v>144</v>
      </c>
      <c r="CN204" s="3" t="s">
        <v>144</v>
      </c>
      <c r="CO204" s="3" t="s">
        <v>144</v>
      </c>
      <c r="CP204" s="3" t="s">
        <v>144</v>
      </c>
      <c r="CQ204" s="3" t="s">
        <v>144</v>
      </c>
      <c r="CR204" s="3" t="s">
        <v>144</v>
      </c>
      <c r="CS204" s="3" t="s">
        <v>144</v>
      </c>
      <c r="CT204" s="3" t="s">
        <v>144</v>
      </c>
      <c r="CU204" s="3" t="s">
        <v>144</v>
      </c>
      <c r="CV204" s="3" t="s">
        <v>144</v>
      </c>
      <c r="CW204" s="3" t="s">
        <v>144</v>
      </c>
      <c r="CX204" s="3" t="s">
        <v>144</v>
      </c>
      <c r="CY204" s="3" t="s">
        <v>144</v>
      </c>
    </row>
    <row r="205" spans="1:103" x14ac:dyDescent="0.25">
      <c r="A205" t="s">
        <v>105</v>
      </c>
      <c r="B205" t="s">
        <v>4</v>
      </c>
      <c r="C205">
        <v>162.26741728567129</v>
      </c>
      <c r="D205">
        <v>71.423928219464258</v>
      </c>
      <c r="E205">
        <v>22.234086932546351</v>
      </c>
      <c r="F205">
        <v>-7.530500628195675</v>
      </c>
      <c r="G205">
        <v>30.527288796454858</v>
      </c>
      <c r="H205">
        <v>71.355863910554831</v>
      </c>
      <c r="I205">
        <v>66.700114099924122</v>
      </c>
      <c r="J205">
        <v>88.489901028805974</v>
      </c>
      <c r="K205">
        <v>91.766161546459941</v>
      </c>
      <c r="L205">
        <v>103.08608244358139</v>
      </c>
      <c r="M205">
        <v>100.13506811485541</v>
      </c>
      <c r="N205">
        <v>89.663479717634729</v>
      </c>
      <c r="O205">
        <v>86.154058919167767</v>
      </c>
      <c r="P205">
        <v>79.715979025660161</v>
      </c>
      <c r="Q205">
        <v>81.562334582547876</v>
      </c>
      <c r="R205">
        <v>83.151597632230136</v>
      </c>
      <c r="S205">
        <v>88.182809887887387</v>
      </c>
      <c r="T205">
        <v>95.47779086748514</v>
      </c>
      <c r="U205">
        <v>101.65601841630462</v>
      </c>
      <c r="V205">
        <v>108.11587655690582</v>
      </c>
      <c r="W205">
        <v>111.49242347440689</v>
      </c>
      <c r="X205">
        <v>113.6110774141784</v>
      </c>
      <c r="Y205">
        <v>114.01809488610975</v>
      </c>
      <c r="Z205">
        <v>113.42077565539232</v>
      </c>
      <c r="AA205">
        <v>112.96299020818198</v>
      </c>
      <c r="AB205">
        <v>112.62225012880708</v>
      </c>
      <c r="AC205">
        <v>113.38368191105</v>
      </c>
      <c r="AD205">
        <v>114.90199707649789</v>
      </c>
      <c r="AE205">
        <v>117.17989361102768</v>
      </c>
      <c r="AF205">
        <v>119.85833188988173</v>
      </c>
      <c r="AG205">
        <v>122.46163937559143</v>
      </c>
      <c r="AH205">
        <v>124.83026207247498</v>
      </c>
      <c r="AI205">
        <v>126.64394731740272</v>
      </c>
      <c r="AJ205">
        <v>127.95874855880879</v>
      </c>
      <c r="AK205">
        <v>128.81927540261049</v>
      </c>
      <c r="AL205">
        <v>129.39829030200912</v>
      </c>
      <c r="AM205">
        <v>129.9126421765661</v>
      </c>
      <c r="AN205">
        <v>130.49259090518541</v>
      </c>
      <c r="AO205">
        <v>131.27106938396795</v>
      </c>
      <c r="AP205">
        <v>132.25401261644399</v>
      </c>
      <c r="AQ205">
        <v>133.41232863943574</v>
      </c>
      <c r="AR205">
        <v>134.66239430243039</v>
      </c>
      <c r="AS205">
        <v>135.90063214590998</v>
      </c>
      <c r="AT205">
        <v>137.04947817573643</v>
      </c>
      <c r="AU205">
        <v>138.04832020871189</v>
      </c>
      <c r="AV205">
        <v>138.88776864471674</v>
      </c>
      <c r="AW205">
        <v>139.5867354038987</v>
      </c>
      <c r="AX205">
        <v>140.1899474093839</v>
      </c>
      <c r="AY205">
        <v>140.75137094622906</v>
      </c>
      <c r="BA205" s="1">
        <v>1</v>
      </c>
      <c r="BB205" t="str">
        <f t="shared" si="3"/>
        <v>Pr - Centro Ocidental PR</v>
      </c>
      <c r="BC205" s="3">
        <v>203.51289482089084</v>
      </c>
      <c r="BD205" s="3">
        <v>45.636318034129559</v>
      </c>
      <c r="BE205" s="3">
        <v>-42.60762328271494</v>
      </c>
      <c r="BF205" s="3">
        <v>-27.45283033672602</v>
      </c>
      <c r="BG205" s="3">
        <v>-1.5191842430358484</v>
      </c>
      <c r="BH205" s="3">
        <v>30.395035870717713</v>
      </c>
      <c r="BI205" s="3">
        <v>7.2821695837954081</v>
      </c>
      <c r="BJ205" s="3">
        <v>21.829063868906033</v>
      </c>
      <c r="BK205" s="3">
        <v>33.205024492625682</v>
      </c>
      <c r="BL205" s="3">
        <v>37.471487926386544</v>
      </c>
      <c r="BM205" s="3">
        <v>36.495741812165242</v>
      </c>
      <c r="BN205" s="3">
        <v>23.439824013953071</v>
      </c>
      <c r="BO205" s="3">
        <v>20.985974319164498</v>
      </c>
      <c r="BP205" s="3">
        <v>14.679196510719322</v>
      </c>
      <c r="BQ205" s="3">
        <v>11.630239624146313</v>
      </c>
      <c r="BR205" s="3">
        <v>9.1736798865269122</v>
      </c>
      <c r="BS205" s="3">
        <v>7.147873667344129</v>
      </c>
      <c r="BT205" s="3">
        <v>9.1420469707103393</v>
      </c>
      <c r="BU205" s="3">
        <v>10.328412003969746</v>
      </c>
      <c r="BV205" s="3">
        <v>12.886575800782865</v>
      </c>
      <c r="BW205" s="3">
        <v>14.208274798148025</v>
      </c>
      <c r="BX205" s="3">
        <v>14.618609321005053</v>
      </c>
      <c r="BY205" s="3">
        <v>14.268809021720898</v>
      </c>
      <c r="BZ205" s="3">
        <v>12.462527236489677</v>
      </c>
      <c r="CA205" s="3">
        <v>10.494621422484897</v>
      </c>
      <c r="CB205" s="3">
        <v>8.1879570199619565</v>
      </c>
      <c r="CC205" s="3">
        <v>6.4565431778004836</v>
      </c>
      <c r="CD205" s="3">
        <v>5.3916082952481048</v>
      </c>
      <c r="CE205" s="3">
        <v>4.9173750707341526</v>
      </c>
      <c r="CF205" s="3">
        <v>5.044027127096129</v>
      </c>
      <c r="CG205" s="3">
        <v>5.3139643323917909</v>
      </c>
      <c r="CH205" s="3">
        <v>5.6430344853425822</v>
      </c>
      <c r="CI205" s="3">
        <v>5.7447053445502547</v>
      </c>
      <c r="CJ205" s="3">
        <v>5.5618015592914247</v>
      </c>
      <c r="CK205" s="3">
        <v>5.1173916966215103</v>
      </c>
      <c r="CL205" s="3">
        <v>4.4438664064220035</v>
      </c>
      <c r="CM205" s="3">
        <v>3.6951971578419034</v>
      </c>
      <c r="CN205" s="3">
        <v>2.9413651841900474</v>
      </c>
      <c r="CO205" s="3">
        <v>2.2913987336457922</v>
      </c>
      <c r="CP205" s="3">
        <v>1.7897017140803939</v>
      </c>
      <c r="CQ205" s="3">
        <v>1.4437592883008108</v>
      </c>
      <c r="CR205" s="3">
        <v>1.2383005864310803</v>
      </c>
      <c r="CS205" s="3">
        <v>1.1124189135456675</v>
      </c>
      <c r="CT205" s="3">
        <v>1.0152052763514234</v>
      </c>
      <c r="CU205" s="3">
        <v>0.88856608595114039</v>
      </c>
      <c r="CV205" s="3">
        <v>0.69971935257203199</v>
      </c>
      <c r="CW205" s="3">
        <v>0.43961293101364163</v>
      </c>
      <c r="CX205" s="3">
        <v>0.11889121256106705</v>
      </c>
      <c r="CY205" s="3">
        <v>-0.23164868968282804</v>
      </c>
    </row>
    <row r="206" spans="1:103" x14ac:dyDescent="0.25">
      <c r="A206" t="s">
        <v>105</v>
      </c>
      <c r="B206" t="s">
        <v>5</v>
      </c>
      <c r="C206">
        <v>-41.245477535219536</v>
      </c>
      <c r="D206">
        <v>25.787610185334696</v>
      </c>
      <c r="E206">
        <v>64.841710215261287</v>
      </c>
      <c r="F206">
        <v>19.922329708530345</v>
      </c>
      <c r="G206">
        <v>32.046473039490706</v>
      </c>
      <c r="H206">
        <v>40.960828039837118</v>
      </c>
      <c r="I206">
        <v>59.417944516128713</v>
      </c>
      <c r="J206">
        <v>66.660837159899941</v>
      </c>
      <c r="K206">
        <v>58.561137053834258</v>
      </c>
      <c r="L206">
        <v>65.614594517194845</v>
      </c>
      <c r="M206">
        <v>63.639326302690172</v>
      </c>
      <c r="N206">
        <v>66.223655703681658</v>
      </c>
      <c r="O206">
        <v>65.168084600003269</v>
      </c>
      <c r="P206">
        <v>65.036782514940839</v>
      </c>
      <c r="Q206">
        <v>69.932094958401564</v>
      </c>
      <c r="R206">
        <v>73.977917745703223</v>
      </c>
      <c r="S206">
        <v>81.034936220543258</v>
      </c>
      <c r="T206">
        <v>86.335743896774801</v>
      </c>
      <c r="U206">
        <v>91.327606412334873</v>
      </c>
      <c r="V206">
        <v>95.229300756122953</v>
      </c>
      <c r="W206">
        <v>97.284148676258866</v>
      </c>
      <c r="X206">
        <v>98.992468093173343</v>
      </c>
      <c r="Y206">
        <v>99.749285864388852</v>
      </c>
      <c r="Z206">
        <v>100.95824841890264</v>
      </c>
      <c r="AA206">
        <v>102.46836878569708</v>
      </c>
      <c r="AB206">
        <v>104.43429310884513</v>
      </c>
      <c r="AC206">
        <v>106.92713873324952</v>
      </c>
      <c r="AD206">
        <v>109.51038878124979</v>
      </c>
      <c r="AE206">
        <v>112.26251854029353</v>
      </c>
      <c r="AF206">
        <v>114.8143047627856</v>
      </c>
      <c r="AG206">
        <v>117.14767504319964</v>
      </c>
      <c r="AH206">
        <v>119.1872275871324</v>
      </c>
      <c r="AI206">
        <v>120.89924197285247</v>
      </c>
      <c r="AJ206">
        <v>122.39694699951737</v>
      </c>
      <c r="AK206">
        <v>123.70188370598898</v>
      </c>
      <c r="AL206">
        <v>124.95442389558711</v>
      </c>
      <c r="AM206">
        <v>126.21744501872419</v>
      </c>
      <c r="AN206">
        <v>127.55122572099536</v>
      </c>
      <c r="AO206">
        <v>128.97967065032216</v>
      </c>
      <c r="AP206">
        <v>130.46431090236359</v>
      </c>
      <c r="AQ206">
        <v>131.96856935113493</v>
      </c>
      <c r="AR206">
        <v>133.42409371599931</v>
      </c>
      <c r="AS206">
        <v>134.78821323236431</v>
      </c>
      <c r="AT206">
        <v>136.034272899385</v>
      </c>
      <c r="AU206">
        <v>137.15975412276075</v>
      </c>
      <c r="AV206">
        <v>138.18804929214471</v>
      </c>
      <c r="AW206">
        <v>139.14712247288506</v>
      </c>
      <c r="AX206">
        <v>140.07105619682284</v>
      </c>
      <c r="AY206">
        <v>140.98301963591189</v>
      </c>
      <c r="BA206" s="1">
        <v>-1</v>
      </c>
      <c r="BB206" t="str">
        <f t="shared" si="3"/>
        <v>Pr - Centro Ocidental PR</v>
      </c>
      <c r="BC206" s="3" t="s">
        <v>144</v>
      </c>
      <c r="BD206" s="3" t="s">
        <v>144</v>
      </c>
      <c r="BE206" s="3" t="s">
        <v>144</v>
      </c>
      <c r="BF206" s="3" t="s">
        <v>144</v>
      </c>
      <c r="BG206" s="3" t="s">
        <v>144</v>
      </c>
      <c r="BH206" s="3" t="s">
        <v>144</v>
      </c>
      <c r="BI206" s="3" t="s">
        <v>144</v>
      </c>
      <c r="BJ206" s="3" t="s">
        <v>144</v>
      </c>
      <c r="BK206" s="3" t="s">
        <v>144</v>
      </c>
      <c r="BL206" s="3" t="s">
        <v>144</v>
      </c>
      <c r="BM206" s="3" t="s">
        <v>144</v>
      </c>
      <c r="BN206" s="3" t="s">
        <v>144</v>
      </c>
      <c r="BO206" s="3" t="s">
        <v>144</v>
      </c>
      <c r="BP206" s="3" t="s">
        <v>144</v>
      </c>
      <c r="BQ206" s="3" t="s">
        <v>144</v>
      </c>
      <c r="BR206" s="3" t="s">
        <v>144</v>
      </c>
      <c r="BS206" s="3" t="s">
        <v>144</v>
      </c>
      <c r="BT206" s="3" t="s">
        <v>144</v>
      </c>
      <c r="BU206" s="3" t="s">
        <v>144</v>
      </c>
      <c r="BV206" s="3" t="s">
        <v>144</v>
      </c>
      <c r="BW206" s="3" t="s">
        <v>144</v>
      </c>
      <c r="BX206" s="3" t="s">
        <v>144</v>
      </c>
      <c r="BY206" s="3" t="s">
        <v>144</v>
      </c>
      <c r="BZ206" s="3" t="s">
        <v>144</v>
      </c>
      <c r="CA206" s="3" t="s">
        <v>144</v>
      </c>
      <c r="CB206" s="3" t="s">
        <v>144</v>
      </c>
      <c r="CC206" s="3" t="s">
        <v>144</v>
      </c>
      <c r="CD206" s="3" t="s">
        <v>144</v>
      </c>
      <c r="CE206" s="3" t="s">
        <v>144</v>
      </c>
      <c r="CF206" s="3" t="s">
        <v>144</v>
      </c>
      <c r="CG206" s="3" t="s">
        <v>144</v>
      </c>
      <c r="CH206" s="3" t="s">
        <v>144</v>
      </c>
      <c r="CI206" s="3" t="s">
        <v>144</v>
      </c>
      <c r="CJ206" s="3" t="s">
        <v>144</v>
      </c>
      <c r="CK206" s="3" t="s">
        <v>144</v>
      </c>
      <c r="CL206" s="3" t="s">
        <v>144</v>
      </c>
      <c r="CM206" s="3" t="s">
        <v>144</v>
      </c>
      <c r="CN206" s="3" t="s">
        <v>144</v>
      </c>
      <c r="CO206" s="3" t="s">
        <v>144</v>
      </c>
      <c r="CP206" s="3" t="s">
        <v>144</v>
      </c>
      <c r="CQ206" s="3" t="s">
        <v>144</v>
      </c>
      <c r="CR206" s="3" t="s">
        <v>144</v>
      </c>
      <c r="CS206" s="3" t="s">
        <v>144</v>
      </c>
      <c r="CT206" s="3" t="s">
        <v>144</v>
      </c>
      <c r="CU206" s="3" t="s">
        <v>144</v>
      </c>
      <c r="CV206" s="3" t="s">
        <v>144</v>
      </c>
      <c r="CW206" s="3" t="s">
        <v>144</v>
      </c>
      <c r="CX206" s="3" t="s">
        <v>144</v>
      </c>
      <c r="CY206" s="3" t="s">
        <v>144</v>
      </c>
    </row>
    <row r="207" spans="1:103" x14ac:dyDescent="0.25">
      <c r="A207" t="s">
        <v>106</v>
      </c>
      <c r="B207" t="s">
        <v>4</v>
      </c>
      <c r="C207">
        <v>2155.3021575583994</v>
      </c>
      <c r="D207">
        <v>1161.1964588460626</v>
      </c>
      <c r="E207">
        <v>822.30333503270879</v>
      </c>
      <c r="F207">
        <v>880.99508029078072</v>
      </c>
      <c r="G207">
        <v>829.33898687864769</v>
      </c>
      <c r="H207">
        <v>1490.5544123400668</v>
      </c>
      <c r="I207">
        <v>1335.0437047394207</v>
      </c>
      <c r="J207">
        <v>1629.1616674098832</v>
      </c>
      <c r="K207">
        <v>1646.9840324850293</v>
      </c>
      <c r="L207">
        <v>1652.5564473489073</v>
      </c>
      <c r="M207">
        <v>1669.9382707091734</v>
      </c>
      <c r="N207">
        <v>1473.8674416741528</v>
      </c>
      <c r="O207">
        <v>1436.2916773595211</v>
      </c>
      <c r="P207">
        <v>1323.8419854597405</v>
      </c>
      <c r="Q207">
        <v>1316.2356144468774</v>
      </c>
      <c r="R207">
        <v>1340.8451393380776</v>
      </c>
      <c r="S207">
        <v>1374.4796254207656</v>
      </c>
      <c r="T207">
        <v>1461.4820989203522</v>
      </c>
      <c r="U207">
        <v>1510.9518435791308</v>
      </c>
      <c r="V207">
        <v>1568.6621277493198</v>
      </c>
      <c r="W207">
        <v>1588.5675622804633</v>
      </c>
      <c r="X207">
        <v>1587.3366889804238</v>
      </c>
      <c r="Y207">
        <v>1575.2834239844694</v>
      </c>
      <c r="Z207">
        <v>1547.5483717194193</v>
      </c>
      <c r="AA207">
        <v>1529.0689032294845</v>
      </c>
      <c r="AB207">
        <v>1512.2603480779687</v>
      </c>
      <c r="AC207">
        <v>1509.2410050998312</v>
      </c>
      <c r="AD207">
        <v>1516.6263285174928</v>
      </c>
      <c r="AE207">
        <v>1530.9197350186703</v>
      </c>
      <c r="AF207">
        <v>1551.1862097696014</v>
      </c>
      <c r="AG207">
        <v>1569.3699262926516</v>
      </c>
      <c r="AH207">
        <v>1585.2028345150909</v>
      </c>
      <c r="AI207">
        <v>1594.6982239914398</v>
      </c>
      <c r="AJ207">
        <v>1598.2971120891241</v>
      </c>
      <c r="AK207">
        <v>1597.384170673731</v>
      </c>
      <c r="AL207">
        <v>1593.3621979836294</v>
      </c>
      <c r="AM207">
        <v>1589.4756640531923</v>
      </c>
      <c r="AN207">
        <v>1586.9739316342918</v>
      </c>
      <c r="AO207">
        <v>1587.4485945107178</v>
      </c>
      <c r="AP207">
        <v>1590.9065420689435</v>
      </c>
      <c r="AQ207">
        <v>1596.646619525897</v>
      </c>
      <c r="AR207">
        <v>1603.6882868376088</v>
      </c>
      <c r="AS207">
        <v>1610.5818232703355</v>
      </c>
      <c r="AT207">
        <v>1616.4801793117151</v>
      </c>
      <c r="AU207">
        <v>1620.7178548979098</v>
      </c>
      <c r="AV207">
        <v>1623.2659589071225</v>
      </c>
      <c r="AW207">
        <v>1624.4803042636195</v>
      </c>
      <c r="AX207">
        <v>1624.905149308154</v>
      </c>
      <c r="AY207">
        <v>1625.2156058937394</v>
      </c>
      <c r="BA207" s="1">
        <v>1</v>
      </c>
      <c r="BB207" t="str">
        <f t="shared" si="3"/>
        <v>Pr - Norte Central PR</v>
      </c>
      <c r="BC207" s="3">
        <v>2128.2412395391839</v>
      </c>
      <c r="BD207" s="3">
        <v>590.89925316595179</v>
      </c>
      <c r="BE207" s="3">
        <v>-497.49326364875253</v>
      </c>
      <c r="BF207" s="3">
        <v>288.40565327410218</v>
      </c>
      <c r="BG207" s="3">
        <v>-130.35730333974891</v>
      </c>
      <c r="BH207" s="3">
        <v>522.24518373922388</v>
      </c>
      <c r="BI207" s="3">
        <v>151.8673115753727</v>
      </c>
      <c r="BJ207" s="3">
        <v>308.49907199068207</v>
      </c>
      <c r="BK207" s="3">
        <v>459.41918644717884</v>
      </c>
      <c r="BL207" s="3">
        <v>330.46167050628901</v>
      </c>
      <c r="BM207" s="3">
        <v>425.10945252573083</v>
      </c>
      <c r="BN207" s="3">
        <v>204.49324256698742</v>
      </c>
      <c r="BO207" s="3">
        <v>209.65515174300822</v>
      </c>
      <c r="BP207" s="3">
        <v>139.4333783171835</v>
      </c>
      <c r="BQ207" s="3">
        <v>92.803848766569445</v>
      </c>
      <c r="BR207" s="3">
        <v>107.78564069278877</v>
      </c>
      <c r="BS207" s="3">
        <v>68.231464414171342</v>
      </c>
      <c r="BT207" s="3">
        <v>108.23968593078303</v>
      </c>
      <c r="BU207" s="3">
        <v>105.61741504690372</v>
      </c>
      <c r="BV207" s="3">
        <v>120.91771746337645</v>
      </c>
      <c r="BW207" s="3">
        <v>125.91584201342357</v>
      </c>
      <c r="BX207" s="3">
        <v>110.43323790436625</v>
      </c>
      <c r="BY207" s="3">
        <v>102.75416087928738</v>
      </c>
      <c r="BZ207" s="3">
        <v>73.674073401132091</v>
      </c>
      <c r="CA207" s="3">
        <v>52.688414607047662</v>
      </c>
      <c r="CB207" s="3">
        <v>28.571449299522328</v>
      </c>
      <c r="CC207" s="3">
        <v>9.9816707383390622</v>
      </c>
      <c r="CD207" s="3">
        <v>0.41800716461557386</v>
      </c>
      <c r="CE207" s="3">
        <v>-7.1591265932790975</v>
      </c>
      <c r="CF207" s="3">
        <v>-7.5237223026974789</v>
      </c>
      <c r="CG207" s="3">
        <v>-8.9562685020630397</v>
      </c>
      <c r="CH207" s="3">
        <v>-10.138010250486332</v>
      </c>
      <c r="CI207" s="3">
        <v>-13.71591262901029</v>
      </c>
      <c r="CJ207" s="3">
        <v>-20.694380840417352</v>
      </c>
      <c r="CK207" s="3">
        <v>-29.178607050491109</v>
      </c>
      <c r="CL207" s="3">
        <v>-39.812632782969786</v>
      </c>
      <c r="CM207" s="3">
        <v>-50.101689218279034</v>
      </c>
      <c r="CN207" s="3">
        <v>-59.83897674062473</v>
      </c>
      <c r="CO207" s="3">
        <v>-68.112588498791411</v>
      </c>
      <c r="CP207" s="3">
        <v>-74.56977475279291</v>
      </c>
      <c r="CQ207" s="3">
        <v>-79.710269444444975</v>
      </c>
      <c r="CR207" s="3">
        <v>-83.595245006698178</v>
      </c>
      <c r="CS207" s="3">
        <v>-87.085764417456176</v>
      </c>
      <c r="CT207" s="3">
        <v>-90.530799990717469</v>
      </c>
      <c r="CU207" s="3">
        <v>-94.372271268943223</v>
      </c>
      <c r="CV207" s="3">
        <v>-98.815469814093603</v>
      </c>
      <c r="CW207" s="3">
        <v>-103.74395993241023</v>
      </c>
      <c r="CX207" s="3">
        <v>-109.03849370922171</v>
      </c>
      <c r="CY207" s="3">
        <v>-114.33996486120895</v>
      </c>
    </row>
    <row r="208" spans="1:103" x14ac:dyDescent="0.25">
      <c r="A208" t="s">
        <v>106</v>
      </c>
      <c r="B208" t="s">
        <v>5</v>
      </c>
      <c r="C208">
        <v>27.060918019215439</v>
      </c>
      <c r="D208">
        <v>570.29720568011078</v>
      </c>
      <c r="E208">
        <v>1319.7965986814613</v>
      </c>
      <c r="F208">
        <v>592.58942701667854</v>
      </c>
      <c r="G208">
        <v>959.6962902183966</v>
      </c>
      <c r="H208">
        <v>968.30922860084297</v>
      </c>
      <c r="I208">
        <v>1183.176393164048</v>
      </c>
      <c r="J208">
        <v>1320.6625954192011</v>
      </c>
      <c r="K208">
        <v>1187.5648460378504</v>
      </c>
      <c r="L208">
        <v>1322.0947768426183</v>
      </c>
      <c r="M208">
        <v>1244.8288181834425</v>
      </c>
      <c r="N208">
        <v>1269.3741991071654</v>
      </c>
      <c r="O208">
        <v>1226.6365256165129</v>
      </c>
      <c r="P208">
        <v>1184.408607142557</v>
      </c>
      <c r="Q208">
        <v>1223.431765680308</v>
      </c>
      <c r="R208">
        <v>1233.0594986452888</v>
      </c>
      <c r="S208">
        <v>1306.2481610065943</v>
      </c>
      <c r="T208">
        <v>1353.2424129895692</v>
      </c>
      <c r="U208">
        <v>1405.3344285322271</v>
      </c>
      <c r="V208">
        <v>1447.7444102859433</v>
      </c>
      <c r="W208">
        <v>1462.6517202670398</v>
      </c>
      <c r="X208">
        <v>1476.9034510760575</v>
      </c>
      <c r="Y208">
        <v>1472.5292631051821</v>
      </c>
      <c r="Z208">
        <v>1473.8742983182872</v>
      </c>
      <c r="AA208">
        <v>1476.3804886224368</v>
      </c>
      <c r="AB208">
        <v>1483.6888987784464</v>
      </c>
      <c r="AC208">
        <v>1499.2593343614922</v>
      </c>
      <c r="AD208">
        <v>1516.2083213528772</v>
      </c>
      <c r="AE208">
        <v>1538.0788616119494</v>
      </c>
      <c r="AF208">
        <v>1558.7099320722989</v>
      </c>
      <c r="AG208">
        <v>1578.3261947947146</v>
      </c>
      <c r="AH208">
        <v>1595.3408447655772</v>
      </c>
      <c r="AI208">
        <v>1608.4141366204501</v>
      </c>
      <c r="AJ208">
        <v>1618.9914929295414</v>
      </c>
      <c r="AK208">
        <v>1626.5627777242221</v>
      </c>
      <c r="AL208">
        <v>1633.1748307665991</v>
      </c>
      <c r="AM208">
        <v>1639.5773532714713</v>
      </c>
      <c r="AN208">
        <v>1646.8129083749166</v>
      </c>
      <c r="AO208">
        <v>1655.5611830095093</v>
      </c>
      <c r="AP208">
        <v>1665.4763168217364</v>
      </c>
      <c r="AQ208">
        <v>1676.356888970342</v>
      </c>
      <c r="AR208">
        <v>1687.2835318443069</v>
      </c>
      <c r="AS208">
        <v>1697.6675876877916</v>
      </c>
      <c r="AT208">
        <v>1707.0109793024326</v>
      </c>
      <c r="AU208">
        <v>1715.090126166853</v>
      </c>
      <c r="AV208">
        <v>1722.0814287212161</v>
      </c>
      <c r="AW208">
        <v>1728.2242641960297</v>
      </c>
      <c r="AX208">
        <v>1733.9436430173757</v>
      </c>
      <c r="AY208">
        <v>1739.5555707549483</v>
      </c>
      <c r="BA208" s="1">
        <v>-1</v>
      </c>
      <c r="BB208" t="str">
        <f t="shared" si="3"/>
        <v>Pr - Norte Central PR</v>
      </c>
      <c r="BC208" s="3" t="s">
        <v>144</v>
      </c>
      <c r="BD208" s="3" t="s">
        <v>144</v>
      </c>
      <c r="BE208" s="3" t="s">
        <v>144</v>
      </c>
      <c r="BF208" s="3" t="s">
        <v>144</v>
      </c>
      <c r="BG208" s="3" t="s">
        <v>144</v>
      </c>
      <c r="BH208" s="3" t="s">
        <v>144</v>
      </c>
      <c r="BI208" s="3" t="s">
        <v>144</v>
      </c>
      <c r="BJ208" s="3" t="s">
        <v>144</v>
      </c>
      <c r="BK208" s="3" t="s">
        <v>144</v>
      </c>
      <c r="BL208" s="3" t="s">
        <v>144</v>
      </c>
      <c r="BM208" s="3" t="s">
        <v>144</v>
      </c>
      <c r="BN208" s="3" t="s">
        <v>144</v>
      </c>
      <c r="BO208" s="3" t="s">
        <v>144</v>
      </c>
      <c r="BP208" s="3" t="s">
        <v>144</v>
      </c>
      <c r="BQ208" s="3" t="s">
        <v>144</v>
      </c>
      <c r="BR208" s="3" t="s">
        <v>144</v>
      </c>
      <c r="BS208" s="3" t="s">
        <v>144</v>
      </c>
      <c r="BT208" s="3" t="s">
        <v>144</v>
      </c>
      <c r="BU208" s="3" t="s">
        <v>144</v>
      </c>
      <c r="BV208" s="3" t="s">
        <v>144</v>
      </c>
      <c r="BW208" s="3" t="s">
        <v>144</v>
      </c>
      <c r="BX208" s="3" t="s">
        <v>144</v>
      </c>
      <c r="BY208" s="3" t="s">
        <v>144</v>
      </c>
      <c r="BZ208" s="3" t="s">
        <v>144</v>
      </c>
      <c r="CA208" s="3" t="s">
        <v>144</v>
      </c>
      <c r="CB208" s="3" t="s">
        <v>144</v>
      </c>
      <c r="CC208" s="3" t="s">
        <v>144</v>
      </c>
      <c r="CD208" s="3" t="s">
        <v>144</v>
      </c>
      <c r="CE208" s="3" t="s">
        <v>144</v>
      </c>
      <c r="CF208" s="3" t="s">
        <v>144</v>
      </c>
      <c r="CG208" s="3" t="s">
        <v>144</v>
      </c>
      <c r="CH208" s="3" t="s">
        <v>144</v>
      </c>
      <c r="CI208" s="3" t="s">
        <v>144</v>
      </c>
      <c r="CJ208" s="3" t="s">
        <v>144</v>
      </c>
      <c r="CK208" s="3" t="s">
        <v>144</v>
      </c>
      <c r="CL208" s="3" t="s">
        <v>144</v>
      </c>
      <c r="CM208" s="3" t="s">
        <v>144</v>
      </c>
      <c r="CN208" s="3" t="s">
        <v>144</v>
      </c>
      <c r="CO208" s="3" t="s">
        <v>144</v>
      </c>
      <c r="CP208" s="3" t="s">
        <v>144</v>
      </c>
      <c r="CQ208" s="3" t="s">
        <v>144</v>
      </c>
      <c r="CR208" s="3" t="s">
        <v>144</v>
      </c>
      <c r="CS208" s="3" t="s">
        <v>144</v>
      </c>
      <c r="CT208" s="3" t="s">
        <v>144</v>
      </c>
      <c r="CU208" s="3" t="s">
        <v>144</v>
      </c>
      <c r="CV208" s="3" t="s">
        <v>144</v>
      </c>
      <c r="CW208" s="3" t="s">
        <v>144</v>
      </c>
      <c r="CX208" s="3" t="s">
        <v>144</v>
      </c>
      <c r="CY208" s="3" t="s">
        <v>144</v>
      </c>
    </row>
    <row r="209" spans="1:103" x14ac:dyDescent="0.25">
      <c r="A209" t="s">
        <v>107</v>
      </c>
      <c r="B209" t="s">
        <v>4</v>
      </c>
      <c r="C209">
        <v>234.59469655763817</v>
      </c>
      <c r="D209">
        <v>87.872947927024001</v>
      </c>
      <c r="E209">
        <v>-26.078775316368858</v>
      </c>
      <c r="F209">
        <v>-18.182132616428881</v>
      </c>
      <c r="G209">
        <v>-59.16962430298905</v>
      </c>
      <c r="H209">
        <v>22.605033815489417</v>
      </c>
      <c r="I209">
        <v>26.624303095749269</v>
      </c>
      <c r="J209">
        <v>80.471443683709154</v>
      </c>
      <c r="K209">
        <v>118.50220603103557</v>
      </c>
      <c r="L209">
        <v>131.73198159291601</v>
      </c>
      <c r="M209">
        <v>142.92051582631063</v>
      </c>
      <c r="N209">
        <v>115.37019247317636</v>
      </c>
      <c r="O209">
        <v>99.053756896286842</v>
      </c>
      <c r="P209">
        <v>73.063880769081365</v>
      </c>
      <c r="Q209">
        <v>54.025326173598849</v>
      </c>
      <c r="R209">
        <v>43.323002294922162</v>
      </c>
      <c r="S209">
        <v>35.710788167690403</v>
      </c>
      <c r="T209">
        <v>40.806999243708788</v>
      </c>
      <c r="U209">
        <v>47.195973179155587</v>
      </c>
      <c r="V209">
        <v>57.762928051039154</v>
      </c>
      <c r="W209">
        <v>66.281596469305356</v>
      </c>
      <c r="X209">
        <v>70.643775056980971</v>
      </c>
      <c r="Y209">
        <v>71.436889886554397</v>
      </c>
      <c r="Z209">
        <v>66.724546686280021</v>
      </c>
      <c r="AA209">
        <v>59.999390582641809</v>
      </c>
      <c r="AB209">
        <v>51.826159902991392</v>
      </c>
      <c r="AC209">
        <v>44.770063848948269</v>
      </c>
      <c r="AD209">
        <v>40.062021275126533</v>
      </c>
      <c r="AE209">
        <v>37.739624416981691</v>
      </c>
      <c r="AF209">
        <v>37.960652134441006</v>
      </c>
      <c r="AG209">
        <v>39.403133148746264</v>
      </c>
      <c r="AH209">
        <v>41.383209274602997</v>
      </c>
      <c r="AI209">
        <v>42.873396979597707</v>
      </c>
      <c r="AJ209">
        <v>43.319742196400107</v>
      </c>
      <c r="AK209">
        <v>42.630548399038773</v>
      </c>
      <c r="AL209">
        <v>40.844583752018778</v>
      </c>
      <c r="AM209">
        <v>38.446895147086501</v>
      </c>
      <c r="AN209">
        <v>35.825590802132382</v>
      </c>
      <c r="AO209">
        <v>33.437987553740477</v>
      </c>
      <c r="AP209">
        <v>31.580388295605346</v>
      </c>
      <c r="AQ209">
        <v>30.3583783988569</v>
      </c>
      <c r="AR209">
        <v>29.754203281357235</v>
      </c>
      <c r="AS209">
        <v>29.568200799315974</v>
      </c>
      <c r="AT209">
        <v>29.576234722019468</v>
      </c>
      <c r="AU209">
        <v>29.534334394856081</v>
      </c>
      <c r="AV209">
        <v>29.268338373950588</v>
      </c>
      <c r="AW209">
        <v>28.703638251110192</v>
      </c>
      <c r="AX209">
        <v>27.852705372183006</v>
      </c>
      <c r="AY209">
        <v>26.814722829409121</v>
      </c>
      <c r="BA209" s="1">
        <v>1</v>
      </c>
      <c r="BB209" t="str">
        <f t="shared" si="3"/>
        <v>Pr - Norte Pioneiro PR</v>
      </c>
      <c r="BC209" s="3">
        <v>329.94237310925564</v>
      </c>
      <c r="BD209" s="3">
        <v>6.1653328883681553</v>
      </c>
      <c r="BE209" s="3">
        <v>-311.0633341880515</v>
      </c>
      <c r="BF209" s="3">
        <v>-146.96484803629795</v>
      </c>
      <c r="BG209" s="3">
        <v>-202.99517330183198</v>
      </c>
      <c r="BH209" s="3">
        <v>-121.62289751564465</v>
      </c>
      <c r="BI209" s="3">
        <v>-134.24873662814019</v>
      </c>
      <c r="BJ209" s="3">
        <v>-80.945804708527461</v>
      </c>
      <c r="BK209" s="3">
        <v>10.727846515378516</v>
      </c>
      <c r="BL209" s="3">
        <v>16.582303485158448</v>
      </c>
      <c r="BM209" s="3">
        <v>41.496877778469369</v>
      </c>
      <c r="BN209" s="3">
        <v>11.217040949712185</v>
      </c>
      <c r="BO209" s="3">
        <v>-1.9991305282833167</v>
      </c>
      <c r="BP209" s="3">
        <v>-22.451183879415964</v>
      </c>
      <c r="BQ209" s="3">
        <v>-51.226718962305533</v>
      </c>
      <c r="BR209" s="3">
        <v>-63.969203757848959</v>
      </c>
      <c r="BS209" s="3">
        <v>-79.82834624546058</v>
      </c>
      <c r="BT209" s="3">
        <v>-76.006267176520041</v>
      </c>
      <c r="BU209" s="3">
        <v>-68.566687695225355</v>
      </c>
      <c r="BV209" s="3">
        <v>-55.694449820038344</v>
      </c>
      <c r="BW209" s="3">
        <v>-40.901491229206243</v>
      </c>
      <c r="BX209" s="3">
        <v>-32.271319611688668</v>
      </c>
      <c r="BY209" s="3">
        <v>-26.643104692583705</v>
      </c>
      <c r="BZ209" s="3">
        <v>-29.378988135068411</v>
      </c>
      <c r="CA209" s="3">
        <v>-35.880358124613835</v>
      </c>
      <c r="CB209" s="3">
        <v>-44.776347593443944</v>
      </c>
      <c r="CC209" s="3">
        <v>-53.521953099497281</v>
      </c>
      <c r="CD209" s="3">
        <v>-59.170971586437069</v>
      </c>
      <c r="CE209" s="3">
        <v>-62.203017143911275</v>
      </c>
      <c r="CF209" s="3">
        <v>-61.744856721097122</v>
      </c>
      <c r="CG209" s="3">
        <v>-59.441414732738238</v>
      </c>
      <c r="CH209" s="3">
        <v>-56.228726497992604</v>
      </c>
      <c r="CI209" s="3">
        <v>-53.194836646946534</v>
      </c>
      <c r="CJ209" s="3">
        <v>-51.363876162135178</v>
      </c>
      <c r="CK209" s="3">
        <v>-50.792870553304908</v>
      </c>
      <c r="CL209" s="3">
        <v>-51.682507393192765</v>
      </c>
      <c r="CM209" s="3">
        <v>-53.528950395549593</v>
      </c>
      <c r="CN209" s="3">
        <v>-55.894436723952353</v>
      </c>
      <c r="CO209" s="3">
        <v>-58.262240128553707</v>
      </c>
      <c r="CP209" s="3">
        <v>-60.141097786780477</v>
      </c>
      <c r="CQ209" s="3">
        <v>-61.336932887822428</v>
      </c>
      <c r="CR209" s="3">
        <v>-61.742287343891277</v>
      </c>
      <c r="CS209" s="3">
        <v>-61.535638033000083</v>
      </c>
      <c r="CT209" s="3">
        <v>-60.973102644600985</v>
      </c>
      <c r="CU209" s="3">
        <v>-60.362366213989951</v>
      </c>
      <c r="CV209" s="3">
        <v>-59.979793464071264</v>
      </c>
      <c r="CW209" s="3">
        <v>-59.965573101473609</v>
      </c>
      <c r="CX209" s="3">
        <v>-60.357998238672138</v>
      </c>
      <c r="CY209" s="3">
        <v>-61.061405634118145</v>
      </c>
    </row>
    <row r="210" spans="1:103" x14ac:dyDescent="0.25">
      <c r="A210" t="s">
        <v>107</v>
      </c>
      <c r="B210" t="s">
        <v>5</v>
      </c>
      <c r="C210">
        <v>-95.34767655161744</v>
      </c>
      <c r="D210">
        <v>81.707615038655845</v>
      </c>
      <c r="E210">
        <v>284.98455887168262</v>
      </c>
      <c r="F210">
        <v>128.78271541986908</v>
      </c>
      <c r="G210">
        <v>143.82554899884292</v>
      </c>
      <c r="H210">
        <v>144.22793133113407</v>
      </c>
      <c r="I210">
        <v>160.87303972388946</v>
      </c>
      <c r="J210">
        <v>161.41724839223662</v>
      </c>
      <c r="K210">
        <v>107.77435951565705</v>
      </c>
      <c r="L210">
        <v>115.14967810775757</v>
      </c>
      <c r="M210">
        <v>101.42363804784127</v>
      </c>
      <c r="N210">
        <v>104.15315152346417</v>
      </c>
      <c r="O210">
        <v>101.05288742457016</v>
      </c>
      <c r="P210">
        <v>95.515064648497329</v>
      </c>
      <c r="Q210">
        <v>105.25204513590438</v>
      </c>
      <c r="R210">
        <v>107.29220605277112</v>
      </c>
      <c r="S210">
        <v>115.53913441315098</v>
      </c>
      <c r="T210">
        <v>116.81326642022883</v>
      </c>
      <c r="U210">
        <v>115.76266087438094</v>
      </c>
      <c r="V210">
        <v>113.4573778710775</v>
      </c>
      <c r="W210">
        <v>107.1830876985116</v>
      </c>
      <c r="X210">
        <v>102.91509466866964</v>
      </c>
      <c r="Y210">
        <v>98.079994579138102</v>
      </c>
      <c r="Z210">
        <v>96.103534821348433</v>
      </c>
      <c r="AA210">
        <v>95.879748707255644</v>
      </c>
      <c r="AB210">
        <v>96.602507496435337</v>
      </c>
      <c r="AC210">
        <v>98.29201694844555</v>
      </c>
      <c r="AD210">
        <v>99.232992861563602</v>
      </c>
      <c r="AE210">
        <v>99.942641560892966</v>
      </c>
      <c r="AF210">
        <v>99.705508855538127</v>
      </c>
      <c r="AG210">
        <v>98.844547881484502</v>
      </c>
      <c r="AH210">
        <v>97.611935772595601</v>
      </c>
      <c r="AI210">
        <v>96.068233626544242</v>
      </c>
      <c r="AJ210">
        <v>94.683618358535284</v>
      </c>
      <c r="AK210">
        <v>93.423418952343681</v>
      </c>
      <c r="AL210">
        <v>92.527091145211543</v>
      </c>
      <c r="AM210">
        <v>91.975845542636094</v>
      </c>
      <c r="AN210">
        <v>91.720027526084735</v>
      </c>
      <c r="AO210">
        <v>91.700227682294184</v>
      </c>
      <c r="AP210">
        <v>91.721486082385823</v>
      </c>
      <c r="AQ210">
        <v>91.695311286679328</v>
      </c>
      <c r="AR210">
        <v>91.496490625248512</v>
      </c>
      <c r="AS210">
        <v>91.103838832316058</v>
      </c>
      <c r="AT210">
        <v>90.549337366620449</v>
      </c>
      <c r="AU210">
        <v>89.896700608846032</v>
      </c>
      <c r="AV210">
        <v>89.248131838021848</v>
      </c>
      <c r="AW210">
        <v>88.669211352583801</v>
      </c>
      <c r="AX210">
        <v>88.210703610855148</v>
      </c>
      <c r="AY210">
        <v>87.876128463527266</v>
      </c>
      <c r="BA210" s="1">
        <v>-1</v>
      </c>
      <c r="BB210" t="str">
        <f t="shared" si="3"/>
        <v>Pr - Norte Pioneiro PR</v>
      </c>
      <c r="BC210" s="3" t="s">
        <v>144</v>
      </c>
      <c r="BD210" s="3" t="s">
        <v>144</v>
      </c>
      <c r="BE210" s="3" t="s">
        <v>144</v>
      </c>
      <c r="BF210" s="3" t="s">
        <v>144</v>
      </c>
      <c r="BG210" s="3" t="s">
        <v>144</v>
      </c>
      <c r="BH210" s="3" t="s">
        <v>144</v>
      </c>
      <c r="BI210" s="3" t="s">
        <v>144</v>
      </c>
      <c r="BJ210" s="3" t="s">
        <v>144</v>
      </c>
      <c r="BK210" s="3" t="s">
        <v>144</v>
      </c>
      <c r="BL210" s="3" t="s">
        <v>144</v>
      </c>
      <c r="BM210" s="3" t="s">
        <v>144</v>
      </c>
      <c r="BN210" s="3" t="s">
        <v>144</v>
      </c>
      <c r="BO210" s="3" t="s">
        <v>144</v>
      </c>
      <c r="BP210" s="3" t="s">
        <v>144</v>
      </c>
      <c r="BQ210" s="3" t="s">
        <v>144</v>
      </c>
      <c r="BR210" s="3" t="s">
        <v>144</v>
      </c>
      <c r="BS210" s="3" t="s">
        <v>144</v>
      </c>
      <c r="BT210" s="3" t="s">
        <v>144</v>
      </c>
      <c r="BU210" s="3" t="s">
        <v>144</v>
      </c>
      <c r="BV210" s="3" t="s">
        <v>144</v>
      </c>
      <c r="BW210" s="3" t="s">
        <v>144</v>
      </c>
      <c r="BX210" s="3" t="s">
        <v>144</v>
      </c>
      <c r="BY210" s="3" t="s">
        <v>144</v>
      </c>
      <c r="BZ210" s="3" t="s">
        <v>144</v>
      </c>
      <c r="CA210" s="3" t="s">
        <v>144</v>
      </c>
      <c r="CB210" s="3" t="s">
        <v>144</v>
      </c>
      <c r="CC210" s="3" t="s">
        <v>144</v>
      </c>
      <c r="CD210" s="3" t="s">
        <v>144</v>
      </c>
      <c r="CE210" s="3" t="s">
        <v>144</v>
      </c>
      <c r="CF210" s="3" t="s">
        <v>144</v>
      </c>
      <c r="CG210" s="3" t="s">
        <v>144</v>
      </c>
      <c r="CH210" s="3" t="s">
        <v>144</v>
      </c>
      <c r="CI210" s="3" t="s">
        <v>144</v>
      </c>
      <c r="CJ210" s="3" t="s">
        <v>144</v>
      </c>
      <c r="CK210" s="3" t="s">
        <v>144</v>
      </c>
      <c r="CL210" s="3" t="s">
        <v>144</v>
      </c>
      <c r="CM210" s="3" t="s">
        <v>144</v>
      </c>
      <c r="CN210" s="3" t="s">
        <v>144</v>
      </c>
      <c r="CO210" s="3" t="s">
        <v>144</v>
      </c>
      <c r="CP210" s="3" t="s">
        <v>144</v>
      </c>
      <c r="CQ210" s="3" t="s">
        <v>144</v>
      </c>
      <c r="CR210" s="3" t="s">
        <v>144</v>
      </c>
      <c r="CS210" s="3" t="s">
        <v>144</v>
      </c>
      <c r="CT210" s="3" t="s">
        <v>144</v>
      </c>
      <c r="CU210" s="3" t="s">
        <v>144</v>
      </c>
      <c r="CV210" s="3" t="s">
        <v>144</v>
      </c>
      <c r="CW210" s="3" t="s">
        <v>144</v>
      </c>
      <c r="CX210" s="3" t="s">
        <v>144</v>
      </c>
      <c r="CY210" s="3" t="s">
        <v>144</v>
      </c>
    </row>
    <row r="211" spans="1:103" x14ac:dyDescent="0.25">
      <c r="A211" t="s">
        <v>108</v>
      </c>
      <c r="B211" t="s">
        <v>4</v>
      </c>
      <c r="C211">
        <v>469.49538774251693</v>
      </c>
      <c r="D211">
        <v>230.17534693451594</v>
      </c>
      <c r="E211">
        <v>261.5565124345556</v>
      </c>
      <c r="F211">
        <v>218.08475239074275</v>
      </c>
      <c r="G211">
        <v>302.67989858526539</v>
      </c>
      <c r="H211">
        <v>390.47636439130628</v>
      </c>
      <c r="I211">
        <v>379.97488605656599</v>
      </c>
      <c r="J211">
        <v>448.46261246200856</v>
      </c>
      <c r="K211">
        <v>438.80531027844978</v>
      </c>
      <c r="L211">
        <v>458.43686024219289</v>
      </c>
      <c r="M211">
        <v>444.32555807976593</v>
      </c>
      <c r="N211">
        <v>415.25178837300916</v>
      </c>
      <c r="O211">
        <v>404.31689328065346</v>
      </c>
      <c r="P211">
        <v>381.12030799919495</v>
      </c>
      <c r="Q211">
        <v>384.09317035899107</v>
      </c>
      <c r="R211">
        <v>386.14832465339265</v>
      </c>
      <c r="S211">
        <v>398.94373104742158</v>
      </c>
      <c r="T211">
        <v>416.64100359038684</v>
      </c>
      <c r="U211">
        <v>429.72564626836271</v>
      </c>
      <c r="V211">
        <v>443.27175409076477</v>
      </c>
      <c r="W211">
        <v>447.46354723593907</v>
      </c>
      <c r="X211">
        <v>448.74977225095625</v>
      </c>
      <c r="Y211">
        <v>445.66787147532688</v>
      </c>
      <c r="Z211">
        <v>440.76157450221132</v>
      </c>
      <c r="AA211">
        <v>437.17340266404562</v>
      </c>
      <c r="AB211">
        <v>434.34318090424028</v>
      </c>
      <c r="AC211">
        <v>434.8127044179314</v>
      </c>
      <c r="AD211">
        <v>437.10808288217521</v>
      </c>
      <c r="AE211">
        <v>441.26551669541948</v>
      </c>
      <c r="AF211">
        <v>446.25698647126512</v>
      </c>
      <c r="AG211">
        <v>450.87479433052567</v>
      </c>
      <c r="AH211">
        <v>454.84806706845995</v>
      </c>
      <c r="AI211">
        <v>457.3489445609556</v>
      </c>
      <c r="AJ211">
        <v>458.65306416892025</v>
      </c>
      <c r="AK211">
        <v>458.87993977188694</v>
      </c>
      <c r="AL211">
        <v>458.52066139840866</v>
      </c>
      <c r="AM211">
        <v>458.15638557924837</v>
      </c>
      <c r="AN211">
        <v>458.10763880188773</v>
      </c>
      <c r="AO211">
        <v>458.71446667801047</v>
      </c>
      <c r="AP211">
        <v>459.93679659689673</v>
      </c>
      <c r="AQ211">
        <v>461.66020244212802</v>
      </c>
      <c r="AR211">
        <v>463.62319244685534</v>
      </c>
      <c r="AS211">
        <v>465.53354593105877</v>
      </c>
      <c r="AT211">
        <v>467.19432550485925</v>
      </c>
      <c r="AU211">
        <v>468.46442059853831</v>
      </c>
      <c r="AV211">
        <v>469.35269315572992</v>
      </c>
      <c r="AW211">
        <v>469.93422042766565</v>
      </c>
      <c r="AX211">
        <v>470.3434182389671</v>
      </c>
      <c r="AY211">
        <v>470.72425170410662</v>
      </c>
      <c r="BA211" s="1">
        <v>1</v>
      </c>
      <c r="BB211" t="str">
        <f t="shared" si="3"/>
        <v>Pr - Centro Oriental PR</v>
      </c>
      <c r="BC211" s="3">
        <v>378.49301872216677</v>
      </c>
      <c r="BD211" s="3">
        <v>295.71218621632022</v>
      </c>
      <c r="BE211" s="3">
        <v>146.79646697748717</v>
      </c>
      <c r="BF211" s="3">
        <v>245.2502254060422</v>
      </c>
      <c r="BG211" s="3">
        <v>190.91827189251558</v>
      </c>
      <c r="BH211" s="3">
        <v>269.7041446729159</v>
      </c>
      <c r="BI211" s="3">
        <v>239.31712170039387</v>
      </c>
      <c r="BJ211" s="3">
        <v>245.96930766215473</v>
      </c>
      <c r="BK211" s="3">
        <v>264.93705077327667</v>
      </c>
      <c r="BL211" s="3">
        <v>235.36922372050617</v>
      </c>
      <c r="BM211" s="3">
        <v>240.63095483342673</v>
      </c>
      <c r="BN211" s="3">
        <v>204.06070669041122</v>
      </c>
      <c r="BO211" s="3">
        <v>191.56881122558417</v>
      </c>
      <c r="BP211" s="3">
        <v>176.1216318177604</v>
      </c>
      <c r="BQ211" s="3">
        <v>163.31339365165687</v>
      </c>
      <c r="BR211" s="3">
        <v>164.39309148443451</v>
      </c>
      <c r="BS211" s="3">
        <v>158.94135770711972</v>
      </c>
      <c r="BT211" s="3">
        <v>163.77888027133721</v>
      </c>
      <c r="BU211" s="3">
        <v>163.19800742813214</v>
      </c>
      <c r="BV211" s="3">
        <v>162.40829743427446</v>
      </c>
      <c r="BW211" s="3">
        <v>159.76104028346856</v>
      </c>
      <c r="BX211" s="3">
        <v>152.79778168526747</v>
      </c>
      <c r="BY211" s="3">
        <v>146.73954834798695</v>
      </c>
      <c r="BZ211" s="3">
        <v>138.26081804319625</v>
      </c>
      <c r="CA211" s="3">
        <v>131.29929110604144</v>
      </c>
      <c r="CB211" s="3">
        <v>124.9689201419136</v>
      </c>
      <c r="CC211" s="3">
        <v>119.82611449157224</v>
      </c>
      <c r="CD211" s="3">
        <v>116.50140501069643</v>
      </c>
      <c r="CE211" s="3">
        <v>113.68162058737107</v>
      </c>
      <c r="CF211" s="3">
        <v>111.88432312724706</v>
      </c>
      <c r="CG211" s="3">
        <v>109.93550489529747</v>
      </c>
      <c r="CH211" s="3">
        <v>107.79216826231618</v>
      </c>
      <c r="CI211" s="3">
        <v>105.18008268539262</v>
      </c>
      <c r="CJ211" s="3">
        <v>101.913699748238</v>
      </c>
      <c r="CK211" s="3">
        <v>98.363784134199193</v>
      </c>
      <c r="CL211" s="3">
        <v>94.554568768875356</v>
      </c>
      <c r="CM211" s="3">
        <v>90.913023647272041</v>
      </c>
      <c r="CN211" s="3">
        <v>87.57680755809514</v>
      </c>
      <c r="CO211" s="3">
        <v>84.671293235258759</v>
      </c>
      <c r="CP211" s="3">
        <v>82.236093224179115</v>
      </c>
      <c r="CQ211" s="3">
        <v>80.131040615613756</v>
      </c>
      <c r="CR211" s="3">
        <v>78.268778295899722</v>
      </c>
      <c r="CS211" s="3">
        <v>76.469774618462679</v>
      </c>
      <c r="CT211" s="3">
        <v>74.639386329480601</v>
      </c>
      <c r="CU211" s="3">
        <v>72.715597348531901</v>
      </c>
      <c r="CV211" s="3">
        <v>70.685190682996677</v>
      </c>
      <c r="CW211" s="3">
        <v>68.599053946521224</v>
      </c>
      <c r="CX211" s="3">
        <v>66.508622070206115</v>
      </c>
      <c r="CY211" s="3">
        <v>64.488409066357974</v>
      </c>
    </row>
    <row r="212" spans="1:103" x14ac:dyDescent="0.25">
      <c r="A212" t="s">
        <v>108</v>
      </c>
      <c r="B212" t="s">
        <v>5</v>
      </c>
      <c r="C212">
        <v>91.00236902035013</v>
      </c>
      <c r="D212">
        <v>-65.536839281804262</v>
      </c>
      <c r="E212">
        <v>114.76004545706843</v>
      </c>
      <c r="F212">
        <v>-27.165473015299465</v>
      </c>
      <c r="G212">
        <v>111.76162669274981</v>
      </c>
      <c r="H212">
        <v>120.77221971839039</v>
      </c>
      <c r="I212">
        <v>140.65776435617212</v>
      </c>
      <c r="J212">
        <v>202.49330479985383</v>
      </c>
      <c r="K212">
        <v>173.86825950517311</v>
      </c>
      <c r="L212">
        <v>223.06763652168672</v>
      </c>
      <c r="M212">
        <v>203.6946032463392</v>
      </c>
      <c r="N212">
        <v>211.19108168259794</v>
      </c>
      <c r="O212">
        <v>212.74808205506929</v>
      </c>
      <c r="P212">
        <v>204.99867618143455</v>
      </c>
      <c r="Q212">
        <v>220.77977670733421</v>
      </c>
      <c r="R212">
        <v>221.75523316895814</v>
      </c>
      <c r="S212">
        <v>240.00237334030186</v>
      </c>
      <c r="T212">
        <v>252.86212331904963</v>
      </c>
      <c r="U212">
        <v>266.52763884023057</v>
      </c>
      <c r="V212">
        <v>280.86345665649031</v>
      </c>
      <c r="W212">
        <v>287.70250695247051</v>
      </c>
      <c r="X212">
        <v>295.95199056568879</v>
      </c>
      <c r="Y212">
        <v>298.92832312733992</v>
      </c>
      <c r="Z212">
        <v>302.50075645901507</v>
      </c>
      <c r="AA212">
        <v>305.87411155800419</v>
      </c>
      <c r="AB212">
        <v>309.37426076232668</v>
      </c>
      <c r="AC212">
        <v>314.98658992635916</v>
      </c>
      <c r="AD212">
        <v>320.60667787147878</v>
      </c>
      <c r="AE212">
        <v>327.58389610804841</v>
      </c>
      <c r="AF212">
        <v>334.37266334401806</v>
      </c>
      <c r="AG212">
        <v>340.9392894352282</v>
      </c>
      <c r="AH212">
        <v>347.05589880614377</v>
      </c>
      <c r="AI212">
        <v>352.16886187556298</v>
      </c>
      <c r="AJ212">
        <v>356.73936442068225</v>
      </c>
      <c r="AK212">
        <v>360.51615563768775</v>
      </c>
      <c r="AL212">
        <v>363.96609262953331</v>
      </c>
      <c r="AM212">
        <v>367.24336193197632</v>
      </c>
      <c r="AN212">
        <v>370.53083124379259</v>
      </c>
      <c r="AO212">
        <v>374.04317344275171</v>
      </c>
      <c r="AP212">
        <v>377.70070337271761</v>
      </c>
      <c r="AQ212">
        <v>381.52916182651427</v>
      </c>
      <c r="AR212">
        <v>385.35441415095562</v>
      </c>
      <c r="AS212">
        <v>389.06377131259609</v>
      </c>
      <c r="AT212">
        <v>392.55493917537865</v>
      </c>
      <c r="AU212">
        <v>395.74882325000641</v>
      </c>
      <c r="AV212">
        <v>398.66750247273325</v>
      </c>
      <c r="AW212">
        <v>401.33516648114443</v>
      </c>
      <c r="AX212">
        <v>403.83479616876099</v>
      </c>
      <c r="AY212">
        <v>406.23584263774865</v>
      </c>
      <c r="BA212" s="1">
        <v>-1</v>
      </c>
      <c r="BB212" t="str">
        <f t="shared" si="3"/>
        <v>Pr - Centro Oriental PR</v>
      </c>
      <c r="BC212" s="3" t="s">
        <v>144</v>
      </c>
      <c r="BD212" s="3" t="s">
        <v>144</v>
      </c>
      <c r="BE212" s="3" t="s">
        <v>144</v>
      </c>
      <c r="BF212" s="3" t="s">
        <v>144</v>
      </c>
      <c r="BG212" s="3" t="s">
        <v>144</v>
      </c>
      <c r="BH212" s="3" t="s">
        <v>144</v>
      </c>
      <c r="BI212" s="3" t="s">
        <v>144</v>
      </c>
      <c r="BJ212" s="3" t="s">
        <v>144</v>
      </c>
      <c r="BK212" s="3" t="s">
        <v>144</v>
      </c>
      <c r="BL212" s="3" t="s">
        <v>144</v>
      </c>
      <c r="BM212" s="3" t="s">
        <v>144</v>
      </c>
      <c r="BN212" s="3" t="s">
        <v>144</v>
      </c>
      <c r="BO212" s="3" t="s">
        <v>144</v>
      </c>
      <c r="BP212" s="3" t="s">
        <v>144</v>
      </c>
      <c r="BQ212" s="3" t="s">
        <v>144</v>
      </c>
      <c r="BR212" s="3" t="s">
        <v>144</v>
      </c>
      <c r="BS212" s="3" t="s">
        <v>144</v>
      </c>
      <c r="BT212" s="3" t="s">
        <v>144</v>
      </c>
      <c r="BU212" s="3" t="s">
        <v>144</v>
      </c>
      <c r="BV212" s="3" t="s">
        <v>144</v>
      </c>
      <c r="BW212" s="3" t="s">
        <v>144</v>
      </c>
      <c r="BX212" s="3" t="s">
        <v>144</v>
      </c>
      <c r="BY212" s="3" t="s">
        <v>144</v>
      </c>
      <c r="BZ212" s="3" t="s">
        <v>144</v>
      </c>
      <c r="CA212" s="3" t="s">
        <v>144</v>
      </c>
      <c r="CB212" s="3" t="s">
        <v>144</v>
      </c>
      <c r="CC212" s="3" t="s">
        <v>144</v>
      </c>
      <c r="CD212" s="3" t="s">
        <v>144</v>
      </c>
      <c r="CE212" s="3" t="s">
        <v>144</v>
      </c>
      <c r="CF212" s="3" t="s">
        <v>144</v>
      </c>
      <c r="CG212" s="3" t="s">
        <v>144</v>
      </c>
      <c r="CH212" s="3" t="s">
        <v>144</v>
      </c>
      <c r="CI212" s="3" t="s">
        <v>144</v>
      </c>
      <c r="CJ212" s="3" t="s">
        <v>144</v>
      </c>
      <c r="CK212" s="3" t="s">
        <v>144</v>
      </c>
      <c r="CL212" s="3" t="s">
        <v>144</v>
      </c>
      <c r="CM212" s="3" t="s">
        <v>144</v>
      </c>
      <c r="CN212" s="3" t="s">
        <v>144</v>
      </c>
      <c r="CO212" s="3" t="s">
        <v>144</v>
      </c>
      <c r="CP212" s="3" t="s">
        <v>144</v>
      </c>
      <c r="CQ212" s="3" t="s">
        <v>144</v>
      </c>
      <c r="CR212" s="3" t="s">
        <v>144</v>
      </c>
      <c r="CS212" s="3" t="s">
        <v>144</v>
      </c>
      <c r="CT212" s="3" t="s">
        <v>144</v>
      </c>
      <c r="CU212" s="3" t="s">
        <v>144</v>
      </c>
      <c r="CV212" s="3" t="s">
        <v>144</v>
      </c>
      <c r="CW212" s="3" t="s">
        <v>144</v>
      </c>
      <c r="CX212" s="3" t="s">
        <v>144</v>
      </c>
      <c r="CY212" s="3" t="s">
        <v>144</v>
      </c>
    </row>
    <row r="213" spans="1:103" x14ac:dyDescent="0.25">
      <c r="A213" t="s">
        <v>109</v>
      </c>
      <c r="B213" t="s">
        <v>4</v>
      </c>
      <c r="C213">
        <v>984.22569062918888</v>
      </c>
      <c r="D213">
        <v>568.75069558926407</v>
      </c>
      <c r="E213">
        <v>454.53730578437478</v>
      </c>
      <c r="F213">
        <v>482.6983466579415</v>
      </c>
      <c r="G213">
        <v>566.49009078511961</v>
      </c>
      <c r="H213">
        <v>783.91099310206732</v>
      </c>
      <c r="I213">
        <v>722.23683648758231</v>
      </c>
      <c r="J213">
        <v>834.65047048070505</v>
      </c>
      <c r="K213">
        <v>820.03800412687997</v>
      </c>
      <c r="L213">
        <v>813.08794714328883</v>
      </c>
      <c r="M213">
        <v>788.40288071651185</v>
      </c>
      <c r="N213">
        <v>708.78208757054767</v>
      </c>
      <c r="O213">
        <v>691.18662046664144</v>
      </c>
      <c r="P213">
        <v>654.3716840831878</v>
      </c>
      <c r="Q213">
        <v>667.70306171992331</v>
      </c>
      <c r="R213">
        <v>692.90326303350298</v>
      </c>
      <c r="S213">
        <v>728.81626935436236</v>
      </c>
      <c r="T213">
        <v>779.84716871424746</v>
      </c>
      <c r="U213">
        <v>814.52161413828105</v>
      </c>
      <c r="V213">
        <v>847.26258809886633</v>
      </c>
      <c r="W213">
        <v>860.68094955129754</v>
      </c>
      <c r="X213">
        <v>864.78161811364714</v>
      </c>
      <c r="Y213">
        <v>862.92152161929459</v>
      </c>
      <c r="Z213">
        <v>856.94434435104949</v>
      </c>
      <c r="AA213">
        <v>856.09245240661528</v>
      </c>
      <c r="AB213">
        <v>858.1951539583938</v>
      </c>
      <c r="AC213">
        <v>867.52229549209721</v>
      </c>
      <c r="AD213">
        <v>881.41062252737674</v>
      </c>
      <c r="AE213">
        <v>898.11516908330452</v>
      </c>
      <c r="AF213">
        <v>916.03241925345833</v>
      </c>
      <c r="AG213">
        <v>931.93468181344053</v>
      </c>
      <c r="AH213">
        <v>945.51608846396766</v>
      </c>
      <c r="AI213">
        <v>955.42634877803368</v>
      </c>
      <c r="AJ213">
        <v>962.33149045882874</v>
      </c>
      <c r="AK213">
        <v>967.08031221646218</v>
      </c>
      <c r="AL213">
        <v>970.70953066096388</v>
      </c>
      <c r="AM213">
        <v>974.65259407650819</v>
      </c>
      <c r="AN213">
        <v>979.50560537924559</v>
      </c>
      <c r="AO213">
        <v>985.82016638321647</v>
      </c>
      <c r="AP213">
        <v>993.39558474708065</v>
      </c>
      <c r="AQ213">
        <v>1001.7644194594569</v>
      </c>
      <c r="AR213">
        <v>1010.3149287586232</v>
      </c>
      <c r="AS213">
        <v>1018.3642973235869</v>
      </c>
      <c r="AT213">
        <v>1025.5341426166035</v>
      </c>
      <c r="AU213">
        <v>1031.6109415413118</v>
      </c>
      <c r="AV213">
        <v>1036.6971361155036</v>
      </c>
      <c r="AW213">
        <v>1041.0560694227597</v>
      </c>
      <c r="AX213">
        <v>1045.0234517182057</v>
      </c>
      <c r="AY213">
        <v>1048.9364644352354</v>
      </c>
      <c r="BA213" s="1">
        <v>1</v>
      </c>
      <c r="BB213" t="str">
        <f t="shared" si="3"/>
        <v>Pr - Oeste PR</v>
      </c>
      <c r="BC213" s="3">
        <v>888.37491286104682</v>
      </c>
      <c r="BD213" s="3">
        <v>310.37368985695088</v>
      </c>
      <c r="BE213" s="3">
        <v>61.431236889310185</v>
      </c>
      <c r="BF213" s="3">
        <v>363.89360761957926</v>
      </c>
      <c r="BG213" s="3">
        <v>231.05941971857328</v>
      </c>
      <c r="BH213" s="3">
        <v>390.64343093799721</v>
      </c>
      <c r="BI213" s="3">
        <v>245.37078052797796</v>
      </c>
      <c r="BJ213" s="3">
        <v>332.42030598065799</v>
      </c>
      <c r="BK213" s="3">
        <v>360.73032284606421</v>
      </c>
      <c r="BL213" s="3">
        <v>302.79234130341092</v>
      </c>
      <c r="BM213" s="3">
        <v>310.60375603537318</v>
      </c>
      <c r="BN213" s="3">
        <v>224.96760595658981</v>
      </c>
      <c r="BO213" s="3">
        <v>219.43223269792981</v>
      </c>
      <c r="BP213" s="3">
        <v>180.65178945154713</v>
      </c>
      <c r="BQ213" s="3">
        <v>160.91379248604193</v>
      </c>
      <c r="BR213" s="3">
        <v>161.66215762136721</v>
      </c>
      <c r="BS213" s="3">
        <v>151.07131380322778</v>
      </c>
      <c r="BT213" s="3">
        <v>166.92610481945189</v>
      </c>
      <c r="BU213" s="3">
        <v>166.25717257556835</v>
      </c>
      <c r="BV213" s="3">
        <v>171.29357430737548</v>
      </c>
      <c r="BW213" s="3">
        <v>169.24105987679047</v>
      </c>
      <c r="BX213" s="3">
        <v>160.15864228480052</v>
      </c>
      <c r="BY213" s="3">
        <v>152.20772475269655</v>
      </c>
      <c r="BZ213" s="3">
        <v>137.41397401846586</v>
      </c>
      <c r="CA213" s="3">
        <v>126.41638301620173</v>
      </c>
      <c r="CB213" s="3">
        <v>115.15721596735636</v>
      </c>
      <c r="CC213" s="3">
        <v>107.21487874602713</v>
      </c>
      <c r="CD213" s="3">
        <v>102.76164078463137</v>
      </c>
      <c r="CE213" s="3">
        <v>99.560652990359927</v>
      </c>
      <c r="CF213" s="3">
        <v>98.844555116016977</v>
      </c>
      <c r="CG213" s="3">
        <v>97.569412913669794</v>
      </c>
      <c r="CH213" s="3">
        <v>96.143689139959406</v>
      </c>
      <c r="CI213" s="3">
        <v>93.444529970395592</v>
      </c>
      <c r="CJ213" s="3">
        <v>89.345393422810844</v>
      </c>
      <c r="CK213" s="3">
        <v>84.506471037795905</v>
      </c>
      <c r="CL213" s="3">
        <v>78.927564061047065</v>
      </c>
      <c r="CM213" s="3">
        <v>73.614527153656127</v>
      </c>
      <c r="CN213" s="3">
        <v>68.728072398836048</v>
      </c>
      <c r="CO213" s="3">
        <v>64.665322150484599</v>
      </c>
      <c r="CP213" s="3">
        <v>61.480434953358554</v>
      </c>
      <c r="CQ213" s="3">
        <v>58.942010397730655</v>
      </c>
      <c r="CR213" s="3">
        <v>56.905847117888811</v>
      </c>
      <c r="CS213" s="3">
        <v>54.979341860547152</v>
      </c>
      <c r="CT213" s="3">
        <v>52.986056957915139</v>
      </c>
      <c r="CU213" s="3">
        <v>50.748554355721922</v>
      </c>
      <c r="CV213" s="3">
        <v>48.22817726839105</v>
      </c>
      <c r="CW213" s="3">
        <v>45.506763405412698</v>
      </c>
      <c r="CX213" s="3">
        <v>42.681980607407695</v>
      </c>
      <c r="CY213" s="3">
        <v>39.920661804429983</v>
      </c>
    </row>
    <row r="214" spans="1:103" x14ac:dyDescent="0.25">
      <c r="A214" t="s">
        <v>109</v>
      </c>
      <c r="B214" t="s">
        <v>5</v>
      </c>
      <c r="C214">
        <v>95.850777768141995</v>
      </c>
      <c r="D214">
        <v>258.37700573231319</v>
      </c>
      <c r="E214">
        <v>393.1060688950646</v>
      </c>
      <c r="F214">
        <v>118.80473903836223</v>
      </c>
      <c r="G214">
        <v>335.43067106654632</v>
      </c>
      <c r="H214">
        <v>393.26756216407011</v>
      </c>
      <c r="I214">
        <v>476.86605595960435</v>
      </c>
      <c r="J214">
        <v>502.23016450004707</v>
      </c>
      <c r="K214">
        <v>459.30768128081576</v>
      </c>
      <c r="L214">
        <v>510.29560583987791</v>
      </c>
      <c r="M214">
        <v>477.79912468113866</v>
      </c>
      <c r="N214">
        <v>483.81448161395787</v>
      </c>
      <c r="O214">
        <v>471.75438776871164</v>
      </c>
      <c r="P214">
        <v>473.71989463164067</v>
      </c>
      <c r="Q214">
        <v>506.78926923388138</v>
      </c>
      <c r="R214">
        <v>531.24110541213577</v>
      </c>
      <c r="S214">
        <v>577.74495555113458</v>
      </c>
      <c r="T214">
        <v>612.92106389479557</v>
      </c>
      <c r="U214">
        <v>648.2644415627127</v>
      </c>
      <c r="V214">
        <v>675.96901379149085</v>
      </c>
      <c r="W214">
        <v>691.43988967450707</v>
      </c>
      <c r="X214">
        <v>704.62297582884662</v>
      </c>
      <c r="Y214">
        <v>710.71379686659805</v>
      </c>
      <c r="Z214">
        <v>719.53037033258363</v>
      </c>
      <c r="AA214">
        <v>729.67606939041355</v>
      </c>
      <c r="AB214">
        <v>743.03793799103744</v>
      </c>
      <c r="AC214">
        <v>760.30741674607009</v>
      </c>
      <c r="AD214">
        <v>778.64898174274538</v>
      </c>
      <c r="AE214">
        <v>798.5545160929446</v>
      </c>
      <c r="AF214">
        <v>817.18786413744135</v>
      </c>
      <c r="AG214">
        <v>834.36526889977074</v>
      </c>
      <c r="AH214">
        <v>849.37239932400826</v>
      </c>
      <c r="AI214">
        <v>861.98181880763809</v>
      </c>
      <c r="AJ214">
        <v>872.9860970360179</v>
      </c>
      <c r="AK214">
        <v>882.57384117866627</v>
      </c>
      <c r="AL214">
        <v>891.78196659991681</v>
      </c>
      <c r="AM214">
        <v>901.03806692285207</v>
      </c>
      <c r="AN214">
        <v>910.77753298040955</v>
      </c>
      <c r="AO214">
        <v>921.15484423273188</v>
      </c>
      <c r="AP214">
        <v>931.91514979372209</v>
      </c>
      <c r="AQ214">
        <v>942.82240906172626</v>
      </c>
      <c r="AR214">
        <v>953.40908164073437</v>
      </c>
      <c r="AS214">
        <v>963.38495546303977</v>
      </c>
      <c r="AT214">
        <v>972.54808565868836</v>
      </c>
      <c r="AU214">
        <v>980.86238718558991</v>
      </c>
      <c r="AV214">
        <v>988.4689588471125</v>
      </c>
      <c r="AW214">
        <v>995.54930601734702</v>
      </c>
      <c r="AX214">
        <v>1002.341471110798</v>
      </c>
      <c r="AY214">
        <v>1009.0158026308054</v>
      </c>
      <c r="BA214" s="1">
        <v>-1</v>
      </c>
      <c r="BB214" t="str">
        <f t="shared" si="3"/>
        <v>Pr - Oeste PR</v>
      </c>
      <c r="BC214" s="3" t="s">
        <v>144</v>
      </c>
      <c r="BD214" s="3" t="s">
        <v>144</v>
      </c>
      <c r="BE214" s="3" t="s">
        <v>144</v>
      </c>
      <c r="BF214" s="3" t="s">
        <v>144</v>
      </c>
      <c r="BG214" s="3" t="s">
        <v>144</v>
      </c>
      <c r="BH214" s="3" t="s">
        <v>144</v>
      </c>
      <c r="BI214" s="3" t="s">
        <v>144</v>
      </c>
      <c r="BJ214" s="3" t="s">
        <v>144</v>
      </c>
      <c r="BK214" s="3" t="s">
        <v>144</v>
      </c>
      <c r="BL214" s="3" t="s">
        <v>144</v>
      </c>
      <c r="BM214" s="3" t="s">
        <v>144</v>
      </c>
      <c r="BN214" s="3" t="s">
        <v>144</v>
      </c>
      <c r="BO214" s="3" t="s">
        <v>144</v>
      </c>
      <c r="BP214" s="3" t="s">
        <v>144</v>
      </c>
      <c r="BQ214" s="3" t="s">
        <v>144</v>
      </c>
      <c r="BR214" s="3" t="s">
        <v>144</v>
      </c>
      <c r="BS214" s="3" t="s">
        <v>144</v>
      </c>
      <c r="BT214" s="3" t="s">
        <v>144</v>
      </c>
      <c r="BU214" s="3" t="s">
        <v>144</v>
      </c>
      <c r="BV214" s="3" t="s">
        <v>144</v>
      </c>
      <c r="BW214" s="3" t="s">
        <v>144</v>
      </c>
      <c r="BX214" s="3" t="s">
        <v>144</v>
      </c>
      <c r="BY214" s="3" t="s">
        <v>144</v>
      </c>
      <c r="BZ214" s="3" t="s">
        <v>144</v>
      </c>
      <c r="CA214" s="3" t="s">
        <v>144</v>
      </c>
      <c r="CB214" s="3" t="s">
        <v>144</v>
      </c>
      <c r="CC214" s="3" t="s">
        <v>144</v>
      </c>
      <c r="CD214" s="3" t="s">
        <v>144</v>
      </c>
      <c r="CE214" s="3" t="s">
        <v>144</v>
      </c>
      <c r="CF214" s="3" t="s">
        <v>144</v>
      </c>
      <c r="CG214" s="3" t="s">
        <v>144</v>
      </c>
      <c r="CH214" s="3" t="s">
        <v>144</v>
      </c>
      <c r="CI214" s="3" t="s">
        <v>144</v>
      </c>
      <c r="CJ214" s="3" t="s">
        <v>144</v>
      </c>
      <c r="CK214" s="3" t="s">
        <v>144</v>
      </c>
      <c r="CL214" s="3" t="s">
        <v>144</v>
      </c>
      <c r="CM214" s="3" t="s">
        <v>144</v>
      </c>
      <c r="CN214" s="3" t="s">
        <v>144</v>
      </c>
      <c r="CO214" s="3" t="s">
        <v>144</v>
      </c>
      <c r="CP214" s="3" t="s">
        <v>144</v>
      </c>
      <c r="CQ214" s="3" t="s">
        <v>144</v>
      </c>
      <c r="CR214" s="3" t="s">
        <v>144</v>
      </c>
      <c r="CS214" s="3" t="s">
        <v>144</v>
      </c>
      <c r="CT214" s="3" t="s">
        <v>144</v>
      </c>
      <c r="CU214" s="3" t="s">
        <v>144</v>
      </c>
      <c r="CV214" s="3" t="s">
        <v>144</v>
      </c>
      <c r="CW214" s="3" t="s">
        <v>144</v>
      </c>
      <c r="CX214" s="3" t="s">
        <v>144</v>
      </c>
      <c r="CY214" s="3" t="s">
        <v>144</v>
      </c>
    </row>
    <row r="215" spans="1:103" x14ac:dyDescent="0.25">
      <c r="A215" t="s">
        <v>110</v>
      </c>
      <c r="B215" t="s">
        <v>4</v>
      </c>
      <c r="C215">
        <v>401.63593849145821</v>
      </c>
      <c r="D215">
        <v>215.39879385691199</v>
      </c>
      <c r="E215">
        <v>124.93819205301796</v>
      </c>
      <c r="F215">
        <v>113.1967032187586</v>
      </c>
      <c r="G215">
        <v>123.86103595376544</v>
      </c>
      <c r="H215">
        <v>208.34076757586257</v>
      </c>
      <c r="I215">
        <v>182.41533963731044</v>
      </c>
      <c r="J215">
        <v>220.12767282104161</v>
      </c>
      <c r="K215">
        <v>214.84346620819284</v>
      </c>
      <c r="L215">
        <v>211.24519918901507</v>
      </c>
      <c r="M215">
        <v>204.72727467725997</v>
      </c>
      <c r="N215">
        <v>174.28359198122246</v>
      </c>
      <c r="O215">
        <v>168.6243235509572</v>
      </c>
      <c r="P215">
        <v>157.07563990843991</v>
      </c>
      <c r="Q215">
        <v>164.93618512242259</v>
      </c>
      <c r="R215">
        <v>178.64495983071146</v>
      </c>
      <c r="S215">
        <v>195.62323119695873</v>
      </c>
      <c r="T215">
        <v>218.74927750544822</v>
      </c>
      <c r="U215">
        <v>235.29775080124892</v>
      </c>
      <c r="V215">
        <v>250.86278686778286</v>
      </c>
      <c r="W215">
        <v>259.03496733581017</v>
      </c>
      <c r="X215">
        <v>263.29934261604291</v>
      </c>
      <c r="Y215">
        <v>265.40627853393448</v>
      </c>
      <c r="Z215">
        <v>265.79883992268105</v>
      </c>
      <c r="AA215">
        <v>268.15555733553492</v>
      </c>
      <c r="AB215">
        <v>271.61300393637896</v>
      </c>
      <c r="AC215">
        <v>277.7522362304062</v>
      </c>
      <c r="AD215">
        <v>285.65204324018117</v>
      </c>
      <c r="AE215">
        <v>294.54596341213067</v>
      </c>
      <c r="AF215">
        <v>303.86465002919653</v>
      </c>
      <c r="AG215">
        <v>312.31381898670793</v>
      </c>
      <c r="AH215">
        <v>319.76143663756187</v>
      </c>
      <c r="AI215">
        <v>325.69547475998604</v>
      </c>
      <c r="AJ215">
        <v>330.35474102917351</v>
      </c>
      <c r="AK215">
        <v>334.1019813673235</v>
      </c>
      <c r="AL215">
        <v>337.34189698371091</v>
      </c>
      <c r="AM215">
        <v>340.65102113100949</v>
      </c>
      <c r="AN215">
        <v>344.26843578849548</v>
      </c>
      <c r="AO215">
        <v>348.40431943749235</v>
      </c>
      <c r="AP215">
        <v>352.98156230738834</v>
      </c>
      <c r="AQ215">
        <v>357.80818474795842</v>
      </c>
      <c r="AR215">
        <v>362.64587672354526</v>
      </c>
      <c r="AS215">
        <v>367.22730889280285</v>
      </c>
      <c r="AT215">
        <v>371.40754662433102</v>
      </c>
      <c r="AU215">
        <v>375.10852817708826</v>
      </c>
      <c r="AV215">
        <v>378.37320178652874</v>
      </c>
      <c r="AW215">
        <v>381.30890545796348</v>
      </c>
      <c r="AX215">
        <v>384.04848756779199</v>
      </c>
      <c r="AY215">
        <v>386.72562984290715</v>
      </c>
      <c r="BA215" s="1">
        <v>1</v>
      </c>
      <c r="BB215" t="str">
        <f t="shared" si="3"/>
        <v>Pr - Sudoeste PR</v>
      </c>
      <c r="BC215" s="3">
        <v>351.91750889617538</v>
      </c>
      <c r="BD215" s="3">
        <v>135.43550089334735</v>
      </c>
      <c r="BE215" s="3">
        <v>-30.941669705048128</v>
      </c>
      <c r="BF215" s="3">
        <v>45.849885912123241</v>
      </c>
      <c r="BG215" s="3">
        <v>12.111617950522529</v>
      </c>
      <c r="BH215" s="3">
        <v>82.221709801594301</v>
      </c>
      <c r="BI215" s="3">
        <v>45.600193714810302</v>
      </c>
      <c r="BJ215" s="3">
        <v>70.482614333730595</v>
      </c>
      <c r="BK215" s="3">
        <v>88.732336002544443</v>
      </c>
      <c r="BL215" s="3">
        <v>76.295320524485589</v>
      </c>
      <c r="BM215" s="3">
        <v>83.316528310950957</v>
      </c>
      <c r="BN215" s="3">
        <v>57.161386328886806</v>
      </c>
      <c r="BO215" s="3">
        <v>55.177981758921391</v>
      </c>
      <c r="BP215" s="3">
        <v>46.074556293422745</v>
      </c>
      <c r="BQ215" s="3">
        <v>41.759976280366658</v>
      </c>
      <c r="BR215" s="3">
        <v>44.389598748721482</v>
      </c>
      <c r="BS215" s="3">
        <v>41.982938051561945</v>
      </c>
      <c r="BT215" s="3">
        <v>47.490864730990893</v>
      </c>
      <c r="BU215" s="3">
        <v>47.832014388868629</v>
      </c>
      <c r="BV215" s="3">
        <v>49.421510497243531</v>
      </c>
      <c r="BW215" s="3">
        <v>49.141088022370042</v>
      </c>
      <c r="BX215" s="3">
        <v>46.481620889976398</v>
      </c>
      <c r="BY215" s="3">
        <v>44.444861348740233</v>
      </c>
      <c r="BZ215" s="3">
        <v>40.26544627971748</v>
      </c>
      <c r="CA215" s="3">
        <v>37.125576962934929</v>
      </c>
      <c r="CB215" s="3">
        <v>33.866946506106842</v>
      </c>
      <c r="CC215" s="3">
        <v>31.478407580632279</v>
      </c>
      <c r="CD215" s="3">
        <v>30.227467196657273</v>
      </c>
      <c r="CE215" s="3">
        <v>29.354502130992216</v>
      </c>
      <c r="CF215" s="3">
        <v>29.285949906291364</v>
      </c>
      <c r="CG215" s="3">
        <v>29.059844208604488</v>
      </c>
      <c r="CH215" s="3">
        <v>28.747789207091046</v>
      </c>
      <c r="CI215" s="3">
        <v>28.023202180886699</v>
      </c>
      <c r="CJ215" s="3">
        <v>26.812188131493599</v>
      </c>
      <c r="CK215" s="3">
        <v>25.3579224849517</v>
      </c>
      <c r="CL215" s="3">
        <v>23.672054538439568</v>
      </c>
      <c r="CM215" s="3">
        <v>22.081102613960866</v>
      </c>
      <c r="CN215" s="3">
        <v>20.644596683061991</v>
      </c>
      <c r="CO215" s="3">
        <v>19.469151047835851</v>
      </c>
      <c r="CP215" s="3">
        <v>18.567848034417864</v>
      </c>
      <c r="CQ215" s="3">
        <v>17.854753329406037</v>
      </c>
      <c r="CR215" s="3">
        <v>17.284125593448323</v>
      </c>
      <c r="CS215" s="3">
        <v>16.736675717523553</v>
      </c>
      <c r="CT215" s="3">
        <v>16.161221289152877</v>
      </c>
      <c r="CU215" s="3">
        <v>15.509622217035371</v>
      </c>
      <c r="CV215" s="3">
        <v>14.770700457151236</v>
      </c>
      <c r="CW215" s="3">
        <v>13.971107008742251</v>
      </c>
      <c r="CX215" s="3">
        <v>13.139330336358171</v>
      </c>
      <c r="CY215" s="3">
        <v>12.325713893085094</v>
      </c>
    </row>
    <row r="216" spans="1:103" x14ac:dyDescent="0.25">
      <c r="A216" t="s">
        <v>110</v>
      </c>
      <c r="B216" t="s">
        <v>5</v>
      </c>
      <c r="C216">
        <v>49.718429595282821</v>
      </c>
      <c r="D216">
        <v>79.963292963564626</v>
      </c>
      <c r="E216">
        <v>155.87986175806608</v>
      </c>
      <c r="F216">
        <v>67.346817306635359</v>
      </c>
      <c r="G216">
        <v>111.74941800324291</v>
      </c>
      <c r="H216">
        <v>126.11905777426827</v>
      </c>
      <c r="I216">
        <v>136.81514592250014</v>
      </c>
      <c r="J216">
        <v>149.64505848731102</v>
      </c>
      <c r="K216">
        <v>126.11113020564839</v>
      </c>
      <c r="L216">
        <v>134.94987866452948</v>
      </c>
      <c r="M216">
        <v>121.41074636630901</v>
      </c>
      <c r="N216">
        <v>117.12220565233565</v>
      </c>
      <c r="O216">
        <v>113.44634179203581</v>
      </c>
      <c r="P216">
        <v>111.00108361501717</v>
      </c>
      <c r="Q216">
        <v>123.17620884205593</v>
      </c>
      <c r="R216">
        <v>134.25536108198997</v>
      </c>
      <c r="S216">
        <v>153.64029314539678</v>
      </c>
      <c r="T216">
        <v>171.25841277445733</v>
      </c>
      <c r="U216">
        <v>187.46573641238029</v>
      </c>
      <c r="V216">
        <v>201.44127637053933</v>
      </c>
      <c r="W216">
        <v>209.89387931344012</v>
      </c>
      <c r="X216">
        <v>216.81772172606651</v>
      </c>
      <c r="Y216">
        <v>220.96141718519425</v>
      </c>
      <c r="Z216">
        <v>225.53339364296357</v>
      </c>
      <c r="AA216">
        <v>231.02998037259999</v>
      </c>
      <c r="AB216">
        <v>237.74605743027212</v>
      </c>
      <c r="AC216">
        <v>246.27382864977392</v>
      </c>
      <c r="AD216">
        <v>255.4245760435239</v>
      </c>
      <c r="AE216">
        <v>265.19146128113846</v>
      </c>
      <c r="AF216">
        <v>274.57870012290516</v>
      </c>
      <c r="AG216">
        <v>283.25397477810344</v>
      </c>
      <c r="AH216">
        <v>291.01364743047083</v>
      </c>
      <c r="AI216">
        <v>297.67227257909934</v>
      </c>
      <c r="AJ216">
        <v>303.54255289767991</v>
      </c>
      <c r="AK216">
        <v>308.7440588823718</v>
      </c>
      <c r="AL216">
        <v>313.66984244527134</v>
      </c>
      <c r="AM216">
        <v>318.56991851704862</v>
      </c>
      <c r="AN216">
        <v>323.62383910543349</v>
      </c>
      <c r="AO216">
        <v>328.9351683896565</v>
      </c>
      <c r="AP216">
        <v>334.41371427297048</v>
      </c>
      <c r="AQ216">
        <v>339.95343141855238</v>
      </c>
      <c r="AR216">
        <v>345.36175113009693</v>
      </c>
      <c r="AS216">
        <v>350.4906331752793</v>
      </c>
      <c r="AT216">
        <v>355.24632533517814</v>
      </c>
      <c r="AU216">
        <v>359.59890596005289</v>
      </c>
      <c r="AV216">
        <v>363.6025013293775</v>
      </c>
      <c r="AW216">
        <v>367.33779844922122</v>
      </c>
      <c r="AX216">
        <v>370.90915723143382</v>
      </c>
      <c r="AY216">
        <v>374.39991594982206</v>
      </c>
      <c r="BA216" s="1">
        <v>-1</v>
      </c>
      <c r="BB216" t="str">
        <f t="shared" si="3"/>
        <v>Pr - Sudoeste PR</v>
      </c>
      <c r="BC216" s="3" t="s">
        <v>144</v>
      </c>
      <c r="BD216" s="3" t="s">
        <v>144</v>
      </c>
      <c r="BE216" s="3" t="s">
        <v>144</v>
      </c>
      <c r="BF216" s="3" t="s">
        <v>144</v>
      </c>
      <c r="BG216" s="3" t="s">
        <v>144</v>
      </c>
      <c r="BH216" s="3" t="s">
        <v>144</v>
      </c>
      <c r="BI216" s="3" t="s">
        <v>144</v>
      </c>
      <c r="BJ216" s="3" t="s">
        <v>144</v>
      </c>
      <c r="BK216" s="3" t="s">
        <v>144</v>
      </c>
      <c r="BL216" s="3" t="s">
        <v>144</v>
      </c>
      <c r="BM216" s="3" t="s">
        <v>144</v>
      </c>
      <c r="BN216" s="3" t="s">
        <v>144</v>
      </c>
      <c r="BO216" s="3" t="s">
        <v>144</v>
      </c>
      <c r="BP216" s="3" t="s">
        <v>144</v>
      </c>
      <c r="BQ216" s="3" t="s">
        <v>144</v>
      </c>
      <c r="BR216" s="3" t="s">
        <v>144</v>
      </c>
      <c r="BS216" s="3" t="s">
        <v>144</v>
      </c>
      <c r="BT216" s="3" t="s">
        <v>144</v>
      </c>
      <c r="BU216" s="3" t="s">
        <v>144</v>
      </c>
      <c r="BV216" s="3" t="s">
        <v>144</v>
      </c>
      <c r="BW216" s="3" t="s">
        <v>144</v>
      </c>
      <c r="BX216" s="3" t="s">
        <v>144</v>
      </c>
      <c r="BY216" s="3" t="s">
        <v>144</v>
      </c>
      <c r="BZ216" s="3" t="s">
        <v>144</v>
      </c>
      <c r="CA216" s="3" t="s">
        <v>144</v>
      </c>
      <c r="CB216" s="3" t="s">
        <v>144</v>
      </c>
      <c r="CC216" s="3" t="s">
        <v>144</v>
      </c>
      <c r="CD216" s="3" t="s">
        <v>144</v>
      </c>
      <c r="CE216" s="3" t="s">
        <v>144</v>
      </c>
      <c r="CF216" s="3" t="s">
        <v>144</v>
      </c>
      <c r="CG216" s="3" t="s">
        <v>144</v>
      </c>
      <c r="CH216" s="3" t="s">
        <v>144</v>
      </c>
      <c r="CI216" s="3" t="s">
        <v>144</v>
      </c>
      <c r="CJ216" s="3" t="s">
        <v>144</v>
      </c>
      <c r="CK216" s="3" t="s">
        <v>144</v>
      </c>
      <c r="CL216" s="3" t="s">
        <v>144</v>
      </c>
      <c r="CM216" s="3" t="s">
        <v>144</v>
      </c>
      <c r="CN216" s="3" t="s">
        <v>144</v>
      </c>
      <c r="CO216" s="3" t="s">
        <v>144</v>
      </c>
      <c r="CP216" s="3" t="s">
        <v>144</v>
      </c>
      <c r="CQ216" s="3" t="s">
        <v>144</v>
      </c>
      <c r="CR216" s="3" t="s">
        <v>144</v>
      </c>
      <c r="CS216" s="3" t="s">
        <v>144</v>
      </c>
      <c r="CT216" s="3" t="s">
        <v>144</v>
      </c>
      <c r="CU216" s="3" t="s">
        <v>144</v>
      </c>
      <c r="CV216" s="3" t="s">
        <v>144</v>
      </c>
      <c r="CW216" s="3" t="s">
        <v>144</v>
      </c>
      <c r="CX216" s="3" t="s">
        <v>144</v>
      </c>
      <c r="CY216" s="3" t="s">
        <v>144</v>
      </c>
    </row>
    <row r="217" spans="1:103" x14ac:dyDescent="0.25">
      <c r="A217" t="s">
        <v>111</v>
      </c>
      <c r="B217" t="s">
        <v>4</v>
      </c>
      <c r="C217">
        <v>264.97900875461062</v>
      </c>
      <c r="D217">
        <v>56.320413133641473</v>
      </c>
      <c r="E217">
        <v>48.140006495154722</v>
      </c>
      <c r="F217">
        <v>90.096709593547899</v>
      </c>
      <c r="G217">
        <v>91.046663471123395</v>
      </c>
      <c r="H217">
        <v>159.61481858586387</v>
      </c>
      <c r="I217">
        <v>121.52939868968132</v>
      </c>
      <c r="J217">
        <v>157.64429174873527</v>
      </c>
      <c r="K217">
        <v>145.43798230363959</v>
      </c>
      <c r="L217">
        <v>136.68237927791651</v>
      </c>
      <c r="M217">
        <v>131.52446526750737</v>
      </c>
      <c r="N217">
        <v>106.39402000199782</v>
      </c>
      <c r="O217">
        <v>107.64593750109871</v>
      </c>
      <c r="P217">
        <v>98.571789388551679</v>
      </c>
      <c r="Q217">
        <v>105.12802278626376</v>
      </c>
      <c r="R217">
        <v>113.58639187903425</v>
      </c>
      <c r="S217">
        <v>122.32368663266023</v>
      </c>
      <c r="T217">
        <v>135.74651971668396</v>
      </c>
      <c r="U217">
        <v>141.98170235224808</v>
      </c>
      <c r="V217">
        <v>148.56136387725351</v>
      </c>
      <c r="W217">
        <v>149.54070991761483</v>
      </c>
      <c r="X217">
        <v>148.66111190308385</v>
      </c>
      <c r="Y217">
        <v>147.21815830767491</v>
      </c>
      <c r="Z217">
        <v>144.89482958395178</v>
      </c>
      <c r="AA217">
        <v>144.82732449331974</v>
      </c>
      <c r="AB217">
        <v>145.46334464561724</v>
      </c>
      <c r="AC217">
        <v>148.10765838032631</v>
      </c>
      <c r="AD217">
        <v>151.70806553215397</v>
      </c>
      <c r="AE217">
        <v>155.65506595234379</v>
      </c>
      <c r="AF217">
        <v>159.71598360990151</v>
      </c>
      <c r="AG217">
        <v>162.92799129150143</v>
      </c>
      <c r="AH217">
        <v>165.50172047511811</v>
      </c>
      <c r="AI217">
        <v>167.10965879675578</v>
      </c>
      <c r="AJ217">
        <v>168.06165661598493</v>
      </c>
      <c r="AK217">
        <v>168.64881456256794</v>
      </c>
      <c r="AL217">
        <v>169.10544120332492</v>
      </c>
      <c r="AM217">
        <v>169.81465057532591</v>
      </c>
      <c r="AN217">
        <v>170.83097001795818</v>
      </c>
      <c r="AO217">
        <v>172.25321778429731</v>
      </c>
      <c r="AP217">
        <v>173.96538358612895</v>
      </c>
      <c r="AQ217">
        <v>175.81013700448966</v>
      </c>
      <c r="AR217">
        <v>177.63274465870006</v>
      </c>
      <c r="AS217">
        <v>179.26313143925034</v>
      </c>
      <c r="AT217">
        <v>180.64402379969309</v>
      </c>
      <c r="AU217">
        <v>181.75013812397069</v>
      </c>
      <c r="AV217">
        <v>182.63874111889433</v>
      </c>
      <c r="AW217">
        <v>183.39530838927632</v>
      </c>
      <c r="AX217">
        <v>184.10683402590723</v>
      </c>
      <c r="AY217">
        <v>184.85337010838299</v>
      </c>
      <c r="BA217" s="1">
        <v>1</v>
      </c>
      <c r="BB217" t="str">
        <f t="shared" si="3"/>
        <v>Pr - Centro-Sul PR</v>
      </c>
      <c r="BC217" s="3">
        <v>236.66587469231109</v>
      </c>
      <c r="BD217" s="3">
        <v>76.100531873390509</v>
      </c>
      <c r="BE217" s="3">
        <v>22.232126626051048</v>
      </c>
      <c r="BF217" s="3">
        <v>131.03619631514999</v>
      </c>
      <c r="BG217" s="3">
        <v>70.162140536470758</v>
      </c>
      <c r="BH217" s="3">
        <v>135.29941483140746</v>
      </c>
      <c r="BI217" s="3">
        <v>81.081574870706078</v>
      </c>
      <c r="BJ217" s="3">
        <v>96.403487694176064</v>
      </c>
      <c r="BK217" s="3">
        <v>94.88167828753852</v>
      </c>
      <c r="BL217" s="3">
        <v>67.809641788648506</v>
      </c>
      <c r="BM217" s="3">
        <v>75.439190836977019</v>
      </c>
      <c r="BN217" s="3">
        <v>50.189301456855446</v>
      </c>
      <c r="BO217" s="3">
        <v>55.794899528110108</v>
      </c>
      <c r="BP217" s="3">
        <v>50.720442930581235</v>
      </c>
      <c r="BQ217" s="3">
        <v>51.20793289432882</v>
      </c>
      <c r="BR217" s="3">
        <v>57.855985222771324</v>
      </c>
      <c r="BS217" s="3">
        <v>56.552365237281421</v>
      </c>
      <c r="BT217" s="3">
        <v>62.422811942275544</v>
      </c>
      <c r="BU217" s="3">
        <v>60.323481365572661</v>
      </c>
      <c r="BV217" s="3">
        <v>59.467787180149202</v>
      </c>
      <c r="BW217" s="3">
        <v>56.575287398746568</v>
      </c>
      <c r="BX217" s="3">
        <v>52.044722963940558</v>
      </c>
      <c r="BY217" s="3">
        <v>49.625868348540777</v>
      </c>
      <c r="BZ217" s="3">
        <v>46.090191517914676</v>
      </c>
      <c r="CA217" s="3">
        <v>44.926918835693257</v>
      </c>
      <c r="CB217" s="3">
        <v>43.987757665630653</v>
      </c>
      <c r="CC217" s="3">
        <v>43.878126398618292</v>
      </c>
      <c r="CD217" s="3">
        <v>44.35334305767185</v>
      </c>
      <c r="CE217" s="3">
        <v>44.376828171250423</v>
      </c>
      <c r="CF217" s="3">
        <v>44.554097566905511</v>
      </c>
      <c r="CG217" s="3">
        <v>44.015310868120778</v>
      </c>
      <c r="CH217" s="3">
        <v>43.230483826034984</v>
      </c>
      <c r="CI217" s="3">
        <v>42.099019229013919</v>
      </c>
      <c r="CJ217" s="3">
        <v>40.746546110338173</v>
      </c>
      <c r="CK217" s="3">
        <v>39.506259021899638</v>
      </c>
      <c r="CL217" s="3">
        <v>38.329134206531279</v>
      </c>
      <c r="CM217" s="3">
        <v>37.472894671899383</v>
      </c>
      <c r="CN217" s="3">
        <v>36.847049597996374</v>
      </c>
      <c r="CO217" s="3">
        <v>36.447953286489536</v>
      </c>
      <c r="CP217" s="3">
        <v>36.194472201905057</v>
      </c>
      <c r="CQ217" s="3">
        <v>35.948838197273858</v>
      </c>
      <c r="CR217" s="3">
        <v>35.671223862312246</v>
      </c>
      <c r="CS217" s="3">
        <v>35.273723148474005</v>
      </c>
      <c r="CT217" s="3">
        <v>34.772722286829605</v>
      </c>
      <c r="CU217" s="3">
        <v>34.185549645291644</v>
      </c>
      <c r="CV217" s="3">
        <v>33.557851127710052</v>
      </c>
      <c r="CW217" s="3">
        <v>32.94952621016597</v>
      </c>
      <c r="CX217" s="3">
        <v>32.391443472009996</v>
      </c>
      <c r="CY217" s="3">
        <v>31.914971781286482</v>
      </c>
    </row>
    <row r="218" spans="1:103" x14ac:dyDescent="0.25">
      <c r="A218" t="s">
        <v>111</v>
      </c>
      <c r="B218" t="s">
        <v>5</v>
      </c>
      <c r="C218">
        <v>28.313134062299525</v>
      </c>
      <c r="D218">
        <v>-19.780118739749035</v>
      </c>
      <c r="E218">
        <v>25.907879869103674</v>
      </c>
      <c r="F218">
        <v>-40.939486721602101</v>
      </c>
      <c r="G218">
        <v>20.88452293465263</v>
      </c>
      <c r="H218">
        <v>24.315403754456415</v>
      </c>
      <c r="I218">
        <v>40.44782381897523</v>
      </c>
      <c r="J218">
        <v>61.240804054559206</v>
      </c>
      <c r="K218">
        <v>50.556304016101066</v>
      </c>
      <c r="L218">
        <v>68.872737489268005</v>
      </c>
      <c r="M218">
        <v>56.08527443053034</v>
      </c>
      <c r="N218">
        <v>56.20471854514237</v>
      </c>
      <c r="O218">
        <v>51.851037972988607</v>
      </c>
      <c r="P218">
        <v>47.851346457970443</v>
      </c>
      <c r="Q218">
        <v>53.920089891934936</v>
      </c>
      <c r="R218">
        <v>55.730406656262929</v>
      </c>
      <c r="S218">
        <v>65.771321395378806</v>
      </c>
      <c r="T218">
        <v>73.323707774408419</v>
      </c>
      <c r="U218">
        <v>81.658220986675417</v>
      </c>
      <c r="V218">
        <v>89.093576697104311</v>
      </c>
      <c r="W218">
        <v>92.965422518868266</v>
      </c>
      <c r="X218">
        <v>96.616388939143292</v>
      </c>
      <c r="Y218">
        <v>97.592289959134135</v>
      </c>
      <c r="Z218">
        <v>98.8046380660371</v>
      </c>
      <c r="AA218">
        <v>99.900405657626479</v>
      </c>
      <c r="AB218">
        <v>101.47558697998659</v>
      </c>
      <c r="AC218">
        <v>104.22953198170802</v>
      </c>
      <c r="AD218">
        <v>107.35472247448212</v>
      </c>
      <c r="AE218">
        <v>111.27823778109337</v>
      </c>
      <c r="AF218">
        <v>115.161886042996</v>
      </c>
      <c r="AG218">
        <v>118.91268042338065</v>
      </c>
      <c r="AH218">
        <v>122.27123664908312</v>
      </c>
      <c r="AI218">
        <v>125.01063956774186</v>
      </c>
      <c r="AJ218">
        <v>127.31511050564676</v>
      </c>
      <c r="AK218">
        <v>129.1425555406683</v>
      </c>
      <c r="AL218">
        <v>130.77630699679364</v>
      </c>
      <c r="AM218">
        <v>132.34175590342653</v>
      </c>
      <c r="AN218">
        <v>133.98392041996181</v>
      </c>
      <c r="AO218">
        <v>135.80526449780777</v>
      </c>
      <c r="AP218">
        <v>137.77091138422389</v>
      </c>
      <c r="AQ218">
        <v>139.8612988072158</v>
      </c>
      <c r="AR218">
        <v>141.96152079638782</v>
      </c>
      <c r="AS218">
        <v>143.98940829077634</v>
      </c>
      <c r="AT218">
        <v>145.87130151286348</v>
      </c>
      <c r="AU218">
        <v>147.56458847867904</v>
      </c>
      <c r="AV218">
        <v>149.08088999118428</v>
      </c>
      <c r="AW218">
        <v>150.44578217911035</v>
      </c>
      <c r="AX218">
        <v>151.71539055389724</v>
      </c>
      <c r="AY218">
        <v>152.93839832709651</v>
      </c>
      <c r="BA218" s="1">
        <v>-1</v>
      </c>
      <c r="BB218" t="str">
        <f t="shared" si="3"/>
        <v>Pr - Centro-Sul PR</v>
      </c>
      <c r="BC218" s="3" t="s">
        <v>144</v>
      </c>
      <c r="BD218" s="3" t="s">
        <v>144</v>
      </c>
      <c r="BE218" s="3" t="s">
        <v>144</v>
      </c>
      <c r="BF218" s="3" t="s">
        <v>144</v>
      </c>
      <c r="BG218" s="3" t="s">
        <v>144</v>
      </c>
      <c r="BH218" s="3" t="s">
        <v>144</v>
      </c>
      <c r="BI218" s="3" t="s">
        <v>144</v>
      </c>
      <c r="BJ218" s="3" t="s">
        <v>144</v>
      </c>
      <c r="BK218" s="3" t="s">
        <v>144</v>
      </c>
      <c r="BL218" s="3" t="s">
        <v>144</v>
      </c>
      <c r="BM218" s="3" t="s">
        <v>144</v>
      </c>
      <c r="BN218" s="3" t="s">
        <v>144</v>
      </c>
      <c r="BO218" s="3" t="s">
        <v>144</v>
      </c>
      <c r="BP218" s="3" t="s">
        <v>144</v>
      </c>
      <c r="BQ218" s="3" t="s">
        <v>144</v>
      </c>
      <c r="BR218" s="3" t="s">
        <v>144</v>
      </c>
      <c r="BS218" s="3" t="s">
        <v>144</v>
      </c>
      <c r="BT218" s="3" t="s">
        <v>144</v>
      </c>
      <c r="BU218" s="3" t="s">
        <v>144</v>
      </c>
      <c r="BV218" s="3" t="s">
        <v>144</v>
      </c>
      <c r="BW218" s="3" t="s">
        <v>144</v>
      </c>
      <c r="BX218" s="3" t="s">
        <v>144</v>
      </c>
      <c r="BY218" s="3" t="s">
        <v>144</v>
      </c>
      <c r="BZ218" s="3" t="s">
        <v>144</v>
      </c>
      <c r="CA218" s="3" t="s">
        <v>144</v>
      </c>
      <c r="CB218" s="3" t="s">
        <v>144</v>
      </c>
      <c r="CC218" s="3" t="s">
        <v>144</v>
      </c>
      <c r="CD218" s="3" t="s">
        <v>144</v>
      </c>
      <c r="CE218" s="3" t="s">
        <v>144</v>
      </c>
      <c r="CF218" s="3" t="s">
        <v>144</v>
      </c>
      <c r="CG218" s="3" t="s">
        <v>144</v>
      </c>
      <c r="CH218" s="3" t="s">
        <v>144</v>
      </c>
      <c r="CI218" s="3" t="s">
        <v>144</v>
      </c>
      <c r="CJ218" s="3" t="s">
        <v>144</v>
      </c>
      <c r="CK218" s="3" t="s">
        <v>144</v>
      </c>
      <c r="CL218" s="3" t="s">
        <v>144</v>
      </c>
      <c r="CM218" s="3" t="s">
        <v>144</v>
      </c>
      <c r="CN218" s="3" t="s">
        <v>144</v>
      </c>
      <c r="CO218" s="3" t="s">
        <v>144</v>
      </c>
      <c r="CP218" s="3" t="s">
        <v>144</v>
      </c>
      <c r="CQ218" s="3" t="s">
        <v>144</v>
      </c>
      <c r="CR218" s="3" t="s">
        <v>144</v>
      </c>
      <c r="CS218" s="3" t="s">
        <v>144</v>
      </c>
      <c r="CT218" s="3" t="s">
        <v>144</v>
      </c>
      <c r="CU218" s="3" t="s">
        <v>144</v>
      </c>
      <c r="CV218" s="3" t="s">
        <v>144</v>
      </c>
      <c r="CW218" s="3" t="s">
        <v>144</v>
      </c>
      <c r="CX218" s="3" t="s">
        <v>144</v>
      </c>
      <c r="CY218" s="3" t="s">
        <v>144</v>
      </c>
    </row>
    <row r="219" spans="1:103" x14ac:dyDescent="0.25">
      <c r="A219" t="s">
        <v>112</v>
      </c>
      <c r="B219" t="s">
        <v>4</v>
      </c>
      <c r="C219">
        <v>161.53747352532713</v>
      </c>
      <c r="D219">
        <v>74.585807239726719</v>
      </c>
      <c r="E219">
        <v>49.568554757973899</v>
      </c>
      <c r="F219">
        <v>44.597853708944662</v>
      </c>
      <c r="G219">
        <v>50.508501810233817</v>
      </c>
      <c r="H219">
        <v>94.713897380107568</v>
      </c>
      <c r="I219">
        <v>84.036851235314629</v>
      </c>
      <c r="J219">
        <v>104.69614402168058</v>
      </c>
      <c r="K219">
        <v>101.1629083276091</v>
      </c>
      <c r="L219">
        <v>100.97943050622122</v>
      </c>
      <c r="M219">
        <v>98.357613408545646</v>
      </c>
      <c r="N219">
        <v>83.869312484274374</v>
      </c>
      <c r="O219">
        <v>80.947050451369535</v>
      </c>
      <c r="P219">
        <v>73.78443714894118</v>
      </c>
      <c r="Q219">
        <v>75.965322551091006</v>
      </c>
      <c r="R219">
        <v>80.034930412745183</v>
      </c>
      <c r="S219">
        <v>85.759634003797103</v>
      </c>
      <c r="T219">
        <v>94.504964659088898</v>
      </c>
      <c r="U219">
        <v>100.28349940169679</v>
      </c>
      <c r="V219">
        <v>106.08902688345223</v>
      </c>
      <c r="W219">
        <v>108.47525315426191</v>
      </c>
      <c r="X219">
        <v>109.25454014215737</v>
      </c>
      <c r="Y219">
        <v>108.98011350244468</v>
      </c>
      <c r="Z219">
        <v>107.83951575771732</v>
      </c>
      <c r="AA219">
        <v>107.5688228936076</v>
      </c>
      <c r="AB219">
        <v>107.69135237011169</v>
      </c>
      <c r="AC219">
        <v>109.06534756852682</v>
      </c>
      <c r="AD219">
        <v>111.23654495847155</v>
      </c>
      <c r="AE219">
        <v>113.925255526828</v>
      </c>
      <c r="AF219">
        <v>116.88721950560577</v>
      </c>
      <c r="AG219">
        <v>119.52630201348818</v>
      </c>
      <c r="AH219">
        <v>121.80420741908965</v>
      </c>
      <c r="AI219">
        <v>123.45314704183251</v>
      </c>
      <c r="AJ219">
        <v>124.58116548765234</v>
      </c>
      <c r="AK219">
        <v>125.32585802274563</v>
      </c>
      <c r="AL219">
        <v>125.85641263167658</v>
      </c>
      <c r="AM219">
        <v>126.42924597030502</v>
      </c>
      <c r="AN219">
        <v>127.1460873021562</v>
      </c>
      <c r="AO219">
        <v>128.1135080390751</v>
      </c>
      <c r="AP219">
        <v>129.30245378204566</v>
      </c>
      <c r="AQ219">
        <v>130.63784746679207</v>
      </c>
      <c r="AR219">
        <v>132.01869617853728</v>
      </c>
      <c r="AS219">
        <v>133.32560223049751</v>
      </c>
      <c r="AT219">
        <v>134.49220798835375</v>
      </c>
      <c r="AU219">
        <v>135.47655331007468</v>
      </c>
      <c r="AV219">
        <v>136.29223454501403</v>
      </c>
      <c r="AW219">
        <v>136.98119735216511</v>
      </c>
      <c r="AX219">
        <v>137.5991707965992</v>
      </c>
      <c r="AY219">
        <v>138.20469584183959</v>
      </c>
      <c r="BA219" s="1">
        <v>1</v>
      </c>
      <c r="BB219" t="str">
        <f t="shared" si="3"/>
        <v>Pr - Sudeste PR</v>
      </c>
      <c r="BC219" s="3">
        <v>100.11582502323512</v>
      </c>
      <c r="BD219" s="3">
        <v>74.19223054795809</v>
      </c>
      <c r="BE219" s="3">
        <v>-9.2794558714671993</v>
      </c>
      <c r="BF219" s="3">
        <v>28.079505228269621</v>
      </c>
      <c r="BG219" s="3">
        <v>-9.578378853828255</v>
      </c>
      <c r="BH219" s="3">
        <v>38.747182500372837</v>
      </c>
      <c r="BI219" s="3">
        <v>31.775580718679016</v>
      </c>
      <c r="BJ219" s="3">
        <v>35.730664944316118</v>
      </c>
      <c r="BK219" s="3">
        <v>48.032956831705867</v>
      </c>
      <c r="BL219" s="3">
        <v>37.639231749053579</v>
      </c>
      <c r="BM219" s="3">
        <v>45.471425773785228</v>
      </c>
      <c r="BN219" s="3">
        <v>31.619719735910216</v>
      </c>
      <c r="BO219" s="3">
        <v>28.411256800625139</v>
      </c>
      <c r="BP219" s="3">
        <v>23.84640947618928</v>
      </c>
      <c r="BQ219" s="3">
        <v>19.378918188045908</v>
      </c>
      <c r="BR219" s="3">
        <v>21.352151876242019</v>
      </c>
      <c r="BS219" s="3">
        <v>19.432943084408691</v>
      </c>
      <c r="BT219" s="3">
        <v>22.576679120682954</v>
      </c>
      <c r="BU219" s="3">
        <v>23.525295392350216</v>
      </c>
      <c r="BV219" s="3">
        <v>24.736965130490589</v>
      </c>
      <c r="BW219" s="3">
        <v>25.538821548873827</v>
      </c>
      <c r="BX219" s="3">
        <v>24.298249824646732</v>
      </c>
      <c r="BY219" s="3">
        <v>23.497943868515634</v>
      </c>
      <c r="BZ219" s="3">
        <v>21.302024276575693</v>
      </c>
      <c r="CA219" s="3">
        <v>19.548083023987274</v>
      </c>
      <c r="CB219" s="3">
        <v>17.854056319080343</v>
      </c>
      <c r="CC219" s="3">
        <v>16.50126208791086</v>
      </c>
      <c r="CD219" s="3">
        <v>15.936212578461408</v>
      </c>
      <c r="CE219" s="3">
        <v>15.562151438351393</v>
      </c>
      <c r="CF219" s="3">
        <v>15.695594269120704</v>
      </c>
      <c r="CG219" s="3">
        <v>15.792612407560739</v>
      </c>
      <c r="CH219" s="3">
        <v>15.830500522048311</v>
      </c>
      <c r="CI219" s="3">
        <v>15.681496168185546</v>
      </c>
      <c r="CJ219" s="3">
        <v>15.223258292094769</v>
      </c>
      <c r="CK219" s="3">
        <v>14.614799064066645</v>
      </c>
      <c r="CL219" s="3">
        <v>13.833819946471166</v>
      </c>
      <c r="CM219" s="3">
        <v>13.062768805248879</v>
      </c>
      <c r="CN219" s="3">
        <v>12.35777823038481</v>
      </c>
      <c r="CO219" s="3">
        <v>11.778586506603645</v>
      </c>
      <c r="CP219" s="3">
        <v>11.362226081654669</v>
      </c>
      <c r="CQ219" s="3">
        <v>11.06174085776054</v>
      </c>
      <c r="CR219" s="3">
        <v>10.858695905552736</v>
      </c>
      <c r="CS219" s="3">
        <v>10.682883464847862</v>
      </c>
      <c r="CT219" s="3">
        <v>10.494999415267344</v>
      </c>
      <c r="CU219" s="3">
        <v>10.263171836878925</v>
      </c>
      <c r="CV219" s="3">
        <v>9.9713414063520247</v>
      </c>
      <c r="CW219" s="3">
        <v>9.6332635805897269</v>
      </c>
      <c r="CX219" s="3">
        <v>9.2639489545558433</v>
      </c>
      <c r="CY219" s="3">
        <v>8.8938065080680531</v>
      </c>
    </row>
    <row r="220" spans="1:103" x14ac:dyDescent="0.25">
      <c r="A220" t="s">
        <v>112</v>
      </c>
      <c r="B220" t="s">
        <v>5</v>
      </c>
      <c r="C220">
        <v>61.421648502092005</v>
      </c>
      <c r="D220">
        <v>0.3935766917686242</v>
      </c>
      <c r="E220">
        <v>58.848010629441099</v>
      </c>
      <c r="F220">
        <v>16.518348480675041</v>
      </c>
      <c r="G220">
        <v>60.086880664062072</v>
      </c>
      <c r="H220">
        <v>55.966714879734731</v>
      </c>
      <c r="I220">
        <v>52.261270516635612</v>
      </c>
      <c r="J220">
        <v>68.965479077364463</v>
      </c>
      <c r="K220">
        <v>53.129951495903235</v>
      </c>
      <c r="L220">
        <v>63.340198757167641</v>
      </c>
      <c r="M220">
        <v>52.886187634760418</v>
      </c>
      <c r="N220">
        <v>52.249592748364158</v>
      </c>
      <c r="O220">
        <v>52.535793650744395</v>
      </c>
      <c r="P220">
        <v>49.9380276727519</v>
      </c>
      <c r="Q220">
        <v>56.586404363045098</v>
      </c>
      <c r="R220">
        <v>58.682778536503164</v>
      </c>
      <c r="S220">
        <v>66.326690919388412</v>
      </c>
      <c r="T220">
        <v>71.928285538405945</v>
      </c>
      <c r="U220">
        <v>76.758204009346571</v>
      </c>
      <c r="V220">
        <v>81.352061752961646</v>
      </c>
      <c r="W220">
        <v>82.93643160538808</v>
      </c>
      <c r="X220">
        <v>84.956290317510636</v>
      </c>
      <c r="Y220">
        <v>85.482169633929047</v>
      </c>
      <c r="Z220">
        <v>86.537491481141629</v>
      </c>
      <c r="AA220">
        <v>88.020739869620328</v>
      </c>
      <c r="AB220">
        <v>89.837296051031345</v>
      </c>
      <c r="AC220">
        <v>92.564085480615958</v>
      </c>
      <c r="AD220">
        <v>95.300332380010147</v>
      </c>
      <c r="AE220">
        <v>98.363104088476604</v>
      </c>
      <c r="AF220">
        <v>101.19162523648507</v>
      </c>
      <c r="AG220">
        <v>103.73368960592744</v>
      </c>
      <c r="AH220">
        <v>105.97370689704134</v>
      </c>
      <c r="AI220">
        <v>107.77165087364696</v>
      </c>
      <c r="AJ220">
        <v>109.35790719555757</v>
      </c>
      <c r="AK220">
        <v>110.71105895867899</v>
      </c>
      <c r="AL220">
        <v>112.02259268520541</v>
      </c>
      <c r="AM220">
        <v>113.36647716505614</v>
      </c>
      <c r="AN220">
        <v>114.78830907177139</v>
      </c>
      <c r="AO220">
        <v>116.33492153247145</v>
      </c>
      <c r="AP220">
        <v>117.94022770039099</v>
      </c>
      <c r="AQ220">
        <v>119.57610660903153</v>
      </c>
      <c r="AR220">
        <v>121.16000027298455</v>
      </c>
      <c r="AS220">
        <v>122.64271876564965</v>
      </c>
      <c r="AT220">
        <v>123.99720857308641</v>
      </c>
      <c r="AU220">
        <v>125.21338147319575</v>
      </c>
      <c r="AV220">
        <v>126.320893138662</v>
      </c>
      <c r="AW220">
        <v>127.34793377157538</v>
      </c>
      <c r="AX220">
        <v>128.33522184204335</v>
      </c>
      <c r="AY220">
        <v>129.31088933377154</v>
      </c>
      <c r="BA220" s="1">
        <v>-1</v>
      </c>
      <c r="BB220" t="str">
        <f t="shared" si="3"/>
        <v>Pr - Sudeste PR</v>
      </c>
      <c r="BC220" s="3" t="s">
        <v>144</v>
      </c>
      <c r="BD220" s="3" t="s">
        <v>144</v>
      </c>
      <c r="BE220" s="3" t="s">
        <v>144</v>
      </c>
      <c r="BF220" s="3" t="s">
        <v>144</v>
      </c>
      <c r="BG220" s="3" t="s">
        <v>144</v>
      </c>
      <c r="BH220" s="3" t="s">
        <v>144</v>
      </c>
      <c r="BI220" s="3" t="s">
        <v>144</v>
      </c>
      <c r="BJ220" s="3" t="s">
        <v>144</v>
      </c>
      <c r="BK220" s="3" t="s">
        <v>144</v>
      </c>
      <c r="BL220" s="3" t="s">
        <v>144</v>
      </c>
      <c r="BM220" s="3" t="s">
        <v>144</v>
      </c>
      <c r="BN220" s="3" t="s">
        <v>144</v>
      </c>
      <c r="BO220" s="3" t="s">
        <v>144</v>
      </c>
      <c r="BP220" s="3" t="s">
        <v>144</v>
      </c>
      <c r="BQ220" s="3" t="s">
        <v>144</v>
      </c>
      <c r="BR220" s="3" t="s">
        <v>144</v>
      </c>
      <c r="BS220" s="3" t="s">
        <v>144</v>
      </c>
      <c r="BT220" s="3" t="s">
        <v>144</v>
      </c>
      <c r="BU220" s="3" t="s">
        <v>144</v>
      </c>
      <c r="BV220" s="3" t="s">
        <v>144</v>
      </c>
      <c r="BW220" s="3" t="s">
        <v>144</v>
      </c>
      <c r="BX220" s="3" t="s">
        <v>144</v>
      </c>
      <c r="BY220" s="3" t="s">
        <v>144</v>
      </c>
      <c r="BZ220" s="3" t="s">
        <v>144</v>
      </c>
      <c r="CA220" s="3" t="s">
        <v>144</v>
      </c>
      <c r="CB220" s="3" t="s">
        <v>144</v>
      </c>
      <c r="CC220" s="3" t="s">
        <v>144</v>
      </c>
      <c r="CD220" s="3" t="s">
        <v>144</v>
      </c>
      <c r="CE220" s="3" t="s">
        <v>144</v>
      </c>
      <c r="CF220" s="3" t="s">
        <v>144</v>
      </c>
      <c r="CG220" s="3" t="s">
        <v>144</v>
      </c>
      <c r="CH220" s="3" t="s">
        <v>144</v>
      </c>
      <c r="CI220" s="3" t="s">
        <v>144</v>
      </c>
      <c r="CJ220" s="3" t="s">
        <v>144</v>
      </c>
      <c r="CK220" s="3" t="s">
        <v>144</v>
      </c>
      <c r="CL220" s="3" t="s">
        <v>144</v>
      </c>
      <c r="CM220" s="3" t="s">
        <v>144</v>
      </c>
      <c r="CN220" s="3" t="s">
        <v>144</v>
      </c>
      <c r="CO220" s="3" t="s">
        <v>144</v>
      </c>
      <c r="CP220" s="3" t="s">
        <v>144</v>
      </c>
      <c r="CQ220" s="3" t="s">
        <v>144</v>
      </c>
      <c r="CR220" s="3" t="s">
        <v>144</v>
      </c>
      <c r="CS220" s="3" t="s">
        <v>144</v>
      </c>
      <c r="CT220" s="3" t="s">
        <v>144</v>
      </c>
      <c r="CU220" s="3" t="s">
        <v>144</v>
      </c>
      <c r="CV220" s="3" t="s">
        <v>144</v>
      </c>
      <c r="CW220" s="3" t="s">
        <v>144</v>
      </c>
      <c r="CX220" s="3" t="s">
        <v>144</v>
      </c>
      <c r="CY220" s="3" t="s">
        <v>144</v>
      </c>
    </row>
    <row r="221" spans="1:103" x14ac:dyDescent="0.25">
      <c r="A221" t="s">
        <v>113</v>
      </c>
      <c r="B221" t="s">
        <v>4</v>
      </c>
      <c r="C221">
        <v>3848.6315558461852</v>
      </c>
      <c r="D221">
        <v>2586.4969922209093</v>
      </c>
      <c r="E221">
        <v>2671.5464129162065</v>
      </c>
      <c r="F221">
        <v>2690.8444889297048</v>
      </c>
      <c r="G221">
        <v>2861.3939918091073</v>
      </c>
      <c r="H221">
        <v>3876.3119923212648</v>
      </c>
      <c r="I221">
        <v>3637.0155193200503</v>
      </c>
      <c r="J221">
        <v>4194.4778803294585</v>
      </c>
      <c r="K221">
        <v>4120.3301793857399</v>
      </c>
      <c r="L221">
        <v>4181.3798733995691</v>
      </c>
      <c r="M221">
        <v>4156.8929874527075</v>
      </c>
      <c r="N221">
        <v>3854.9156363928332</v>
      </c>
      <c r="O221">
        <v>3789.2658967314278</v>
      </c>
      <c r="P221">
        <v>3578.7031597221207</v>
      </c>
      <c r="Q221">
        <v>3575.961314938349</v>
      </c>
      <c r="R221">
        <v>3595.1302468575695</v>
      </c>
      <c r="S221">
        <v>3658.7203433397131</v>
      </c>
      <c r="T221">
        <v>3794.47859043469</v>
      </c>
      <c r="U221">
        <v>3870.5279731968049</v>
      </c>
      <c r="V221">
        <v>3961.5664208169983</v>
      </c>
      <c r="W221">
        <v>3980.2621824295093</v>
      </c>
      <c r="X221">
        <v>3970.7541276207153</v>
      </c>
      <c r="Y221">
        <v>3937.2346607303275</v>
      </c>
      <c r="Z221">
        <v>3882.8039393173631</v>
      </c>
      <c r="AA221">
        <v>3844.8521702683115</v>
      </c>
      <c r="AB221">
        <v>3810.5880723322834</v>
      </c>
      <c r="AC221">
        <v>3801.854370535511</v>
      </c>
      <c r="AD221">
        <v>3808.6260495628694</v>
      </c>
      <c r="AE221">
        <v>3827.8600656573408</v>
      </c>
      <c r="AF221">
        <v>3855.6359833816064</v>
      </c>
      <c r="AG221">
        <v>3879.7419176336721</v>
      </c>
      <c r="AH221">
        <v>3899.9794827281762</v>
      </c>
      <c r="AI221">
        <v>3909.3932094221632</v>
      </c>
      <c r="AJ221">
        <v>3909.7067950020178</v>
      </c>
      <c r="AK221">
        <v>3902.5474738184948</v>
      </c>
      <c r="AL221">
        <v>3890.7639455466001</v>
      </c>
      <c r="AM221">
        <v>3879.506270413638</v>
      </c>
      <c r="AN221">
        <v>3870.8352127198482</v>
      </c>
      <c r="AO221">
        <v>3867.4985133315363</v>
      </c>
      <c r="AP221">
        <v>3869.2579917963708</v>
      </c>
      <c r="AQ221">
        <v>3875.0341514621364</v>
      </c>
      <c r="AR221">
        <v>3882.9970914799296</v>
      </c>
      <c r="AS221">
        <v>3890.7294904920714</v>
      </c>
      <c r="AT221">
        <v>3896.8080610681168</v>
      </c>
      <c r="AU221">
        <v>3900.1251213183859</v>
      </c>
      <c r="AV221">
        <v>3900.7361761449133</v>
      </c>
      <c r="AW221">
        <v>3899.2593027761841</v>
      </c>
      <c r="AX221">
        <v>3896.6717544447488</v>
      </c>
      <c r="AY221">
        <v>3894.0986725128832</v>
      </c>
      <c r="BA221" s="1">
        <v>1</v>
      </c>
      <c r="BB221" t="str">
        <f t="shared" si="3"/>
        <v>Pr - Metropol de Curitiba</v>
      </c>
      <c r="BC221" s="3">
        <v>2578.4127761838254</v>
      </c>
      <c r="BD221" s="3">
        <v>1216.8502115036083</v>
      </c>
      <c r="BE221" s="3">
        <v>337.2492942385029</v>
      </c>
      <c r="BF221" s="3">
        <v>1413.9279241243764</v>
      </c>
      <c r="BG221" s="3">
        <v>569.61160595950105</v>
      </c>
      <c r="BH221" s="3">
        <v>1439.747445021213</v>
      </c>
      <c r="BI221" s="3">
        <v>875.43061333662399</v>
      </c>
      <c r="BJ221" s="3">
        <v>1100.3652732313203</v>
      </c>
      <c r="BK221" s="3">
        <v>1172.4035711571896</v>
      </c>
      <c r="BL221" s="3">
        <v>913.29324577494208</v>
      </c>
      <c r="BM221" s="3">
        <v>1032.4981741317774</v>
      </c>
      <c r="BN221" s="3">
        <v>701.63267623196361</v>
      </c>
      <c r="BO221" s="3">
        <v>703.81731486007766</v>
      </c>
      <c r="BP221" s="3">
        <v>570.71747809726867</v>
      </c>
      <c r="BQ221" s="3">
        <v>496.96331261146906</v>
      </c>
      <c r="BR221" s="3">
        <v>511.01100554998629</v>
      </c>
      <c r="BS221" s="3">
        <v>444.96024299310557</v>
      </c>
      <c r="BT221" s="3">
        <v>487.34342350914494</v>
      </c>
      <c r="BU221" s="3">
        <v>454.78645954693093</v>
      </c>
      <c r="BV221" s="3">
        <v>448.0223879027958</v>
      </c>
      <c r="BW221" s="3">
        <v>421.42222839682245</v>
      </c>
      <c r="BX221" s="3">
        <v>369.33168040373403</v>
      </c>
      <c r="BY221" s="3">
        <v>333.40831030105073</v>
      </c>
      <c r="BZ221" s="3">
        <v>272.80811290509291</v>
      </c>
      <c r="CA221" s="3">
        <v>231.0067712710993</v>
      </c>
      <c r="CB221" s="3">
        <v>186.8271853600495</v>
      </c>
      <c r="CC221" s="3">
        <v>151.72669603390977</v>
      </c>
      <c r="CD221" s="3">
        <v>127.51342719523745</v>
      </c>
      <c r="CE221" s="3">
        <v>103.85625426549404</v>
      </c>
      <c r="CF221" s="3">
        <v>88.684543222711909</v>
      </c>
      <c r="CG221" s="3">
        <v>70.505423674174835</v>
      </c>
      <c r="CH221" s="3">
        <v>52.764071242537284</v>
      </c>
      <c r="CI221" s="3">
        <v>32.071864875619667</v>
      </c>
      <c r="CJ221" s="3">
        <v>7.811013232498226</v>
      </c>
      <c r="CK221" s="3">
        <v>-17.189160371617618</v>
      </c>
      <c r="CL221" s="3">
        <v>-43.917748215902066</v>
      </c>
      <c r="CM221" s="3">
        <v>-68.878467742280009</v>
      </c>
      <c r="CN221" s="3">
        <v>-92.19276808710265</v>
      </c>
      <c r="CO221" s="3">
        <v>-112.80690271641879</v>
      </c>
      <c r="CP221" s="3">
        <v>-130.64090806023432</v>
      </c>
      <c r="CQ221" s="3">
        <v>-146.67998932608998</v>
      </c>
      <c r="CR221" s="3">
        <v>-161.1552719238266</v>
      </c>
      <c r="CS221" s="3">
        <v>-175.30902998859438</v>
      </c>
      <c r="CT221" s="3">
        <v>-189.44927992965222</v>
      </c>
      <c r="CU221" s="3">
        <v>-203.98859949119651</v>
      </c>
      <c r="CV221" s="3">
        <v>-218.96624884003131</v>
      </c>
      <c r="CW221" s="3">
        <v>-234.05642987026204</v>
      </c>
      <c r="CX221" s="3">
        <v>-249.0414720507265</v>
      </c>
      <c r="CY221" s="3">
        <v>-263.46275896965562</v>
      </c>
    </row>
    <row r="222" spans="1:103" x14ac:dyDescent="0.25">
      <c r="A222" t="s">
        <v>113</v>
      </c>
      <c r="B222" t="s">
        <v>5</v>
      </c>
      <c r="C222">
        <v>1270.2187796623598</v>
      </c>
      <c r="D222">
        <v>1369.646780717301</v>
      </c>
      <c r="E222">
        <v>2334.2971186777036</v>
      </c>
      <c r="F222">
        <v>1276.9165648053283</v>
      </c>
      <c r="G222">
        <v>2291.7823858496063</v>
      </c>
      <c r="H222">
        <v>2436.5645473000518</v>
      </c>
      <c r="I222">
        <v>2761.5849059834263</v>
      </c>
      <c r="J222">
        <v>3094.1126070981381</v>
      </c>
      <c r="K222">
        <v>2947.9266082285503</v>
      </c>
      <c r="L222">
        <v>3268.086627624627</v>
      </c>
      <c r="M222">
        <v>3124.3948133209301</v>
      </c>
      <c r="N222">
        <v>3153.2829601608696</v>
      </c>
      <c r="O222">
        <v>3085.4485818713501</v>
      </c>
      <c r="P222">
        <v>3007.9856816248521</v>
      </c>
      <c r="Q222">
        <v>3078.9980023268799</v>
      </c>
      <c r="R222">
        <v>3084.1192413075833</v>
      </c>
      <c r="S222">
        <v>3213.7601003466075</v>
      </c>
      <c r="T222">
        <v>3307.135166925545</v>
      </c>
      <c r="U222">
        <v>3415.7415136498739</v>
      </c>
      <c r="V222">
        <v>3513.5440329142025</v>
      </c>
      <c r="W222">
        <v>3558.8399540326868</v>
      </c>
      <c r="X222">
        <v>3601.4224472169813</v>
      </c>
      <c r="Y222">
        <v>3603.8263504292768</v>
      </c>
      <c r="Z222">
        <v>3609.9958264122702</v>
      </c>
      <c r="AA222">
        <v>3613.8453989972122</v>
      </c>
      <c r="AB222">
        <v>3623.7608869722339</v>
      </c>
      <c r="AC222">
        <v>3650.1276745016012</v>
      </c>
      <c r="AD222">
        <v>3681.112622367632</v>
      </c>
      <c r="AE222">
        <v>3724.0038113918467</v>
      </c>
      <c r="AF222">
        <v>3766.9514401588945</v>
      </c>
      <c r="AG222">
        <v>3809.2364939594972</v>
      </c>
      <c r="AH222">
        <v>3847.2154114856389</v>
      </c>
      <c r="AI222">
        <v>3877.3213445465435</v>
      </c>
      <c r="AJ222">
        <v>3901.8957817695195</v>
      </c>
      <c r="AK222">
        <v>3919.7366341901125</v>
      </c>
      <c r="AL222">
        <v>3934.6816937625022</v>
      </c>
      <c r="AM222">
        <v>3948.3847381559181</v>
      </c>
      <c r="AN222">
        <v>3963.0279808069508</v>
      </c>
      <c r="AO222">
        <v>3980.3054160479551</v>
      </c>
      <c r="AP222">
        <v>3999.8988998566051</v>
      </c>
      <c r="AQ222">
        <v>4021.7141407882264</v>
      </c>
      <c r="AR222">
        <v>4044.1523634037562</v>
      </c>
      <c r="AS222">
        <v>4066.0385204806657</v>
      </c>
      <c r="AT222">
        <v>4086.257340997769</v>
      </c>
      <c r="AU222">
        <v>4104.1137208095824</v>
      </c>
      <c r="AV222">
        <v>4119.7024249849446</v>
      </c>
      <c r="AW222">
        <v>4133.3157326464461</v>
      </c>
      <c r="AX222">
        <v>4145.7132264954753</v>
      </c>
      <c r="AY222">
        <v>4157.5614314825389</v>
      </c>
      <c r="BA222" s="1">
        <v>-1</v>
      </c>
      <c r="BB222" t="str">
        <f t="shared" si="3"/>
        <v>Pr - Metropol de Curitiba</v>
      </c>
      <c r="BC222" s="3" t="s">
        <v>144</v>
      </c>
      <c r="BD222" s="3" t="s">
        <v>144</v>
      </c>
      <c r="BE222" s="3" t="s">
        <v>144</v>
      </c>
      <c r="BF222" s="3" t="s">
        <v>144</v>
      </c>
      <c r="BG222" s="3" t="s">
        <v>144</v>
      </c>
      <c r="BH222" s="3" t="s">
        <v>144</v>
      </c>
      <c r="BI222" s="3" t="s">
        <v>144</v>
      </c>
      <c r="BJ222" s="3" t="s">
        <v>144</v>
      </c>
      <c r="BK222" s="3" t="s">
        <v>144</v>
      </c>
      <c r="BL222" s="3" t="s">
        <v>144</v>
      </c>
      <c r="BM222" s="3" t="s">
        <v>144</v>
      </c>
      <c r="BN222" s="3" t="s">
        <v>144</v>
      </c>
      <c r="BO222" s="3" t="s">
        <v>144</v>
      </c>
      <c r="BP222" s="3" t="s">
        <v>144</v>
      </c>
      <c r="BQ222" s="3" t="s">
        <v>144</v>
      </c>
      <c r="BR222" s="3" t="s">
        <v>144</v>
      </c>
      <c r="BS222" s="3" t="s">
        <v>144</v>
      </c>
      <c r="BT222" s="3" t="s">
        <v>144</v>
      </c>
      <c r="BU222" s="3" t="s">
        <v>144</v>
      </c>
      <c r="BV222" s="3" t="s">
        <v>144</v>
      </c>
      <c r="BW222" s="3" t="s">
        <v>144</v>
      </c>
      <c r="BX222" s="3" t="s">
        <v>144</v>
      </c>
      <c r="BY222" s="3" t="s">
        <v>144</v>
      </c>
      <c r="BZ222" s="3" t="s">
        <v>144</v>
      </c>
      <c r="CA222" s="3" t="s">
        <v>144</v>
      </c>
      <c r="CB222" s="3" t="s">
        <v>144</v>
      </c>
      <c r="CC222" s="3" t="s">
        <v>144</v>
      </c>
      <c r="CD222" s="3" t="s">
        <v>144</v>
      </c>
      <c r="CE222" s="3" t="s">
        <v>144</v>
      </c>
      <c r="CF222" s="3" t="s">
        <v>144</v>
      </c>
      <c r="CG222" s="3" t="s">
        <v>144</v>
      </c>
      <c r="CH222" s="3" t="s">
        <v>144</v>
      </c>
      <c r="CI222" s="3" t="s">
        <v>144</v>
      </c>
      <c r="CJ222" s="3" t="s">
        <v>144</v>
      </c>
      <c r="CK222" s="3" t="s">
        <v>144</v>
      </c>
      <c r="CL222" s="3" t="s">
        <v>144</v>
      </c>
      <c r="CM222" s="3" t="s">
        <v>144</v>
      </c>
      <c r="CN222" s="3" t="s">
        <v>144</v>
      </c>
      <c r="CO222" s="3" t="s">
        <v>144</v>
      </c>
      <c r="CP222" s="3" t="s">
        <v>144</v>
      </c>
      <c r="CQ222" s="3" t="s">
        <v>144</v>
      </c>
      <c r="CR222" s="3" t="s">
        <v>144</v>
      </c>
      <c r="CS222" s="3" t="s">
        <v>144</v>
      </c>
      <c r="CT222" s="3" t="s">
        <v>144</v>
      </c>
      <c r="CU222" s="3" t="s">
        <v>144</v>
      </c>
      <c r="CV222" s="3" t="s">
        <v>144</v>
      </c>
      <c r="CW222" s="3" t="s">
        <v>144</v>
      </c>
      <c r="CX222" s="3" t="s">
        <v>144</v>
      </c>
      <c r="CY222" s="3" t="s">
        <v>144</v>
      </c>
    </row>
    <row r="223" spans="1:103" x14ac:dyDescent="0.25">
      <c r="A223" t="s">
        <v>114</v>
      </c>
      <c r="B223" t="s">
        <v>4</v>
      </c>
      <c r="C223">
        <v>1186.8627554947864</v>
      </c>
      <c r="D223">
        <v>182.48459424437414</v>
      </c>
      <c r="E223">
        <v>179.58489227815352</v>
      </c>
      <c r="F223">
        <v>668.49606678633677</v>
      </c>
      <c r="G223">
        <v>741.95239426344551</v>
      </c>
      <c r="H223">
        <v>995.65963290129844</v>
      </c>
      <c r="I223">
        <v>852.24746540353397</v>
      </c>
      <c r="J223">
        <v>1012.6437807688859</v>
      </c>
      <c r="K223">
        <v>1001.3024250598648</v>
      </c>
      <c r="L223">
        <v>940.10731695535731</v>
      </c>
      <c r="M223">
        <v>913.35949857617277</v>
      </c>
      <c r="N223">
        <v>804.38036128886392</v>
      </c>
      <c r="O223">
        <v>802.41507735073287</v>
      </c>
      <c r="P223">
        <v>761.19518132601354</v>
      </c>
      <c r="Q223">
        <v>771.29219619476521</v>
      </c>
      <c r="R223">
        <v>798.39746914948796</v>
      </c>
      <c r="S223">
        <v>823.98378198794387</v>
      </c>
      <c r="T223">
        <v>871.82653838440717</v>
      </c>
      <c r="U223">
        <v>890.38215557216245</v>
      </c>
      <c r="V223">
        <v>907.59623661072362</v>
      </c>
      <c r="W223">
        <v>903.37488920639737</v>
      </c>
      <c r="X223">
        <v>889.16990137450875</v>
      </c>
      <c r="Y223">
        <v>873.47376132008105</v>
      </c>
      <c r="Z223">
        <v>853.78742216388127</v>
      </c>
      <c r="AA223">
        <v>843.7134219586685</v>
      </c>
      <c r="AB223">
        <v>837.69474339039948</v>
      </c>
      <c r="AC223">
        <v>840.06521064548849</v>
      </c>
      <c r="AD223">
        <v>847.22325671893964</v>
      </c>
      <c r="AE223">
        <v>855.81146209842223</v>
      </c>
      <c r="AF223">
        <v>865.14744349873183</v>
      </c>
      <c r="AG223">
        <v>871.19658119730582</v>
      </c>
      <c r="AH223">
        <v>874.68430687228522</v>
      </c>
      <c r="AI223">
        <v>874.48652564156396</v>
      </c>
      <c r="AJ223">
        <v>871.66637355434409</v>
      </c>
      <c r="AK223">
        <v>867.57772613294424</v>
      </c>
      <c r="AL223">
        <v>863.1113807556801</v>
      </c>
      <c r="AM223">
        <v>859.87208038493588</v>
      </c>
      <c r="AN223">
        <v>858.14540259070225</v>
      </c>
      <c r="AO223">
        <v>858.3157672104129</v>
      </c>
      <c r="AP223">
        <v>859.96730032093319</v>
      </c>
      <c r="AQ223">
        <v>862.40562725402913</v>
      </c>
      <c r="AR223">
        <v>864.97915956175166</v>
      </c>
      <c r="AS223">
        <v>866.94472631161727</v>
      </c>
      <c r="AT223">
        <v>868.0233499899939</v>
      </c>
      <c r="AU223">
        <v>868.10139759361061</v>
      </c>
      <c r="AV223">
        <v>867.39892783214009</v>
      </c>
      <c r="AW223">
        <v>866.28399186602371</v>
      </c>
      <c r="AX223">
        <v>865.12417001152107</v>
      </c>
      <c r="AY223">
        <v>864.2607686412025</v>
      </c>
      <c r="BA223" s="1">
        <v>1</v>
      </c>
      <c r="BB223" t="str">
        <f t="shared" si="3"/>
        <v>Sc - Oeste Catarinense</v>
      </c>
      <c r="BC223" s="3">
        <v>1153.0492399759551</v>
      </c>
      <c r="BD223" s="3">
        <v>139.23869041921233</v>
      </c>
      <c r="BE223" s="3">
        <v>-162.79544773609041</v>
      </c>
      <c r="BF223" s="3">
        <v>865.7429881385234</v>
      </c>
      <c r="BG223" s="3">
        <v>323.69083227649088</v>
      </c>
      <c r="BH223" s="3">
        <v>512.94558139128026</v>
      </c>
      <c r="BI223" s="3">
        <v>252.60075467657748</v>
      </c>
      <c r="BJ223" s="3">
        <v>327.41515104762175</v>
      </c>
      <c r="BK223" s="3">
        <v>406.59344307648701</v>
      </c>
      <c r="BL223" s="3">
        <v>224.66428873267216</v>
      </c>
      <c r="BM223" s="3">
        <v>302.19805598399921</v>
      </c>
      <c r="BN223" s="3">
        <v>193.06753852699558</v>
      </c>
      <c r="BO223" s="3">
        <v>228.94404930900271</v>
      </c>
      <c r="BP223" s="3">
        <v>214.48773332833605</v>
      </c>
      <c r="BQ223" s="3">
        <v>189.79747599619793</v>
      </c>
      <c r="BR223" s="3">
        <v>218.03341189145863</v>
      </c>
      <c r="BS223" s="3">
        <v>190.24752634689673</v>
      </c>
      <c r="BT223" s="3">
        <v>207.38995638187691</v>
      </c>
      <c r="BU223" s="3">
        <v>187.83116986536538</v>
      </c>
      <c r="BV223" s="3">
        <v>174.78936982551863</v>
      </c>
      <c r="BW223" s="3">
        <v>163.14116842633132</v>
      </c>
      <c r="BX223" s="3">
        <v>141.11423399657633</v>
      </c>
      <c r="BY223" s="3">
        <v>134.23964608275128</v>
      </c>
      <c r="BZ223" s="3">
        <v>118.72426184143694</v>
      </c>
      <c r="CA223" s="3">
        <v>112.50862022213016</v>
      </c>
      <c r="CB223" s="3">
        <v>105.67868997079756</v>
      </c>
      <c r="CC223" s="3">
        <v>99.150507752812359</v>
      </c>
      <c r="CD223" s="3">
        <v>95.417047873133697</v>
      </c>
      <c r="CE223" s="3">
        <v>88.374649192939728</v>
      </c>
      <c r="CF223" s="3">
        <v>83.345665482025652</v>
      </c>
      <c r="CG223" s="3">
        <v>76.207346067201911</v>
      </c>
      <c r="CH223" s="3">
        <v>69.136725160683113</v>
      </c>
      <c r="CI223" s="3">
        <v>61.931224452404649</v>
      </c>
      <c r="CJ223" s="3">
        <v>54.10646223535116</v>
      </c>
      <c r="CK223" s="3">
        <v>47.276687117328379</v>
      </c>
      <c r="CL223" s="3">
        <v>40.451655116251686</v>
      </c>
      <c r="CM223" s="3">
        <v>34.702214832034201</v>
      </c>
      <c r="CN223" s="3">
        <v>29.542874361801182</v>
      </c>
      <c r="CO223" s="3">
        <v>24.908971213676637</v>
      </c>
      <c r="CP223" s="3">
        <v>20.751272636198905</v>
      </c>
      <c r="CQ223" s="3">
        <v>16.537100373996168</v>
      </c>
      <c r="CR223" s="3">
        <v>12.38025892012206</v>
      </c>
      <c r="CS223" s="3">
        <v>7.9985674667731246</v>
      </c>
      <c r="CT223" s="3">
        <v>3.5281066861149384</v>
      </c>
      <c r="CU223" s="3">
        <v>-0.95134012633809562</v>
      </c>
      <c r="CV223" s="3">
        <v>-5.3611845664523798</v>
      </c>
      <c r="CW223" s="3">
        <v>-9.5294420844654724</v>
      </c>
      <c r="CX223" s="3">
        <v>-13.459163718181344</v>
      </c>
      <c r="CY223" s="3">
        <v>-17.088393239908783</v>
      </c>
    </row>
    <row r="224" spans="1:103" x14ac:dyDescent="0.25">
      <c r="A224" t="s">
        <v>114</v>
      </c>
      <c r="B224" t="s">
        <v>5</v>
      </c>
      <c r="C224">
        <v>33.813515518831281</v>
      </c>
      <c r="D224">
        <v>43.245903825161818</v>
      </c>
      <c r="E224">
        <v>342.38034001424393</v>
      </c>
      <c r="F224">
        <v>-197.2469213521866</v>
      </c>
      <c r="G224">
        <v>418.26156198695463</v>
      </c>
      <c r="H224">
        <v>482.71405151001824</v>
      </c>
      <c r="I224">
        <v>599.64671072695648</v>
      </c>
      <c r="J224">
        <v>685.22862972126416</v>
      </c>
      <c r="K224">
        <v>594.70898198337784</v>
      </c>
      <c r="L224">
        <v>715.44302822268514</v>
      </c>
      <c r="M224">
        <v>611.16144259217356</v>
      </c>
      <c r="N224">
        <v>611.31282276186835</v>
      </c>
      <c r="O224">
        <v>573.47102804173016</v>
      </c>
      <c r="P224">
        <v>546.70744799767749</v>
      </c>
      <c r="Q224">
        <v>581.49472019856728</v>
      </c>
      <c r="R224">
        <v>580.36405725802933</v>
      </c>
      <c r="S224">
        <v>633.73625564104714</v>
      </c>
      <c r="T224">
        <v>664.43658200253026</v>
      </c>
      <c r="U224">
        <v>702.55098570679706</v>
      </c>
      <c r="V224">
        <v>732.80686678520499</v>
      </c>
      <c r="W224">
        <v>740.23372078006605</v>
      </c>
      <c r="X224">
        <v>748.05566737793242</v>
      </c>
      <c r="Y224">
        <v>739.23411523732977</v>
      </c>
      <c r="Z224">
        <v>735.06316032244433</v>
      </c>
      <c r="AA224">
        <v>731.20480173653834</v>
      </c>
      <c r="AB224">
        <v>732.01605341960192</v>
      </c>
      <c r="AC224">
        <v>740.91470289267613</v>
      </c>
      <c r="AD224">
        <v>751.80620884580594</v>
      </c>
      <c r="AE224">
        <v>767.4368129054825</v>
      </c>
      <c r="AF224">
        <v>781.80177801670618</v>
      </c>
      <c r="AG224">
        <v>794.98923513010391</v>
      </c>
      <c r="AH224">
        <v>805.54758171160211</v>
      </c>
      <c r="AI224">
        <v>812.55530118915931</v>
      </c>
      <c r="AJ224">
        <v>817.55991131899293</v>
      </c>
      <c r="AK224">
        <v>820.30103901561586</v>
      </c>
      <c r="AL224">
        <v>822.65972563942842</v>
      </c>
      <c r="AM224">
        <v>825.16986555290168</v>
      </c>
      <c r="AN224">
        <v>828.60252822890106</v>
      </c>
      <c r="AO224">
        <v>833.40679599673626</v>
      </c>
      <c r="AP224">
        <v>839.21602768473429</v>
      </c>
      <c r="AQ224">
        <v>845.86852688003296</v>
      </c>
      <c r="AR224">
        <v>852.5989006416296</v>
      </c>
      <c r="AS224">
        <v>858.94615884484415</v>
      </c>
      <c r="AT224">
        <v>864.49524330387896</v>
      </c>
      <c r="AU224">
        <v>869.05273771994871</v>
      </c>
      <c r="AV224">
        <v>872.76011239859247</v>
      </c>
      <c r="AW224">
        <v>875.81343395048918</v>
      </c>
      <c r="AX224">
        <v>878.58333372970242</v>
      </c>
      <c r="AY224">
        <v>881.34916188111129</v>
      </c>
      <c r="BA224" s="1">
        <v>-1</v>
      </c>
      <c r="BB224" t="str">
        <f t="shared" si="3"/>
        <v>Sc - Oeste Catarinense</v>
      </c>
      <c r="BC224" s="3" t="s">
        <v>144</v>
      </c>
      <c r="BD224" s="3" t="s">
        <v>144</v>
      </c>
      <c r="BE224" s="3" t="s">
        <v>144</v>
      </c>
      <c r="BF224" s="3" t="s">
        <v>144</v>
      </c>
      <c r="BG224" s="3" t="s">
        <v>144</v>
      </c>
      <c r="BH224" s="3" t="s">
        <v>144</v>
      </c>
      <c r="BI224" s="3" t="s">
        <v>144</v>
      </c>
      <c r="BJ224" s="3" t="s">
        <v>144</v>
      </c>
      <c r="BK224" s="3" t="s">
        <v>144</v>
      </c>
      <c r="BL224" s="3" t="s">
        <v>144</v>
      </c>
      <c r="BM224" s="3" t="s">
        <v>144</v>
      </c>
      <c r="BN224" s="3" t="s">
        <v>144</v>
      </c>
      <c r="BO224" s="3" t="s">
        <v>144</v>
      </c>
      <c r="BP224" s="3" t="s">
        <v>144</v>
      </c>
      <c r="BQ224" s="3" t="s">
        <v>144</v>
      </c>
      <c r="BR224" s="3" t="s">
        <v>144</v>
      </c>
      <c r="BS224" s="3" t="s">
        <v>144</v>
      </c>
      <c r="BT224" s="3" t="s">
        <v>144</v>
      </c>
      <c r="BU224" s="3" t="s">
        <v>144</v>
      </c>
      <c r="BV224" s="3" t="s">
        <v>144</v>
      </c>
      <c r="BW224" s="3" t="s">
        <v>144</v>
      </c>
      <c r="BX224" s="3" t="s">
        <v>144</v>
      </c>
      <c r="BY224" s="3" t="s">
        <v>144</v>
      </c>
      <c r="BZ224" s="3" t="s">
        <v>144</v>
      </c>
      <c r="CA224" s="3" t="s">
        <v>144</v>
      </c>
      <c r="CB224" s="3" t="s">
        <v>144</v>
      </c>
      <c r="CC224" s="3" t="s">
        <v>144</v>
      </c>
      <c r="CD224" s="3" t="s">
        <v>144</v>
      </c>
      <c r="CE224" s="3" t="s">
        <v>144</v>
      </c>
      <c r="CF224" s="3" t="s">
        <v>144</v>
      </c>
      <c r="CG224" s="3" t="s">
        <v>144</v>
      </c>
      <c r="CH224" s="3" t="s">
        <v>144</v>
      </c>
      <c r="CI224" s="3" t="s">
        <v>144</v>
      </c>
      <c r="CJ224" s="3" t="s">
        <v>144</v>
      </c>
      <c r="CK224" s="3" t="s">
        <v>144</v>
      </c>
      <c r="CL224" s="3" t="s">
        <v>144</v>
      </c>
      <c r="CM224" s="3" t="s">
        <v>144</v>
      </c>
      <c r="CN224" s="3" t="s">
        <v>144</v>
      </c>
      <c r="CO224" s="3" t="s">
        <v>144</v>
      </c>
      <c r="CP224" s="3" t="s">
        <v>144</v>
      </c>
      <c r="CQ224" s="3" t="s">
        <v>144</v>
      </c>
      <c r="CR224" s="3" t="s">
        <v>144</v>
      </c>
      <c r="CS224" s="3" t="s">
        <v>144</v>
      </c>
      <c r="CT224" s="3" t="s">
        <v>144</v>
      </c>
      <c r="CU224" s="3" t="s">
        <v>144</v>
      </c>
      <c r="CV224" s="3" t="s">
        <v>144</v>
      </c>
      <c r="CW224" s="3" t="s">
        <v>144</v>
      </c>
      <c r="CX224" s="3" t="s">
        <v>144</v>
      </c>
      <c r="CY224" s="3" t="s">
        <v>144</v>
      </c>
    </row>
    <row r="225" spans="1:103" x14ac:dyDescent="0.25">
      <c r="A225" t="s">
        <v>115</v>
      </c>
      <c r="B225" t="s">
        <v>4</v>
      </c>
      <c r="C225">
        <v>1640.7695313309503</v>
      </c>
      <c r="D225">
        <v>899.77035248869686</v>
      </c>
      <c r="E225">
        <v>555.87381325894262</v>
      </c>
      <c r="F225">
        <v>758.69086234437179</v>
      </c>
      <c r="G225">
        <v>976.98998242518337</v>
      </c>
      <c r="H225">
        <v>1269.0730343854777</v>
      </c>
      <c r="I225">
        <v>1232.7120172668203</v>
      </c>
      <c r="J225">
        <v>1379.492465684262</v>
      </c>
      <c r="K225">
        <v>1399.3194444695139</v>
      </c>
      <c r="L225">
        <v>1378.1531768295022</v>
      </c>
      <c r="M225">
        <v>1325.5745692783435</v>
      </c>
      <c r="N225">
        <v>1198.3617973529897</v>
      </c>
      <c r="O225">
        <v>1141.8874534583711</v>
      </c>
      <c r="P225">
        <v>1076.8989871000845</v>
      </c>
      <c r="Q225">
        <v>1072.9679096068912</v>
      </c>
      <c r="R225">
        <v>1096.8539404397281</v>
      </c>
      <c r="S225">
        <v>1138.2210510312339</v>
      </c>
      <c r="T225">
        <v>1201.2006770664736</v>
      </c>
      <c r="U225">
        <v>1244.661354986521</v>
      </c>
      <c r="V225">
        <v>1279.3819882622658</v>
      </c>
      <c r="W225">
        <v>1287.0488263991642</v>
      </c>
      <c r="X225">
        <v>1277.6507902425299</v>
      </c>
      <c r="Y225">
        <v>1258.7086888510166</v>
      </c>
      <c r="Z225">
        <v>1233.9141027525936</v>
      </c>
      <c r="AA225">
        <v>1215.9183297927191</v>
      </c>
      <c r="AB225">
        <v>1204.1377991488794</v>
      </c>
      <c r="AC225">
        <v>1203.3952772389403</v>
      </c>
      <c r="AD225">
        <v>1210.9330835351191</v>
      </c>
      <c r="AE225">
        <v>1223.5839869575011</v>
      </c>
      <c r="AF225">
        <v>1238.6664034782709</v>
      </c>
      <c r="AG225">
        <v>1251.5241901345134</v>
      </c>
      <c r="AH225">
        <v>1260.9603805083063</v>
      </c>
      <c r="AI225">
        <v>1265.1788059971452</v>
      </c>
      <c r="AJ225">
        <v>1264.8079215044825</v>
      </c>
      <c r="AK225">
        <v>1261.2265882950335</v>
      </c>
      <c r="AL225">
        <v>1256.1071307665275</v>
      </c>
      <c r="AM225">
        <v>1251.6466987507001</v>
      </c>
      <c r="AN225">
        <v>1248.9978128954947</v>
      </c>
      <c r="AO225">
        <v>1248.99498714989</v>
      </c>
      <c r="AP225">
        <v>1251.4361515113906</v>
      </c>
      <c r="AQ225">
        <v>1255.5694271810412</v>
      </c>
      <c r="AR225">
        <v>1260.3952757454138</v>
      </c>
      <c r="AS225">
        <v>1264.8160668972848</v>
      </c>
      <c r="AT225">
        <v>1268.1507101376803</v>
      </c>
      <c r="AU225">
        <v>1270.0403680407574</v>
      </c>
      <c r="AV225">
        <v>1270.5982990003288</v>
      </c>
      <c r="AW225">
        <v>1270.2280804491018</v>
      </c>
      <c r="AX225">
        <v>1269.4582378570142</v>
      </c>
      <c r="AY225">
        <v>1268.8205629654965</v>
      </c>
      <c r="BA225" s="1">
        <v>1</v>
      </c>
      <c r="BB225" t="str">
        <f t="shared" si="3"/>
        <v>Sc - Norte Catarinense</v>
      </c>
      <c r="BC225" s="3">
        <v>1188.4574430470307</v>
      </c>
      <c r="BD225" s="3">
        <v>643.10075080337629</v>
      </c>
      <c r="BE225" s="3">
        <v>-107.99073803651868</v>
      </c>
      <c r="BF225" s="3">
        <v>368.99785867151598</v>
      </c>
      <c r="BG225" s="3">
        <v>234.79775747284884</v>
      </c>
      <c r="BH225" s="3">
        <v>590.22128468991593</v>
      </c>
      <c r="BI225" s="3">
        <v>369.77786881754992</v>
      </c>
      <c r="BJ225" s="3">
        <v>422.23825890600301</v>
      </c>
      <c r="BK225" s="3">
        <v>463.9352866994036</v>
      </c>
      <c r="BL225" s="3">
        <v>344.8949569286367</v>
      </c>
      <c r="BM225" s="3">
        <v>358.19070977502895</v>
      </c>
      <c r="BN225" s="3">
        <v>212.35085105218252</v>
      </c>
      <c r="BO225" s="3">
        <v>198.38622460535294</v>
      </c>
      <c r="BP225" s="3">
        <v>158.28551994515078</v>
      </c>
      <c r="BQ225" s="3">
        <v>141.65455151380115</v>
      </c>
      <c r="BR225" s="3">
        <v>166.52697920851665</v>
      </c>
      <c r="BS225" s="3">
        <v>160.48715985577928</v>
      </c>
      <c r="BT225" s="3">
        <v>190.9144507033925</v>
      </c>
      <c r="BU225" s="3">
        <v>188.95169841382608</v>
      </c>
      <c r="BV225" s="3">
        <v>187.02650886816855</v>
      </c>
      <c r="BW225" s="3">
        <v>173.66784790119164</v>
      </c>
      <c r="BX225" s="3">
        <v>147.06901592983922</v>
      </c>
      <c r="BY225" s="3">
        <v>127.05772681999224</v>
      </c>
      <c r="BZ225" s="3">
        <v>100.26718600958998</v>
      </c>
      <c r="CA225" s="3">
        <v>83.258147434828061</v>
      </c>
      <c r="CB225" s="3">
        <v>69.114035599807266</v>
      </c>
      <c r="CC225" s="3">
        <v>60.448988167432844</v>
      </c>
      <c r="CD225" s="3">
        <v>57.313144070534236</v>
      </c>
      <c r="CE225" s="3">
        <v>54.243697212158168</v>
      </c>
      <c r="CF225" s="3">
        <v>53.227748634306636</v>
      </c>
      <c r="CG225" s="3">
        <v>49.590955427242307</v>
      </c>
      <c r="CH225" s="3">
        <v>44.329827935225467</v>
      </c>
      <c r="CI225" s="3">
        <v>36.692646263361439</v>
      </c>
      <c r="CJ225" s="3">
        <v>26.862625189740356</v>
      </c>
      <c r="CK225" s="3">
        <v>16.603494688133196</v>
      </c>
      <c r="CL225" s="3">
        <v>6.0989522213571945</v>
      </c>
      <c r="CM225" s="3">
        <v>-3.027899426997692</v>
      </c>
      <c r="CN225" s="3">
        <v>-10.676653833162845</v>
      </c>
      <c r="CO225" s="3">
        <v>-16.641147621757227</v>
      </c>
      <c r="CP225" s="3">
        <v>-21.159252116377957</v>
      </c>
      <c r="CQ225" s="3">
        <v>-24.96929191244817</v>
      </c>
      <c r="CR225" s="3">
        <v>-28.465836997189172</v>
      </c>
      <c r="CS225" s="3">
        <v>-32.295553095226069</v>
      </c>
      <c r="CT225" s="3">
        <v>-36.630107328916438</v>
      </c>
      <c r="CU225" s="3">
        <v>-41.528825815531718</v>
      </c>
      <c r="CV225" s="3">
        <v>-46.848036337697295</v>
      </c>
      <c r="CW225" s="3">
        <v>-52.27453514788067</v>
      </c>
      <c r="CX225" s="3">
        <v>-57.568823805879902</v>
      </c>
      <c r="CY225" s="3">
        <v>-62.46623650717288</v>
      </c>
    </row>
    <row r="226" spans="1:103" x14ac:dyDescent="0.25">
      <c r="A226" t="s">
        <v>115</v>
      </c>
      <c r="B226" t="s">
        <v>5</v>
      </c>
      <c r="C226">
        <v>452.31208828391971</v>
      </c>
      <c r="D226">
        <v>256.66960168532052</v>
      </c>
      <c r="E226">
        <v>663.8645512954613</v>
      </c>
      <c r="F226">
        <v>389.69300367285581</v>
      </c>
      <c r="G226">
        <v>742.19222495233453</v>
      </c>
      <c r="H226">
        <v>678.85174969556181</v>
      </c>
      <c r="I226">
        <v>862.93414844927042</v>
      </c>
      <c r="J226">
        <v>957.254206778259</v>
      </c>
      <c r="K226">
        <v>935.38415777011028</v>
      </c>
      <c r="L226">
        <v>1033.2582199008655</v>
      </c>
      <c r="M226">
        <v>967.38385950331451</v>
      </c>
      <c r="N226">
        <v>986.01094630080718</v>
      </c>
      <c r="O226">
        <v>943.50122885301812</v>
      </c>
      <c r="P226">
        <v>918.61346715493369</v>
      </c>
      <c r="Q226">
        <v>931.31335809309007</v>
      </c>
      <c r="R226">
        <v>930.3269612312115</v>
      </c>
      <c r="S226">
        <v>977.73389117545457</v>
      </c>
      <c r="T226">
        <v>1010.2862263630811</v>
      </c>
      <c r="U226">
        <v>1055.7096565726949</v>
      </c>
      <c r="V226">
        <v>1092.3554793940973</v>
      </c>
      <c r="W226">
        <v>1113.3809784979726</v>
      </c>
      <c r="X226">
        <v>1130.5817743126906</v>
      </c>
      <c r="Y226">
        <v>1131.6509620310244</v>
      </c>
      <c r="Z226">
        <v>1133.6469167430037</v>
      </c>
      <c r="AA226">
        <v>1132.660182357891</v>
      </c>
      <c r="AB226">
        <v>1135.0237635490721</v>
      </c>
      <c r="AC226">
        <v>1142.9462890715074</v>
      </c>
      <c r="AD226">
        <v>1153.6199394645848</v>
      </c>
      <c r="AE226">
        <v>1169.3402897453429</v>
      </c>
      <c r="AF226">
        <v>1185.4386548439643</v>
      </c>
      <c r="AG226">
        <v>1201.9332347072711</v>
      </c>
      <c r="AH226">
        <v>1216.6305525730809</v>
      </c>
      <c r="AI226">
        <v>1228.4861597337838</v>
      </c>
      <c r="AJ226">
        <v>1237.9452963147421</v>
      </c>
      <c r="AK226">
        <v>1244.6230936069003</v>
      </c>
      <c r="AL226">
        <v>1250.0081785451703</v>
      </c>
      <c r="AM226">
        <v>1254.6745981776978</v>
      </c>
      <c r="AN226">
        <v>1259.6744667286575</v>
      </c>
      <c r="AO226">
        <v>1265.6361347716472</v>
      </c>
      <c r="AP226">
        <v>1272.5954036277685</v>
      </c>
      <c r="AQ226">
        <v>1280.5387190934894</v>
      </c>
      <c r="AR226">
        <v>1288.8611127426029</v>
      </c>
      <c r="AS226">
        <v>1297.1116199925109</v>
      </c>
      <c r="AT226">
        <v>1304.7808174665968</v>
      </c>
      <c r="AU226">
        <v>1311.5691938562891</v>
      </c>
      <c r="AV226">
        <v>1317.4463353380261</v>
      </c>
      <c r="AW226">
        <v>1322.5026155969824</v>
      </c>
      <c r="AX226">
        <v>1327.0270616628941</v>
      </c>
      <c r="AY226">
        <v>1331.2867994726694</v>
      </c>
      <c r="BA226" s="1">
        <v>-1</v>
      </c>
      <c r="BB226" t="str">
        <f t="shared" si="3"/>
        <v>Sc - Norte Catarinense</v>
      </c>
      <c r="BC226" s="3" t="s">
        <v>144</v>
      </c>
      <c r="BD226" s="3" t="s">
        <v>144</v>
      </c>
      <c r="BE226" s="3" t="s">
        <v>144</v>
      </c>
      <c r="BF226" s="3" t="s">
        <v>144</v>
      </c>
      <c r="BG226" s="3" t="s">
        <v>144</v>
      </c>
      <c r="BH226" s="3" t="s">
        <v>144</v>
      </c>
      <c r="BI226" s="3" t="s">
        <v>144</v>
      </c>
      <c r="BJ226" s="3" t="s">
        <v>144</v>
      </c>
      <c r="BK226" s="3" t="s">
        <v>144</v>
      </c>
      <c r="BL226" s="3" t="s">
        <v>144</v>
      </c>
      <c r="BM226" s="3" t="s">
        <v>144</v>
      </c>
      <c r="BN226" s="3" t="s">
        <v>144</v>
      </c>
      <c r="BO226" s="3" t="s">
        <v>144</v>
      </c>
      <c r="BP226" s="3" t="s">
        <v>144</v>
      </c>
      <c r="BQ226" s="3" t="s">
        <v>144</v>
      </c>
      <c r="BR226" s="3" t="s">
        <v>144</v>
      </c>
      <c r="BS226" s="3" t="s">
        <v>144</v>
      </c>
      <c r="BT226" s="3" t="s">
        <v>144</v>
      </c>
      <c r="BU226" s="3" t="s">
        <v>144</v>
      </c>
      <c r="BV226" s="3" t="s">
        <v>144</v>
      </c>
      <c r="BW226" s="3" t="s">
        <v>144</v>
      </c>
      <c r="BX226" s="3" t="s">
        <v>144</v>
      </c>
      <c r="BY226" s="3" t="s">
        <v>144</v>
      </c>
      <c r="BZ226" s="3" t="s">
        <v>144</v>
      </c>
      <c r="CA226" s="3" t="s">
        <v>144</v>
      </c>
      <c r="CB226" s="3" t="s">
        <v>144</v>
      </c>
      <c r="CC226" s="3" t="s">
        <v>144</v>
      </c>
      <c r="CD226" s="3" t="s">
        <v>144</v>
      </c>
      <c r="CE226" s="3" t="s">
        <v>144</v>
      </c>
      <c r="CF226" s="3" t="s">
        <v>144</v>
      </c>
      <c r="CG226" s="3" t="s">
        <v>144</v>
      </c>
      <c r="CH226" s="3" t="s">
        <v>144</v>
      </c>
      <c r="CI226" s="3" t="s">
        <v>144</v>
      </c>
      <c r="CJ226" s="3" t="s">
        <v>144</v>
      </c>
      <c r="CK226" s="3" t="s">
        <v>144</v>
      </c>
      <c r="CL226" s="3" t="s">
        <v>144</v>
      </c>
      <c r="CM226" s="3" t="s">
        <v>144</v>
      </c>
      <c r="CN226" s="3" t="s">
        <v>144</v>
      </c>
      <c r="CO226" s="3" t="s">
        <v>144</v>
      </c>
      <c r="CP226" s="3" t="s">
        <v>144</v>
      </c>
      <c r="CQ226" s="3" t="s">
        <v>144</v>
      </c>
      <c r="CR226" s="3" t="s">
        <v>144</v>
      </c>
      <c r="CS226" s="3" t="s">
        <v>144</v>
      </c>
      <c r="CT226" s="3" t="s">
        <v>144</v>
      </c>
      <c r="CU226" s="3" t="s">
        <v>144</v>
      </c>
      <c r="CV226" s="3" t="s">
        <v>144</v>
      </c>
      <c r="CW226" s="3" t="s">
        <v>144</v>
      </c>
      <c r="CX226" s="3" t="s">
        <v>144</v>
      </c>
      <c r="CY226" s="3" t="s">
        <v>144</v>
      </c>
    </row>
    <row r="227" spans="1:103" x14ac:dyDescent="0.25">
      <c r="A227" t="s">
        <v>116</v>
      </c>
      <c r="B227" t="s">
        <v>4</v>
      </c>
      <c r="C227">
        <v>329.09938006941297</v>
      </c>
      <c r="D227">
        <v>57.427990303689896</v>
      </c>
      <c r="E227">
        <v>-122.95052467370178</v>
      </c>
      <c r="F227">
        <v>144.51632333334112</v>
      </c>
      <c r="G227">
        <v>180.53155279242159</v>
      </c>
      <c r="H227">
        <v>245.24589540230951</v>
      </c>
      <c r="I227">
        <v>188.67582835876519</v>
      </c>
      <c r="J227">
        <v>202.67416854554824</v>
      </c>
      <c r="K227">
        <v>222.91590862478671</v>
      </c>
      <c r="L227">
        <v>178.96505115249366</v>
      </c>
      <c r="M227">
        <v>167.19008778328475</v>
      </c>
      <c r="N227">
        <v>125.65834443737694</v>
      </c>
      <c r="O227">
        <v>119.5971594266823</v>
      </c>
      <c r="P227">
        <v>114.60455802801394</v>
      </c>
      <c r="Q227">
        <v>114.7491834115815</v>
      </c>
      <c r="R227">
        <v>129.46290640895626</v>
      </c>
      <c r="S227">
        <v>137.33218893577504</v>
      </c>
      <c r="T227">
        <v>152.3658981888633</v>
      </c>
      <c r="U227">
        <v>157.01811215318423</v>
      </c>
      <c r="V227">
        <v>157.11389744255069</v>
      </c>
      <c r="W227">
        <v>152.5150648076592</v>
      </c>
      <c r="X227">
        <v>143.07367816487147</v>
      </c>
      <c r="Y227">
        <v>135.46832915585642</v>
      </c>
      <c r="Z227">
        <v>127.3749783463482</v>
      </c>
      <c r="AA227">
        <v>123.06241231948425</v>
      </c>
      <c r="AB227">
        <v>121.22038584419572</v>
      </c>
      <c r="AC227">
        <v>121.63410308927089</v>
      </c>
      <c r="AD227">
        <v>123.90938056514717</v>
      </c>
      <c r="AE227">
        <v>125.99789342073589</v>
      </c>
      <c r="AF227">
        <v>127.99631244921352</v>
      </c>
      <c r="AG227">
        <v>128.65512136911443</v>
      </c>
      <c r="AH227">
        <v>128.13793161812561</v>
      </c>
      <c r="AI227">
        <v>126.50579008308445</v>
      </c>
      <c r="AJ227">
        <v>123.99182374554655</v>
      </c>
      <c r="AK227">
        <v>121.3219544092462</v>
      </c>
      <c r="AL227">
        <v>118.76795379216256</v>
      </c>
      <c r="AM227">
        <v>116.85417711585173</v>
      </c>
      <c r="AN227">
        <v>115.6665756385304</v>
      </c>
      <c r="AO227">
        <v>115.17752660090763</v>
      </c>
      <c r="AP227">
        <v>115.21283821601223</v>
      </c>
      <c r="AQ227">
        <v>115.42879032139975</v>
      </c>
      <c r="AR227">
        <v>115.58969093286622</v>
      </c>
      <c r="AS227">
        <v>115.45464995890028</v>
      </c>
      <c r="AT227">
        <v>114.95759940217057</v>
      </c>
      <c r="AU227">
        <v>114.12958190445481</v>
      </c>
      <c r="AV227">
        <v>113.08149449291423</v>
      </c>
      <c r="AW227">
        <v>111.97925381538239</v>
      </c>
      <c r="AX227">
        <v>110.95360376766597</v>
      </c>
      <c r="AY227">
        <v>110.10944078299845</v>
      </c>
      <c r="BA227" s="1">
        <v>1</v>
      </c>
      <c r="BB227" t="str">
        <f t="shared" si="3"/>
        <v>Sc - Serrana</v>
      </c>
      <c r="BC227" s="3">
        <v>283.94139667252858</v>
      </c>
      <c r="BD227" s="3">
        <v>-0.1657815073347777</v>
      </c>
      <c r="BE227" s="3">
        <v>-251.61513470041029</v>
      </c>
      <c r="BF227" s="3">
        <v>363.88556697940896</v>
      </c>
      <c r="BG227" s="3">
        <v>62.758360380055777</v>
      </c>
      <c r="BH227" s="3">
        <v>203.51458078317086</v>
      </c>
      <c r="BI227" s="3">
        <v>33.938253047390845</v>
      </c>
      <c r="BJ227" s="3">
        <v>63.016169072328182</v>
      </c>
      <c r="BK227" s="3">
        <v>115.24802919525085</v>
      </c>
      <c r="BL227" s="3">
        <v>10.415192911427852</v>
      </c>
      <c r="BM227" s="3">
        <v>67.545007401998433</v>
      </c>
      <c r="BN227" s="3">
        <v>12.024995695789642</v>
      </c>
      <c r="BO227" s="3">
        <v>46.186485580567961</v>
      </c>
      <c r="BP227" s="3">
        <v>50.856233860949359</v>
      </c>
      <c r="BQ227" s="3">
        <v>44.60691807829744</v>
      </c>
      <c r="BR227" s="3">
        <v>68.207950802838113</v>
      </c>
      <c r="BS227" s="3">
        <v>53.745737570515502</v>
      </c>
      <c r="BT227" s="3">
        <v>65.002133278766507</v>
      </c>
      <c r="BU227" s="3">
        <v>53.473939678112927</v>
      </c>
      <c r="BV227" s="3">
        <v>46.071990898109334</v>
      </c>
      <c r="BW227" s="3">
        <v>41.06871300274706</v>
      </c>
      <c r="BX227" s="3">
        <v>30.872896684509215</v>
      </c>
      <c r="BY227" s="3">
        <v>31.351351411354358</v>
      </c>
      <c r="BZ227" s="3">
        <v>27.315791566418483</v>
      </c>
      <c r="CA227" s="3">
        <v>29.103850622895521</v>
      </c>
      <c r="CB227" s="3">
        <v>30.243473626443233</v>
      </c>
      <c r="CC227" s="3">
        <v>30.75569304169376</v>
      </c>
      <c r="CD227" s="3">
        <v>32.159116062514784</v>
      </c>
      <c r="CE227" s="3">
        <v>30.676556565770014</v>
      </c>
      <c r="CF227" s="3">
        <v>29.810326828159191</v>
      </c>
      <c r="CG227" s="3">
        <v>27.345059939295936</v>
      </c>
      <c r="CH227" s="3">
        <v>24.881390730098943</v>
      </c>
      <c r="CI227" s="3">
        <v>22.561344462732677</v>
      </c>
      <c r="CJ227" s="3">
        <v>20.16427700822949</v>
      </c>
      <c r="CK227" s="3">
        <v>18.684383216549222</v>
      </c>
      <c r="CL227" s="3">
        <v>17.397092921077501</v>
      </c>
      <c r="CM227" s="3">
        <v>16.795036003252747</v>
      </c>
      <c r="CN227" s="3">
        <v>16.42933616360753</v>
      </c>
      <c r="CO227" s="3">
        <v>16.135075116201676</v>
      </c>
      <c r="CP227" s="3">
        <v>15.838700082290686</v>
      </c>
      <c r="CQ227" s="3">
        <v>15.224629388173696</v>
      </c>
      <c r="CR227" s="3">
        <v>14.428518923261109</v>
      </c>
      <c r="CS227" s="3">
        <v>13.36567541618632</v>
      </c>
      <c r="CT227" s="3">
        <v>12.202120292985285</v>
      </c>
      <c r="CU227" s="3">
        <v>11.050463673143753</v>
      </c>
      <c r="CV227" s="3">
        <v>9.9862117549353115</v>
      </c>
      <c r="CW227" s="3">
        <v>9.112456352286415</v>
      </c>
      <c r="CX227" s="3">
        <v>8.3994354582037403</v>
      </c>
      <c r="CY227" s="3">
        <v>7.8453328570278416</v>
      </c>
    </row>
    <row r="228" spans="1:103" x14ac:dyDescent="0.25">
      <c r="A228" t="s">
        <v>116</v>
      </c>
      <c r="B228" t="s">
        <v>5</v>
      </c>
      <c r="C228">
        <v>45.157983396884404</v>
      </c>
      <c r="D228">
        <v>57.593771811024673</v>
      </c>
      <c r="E228">
        <v>128.66461002670852</v>
      </c>
      <c r="F228">
        <v>-219.36924364606784</v>
      </c>
      <c r="G228">
        <v>117.77319241236582</v>
      </c>
      <c r="H228">
        <v>41.731314619138672</v>
      </c>
      <c r="I228">
        <v>154.73757531137434</v>
      </c>
      <c r="J228">
        <v>139.65799947322006</v>
      </c>
      <c r="K228">
        <v>107.66787942953586</v>
      </c>
      <c r="L228">
        <v>168.54985824106581</v>
      </c>
      <c r="M228">
        <v>99.64508038128632</v>
      </c>
      <c r="N228">
        <v>113.6333487415873</v>
      </c>
      <c r="O228">
        <v>73.410673846114335</v>
      </c>
      <c r="P228">
        <v>63.748324167064581</v>
      </c>
      <c r="Q228">
        <v>70.142265333284058</v>
      </c>
      <c r="R228">
        <v>61.254955606118145</v>
      </c>
      <c r="S228">
        <v>83.586451365259535</v>
      </c>
      <c r="T228">
        <v>87.363764910096791</v>
      </c>
      <c r="U228">
        <v>103.54417247507131</v>
      </c>
      <c r="V228">
        <v>111.04190654444136</v>
      </c>
      <c r="W228">
        <v>111.44635180491214</v>
      </c>
      <c r="X228">
        <v>112.20078148036225</v>
      </c>
      <c r="Y228">
        <v>104.11697774450207</v>
      </c>
      <c r="Z228">
        <v>100.05918677992972</v>
      </c>
      <c r="AA228">
        <v>93.958561696588731</v>
      </c>
      <c r="AB228">
        <v>90.976912217752485</v>
      </c>
      <c r="AC228">
        <v>90.878410047577134</v>
      </c>
      <c r="AD228">
        <v>91.75026450263239</v>
      </c>
      <c r="AE228">
        <v>95.321336854965878</v>
      </c>
      <c r="AF228">
        <v>98.185985621054328</v>
      </c>
      <c r="AG228">
        <v>101.31006142981849</v>
      </c>
      <c r="AH228">
        <v>103.25654088802666</v>
      </c>
      <c r="AI228">
        <v>103.94444562035177</v>
      </c>
      <c r="AJ228">
        <v>103.82754673731706</v>
      </c>
      <c r="AK228">
        <v>102.63757119269698</v>
      </c>
      <c r="AL228">
        <v>101.37086087108506</v>
      </c>
      <c r="AM228">
        <v>100.05914111259898</v>
      </c>
      <c r="AN228">
        <v>99.237239474922873</v>
      </c>
      <c r="AO228">
        <v>99.04245148470595</v>
      </c>
      <c r="AP228">
        <v>99.374138133721544</v>
      </c>
      <c r="AQ228">
        <v>100.20416093322605</v>
      </c>
      <c r="AR228">
        <v>101.16117200960511</v>
      </c>
      <c r="AS228">
        <v>102.08897454271396</v>
      </c>
      <c r="AT228">
        <v>102.75547910918529</v>
      </c>
      <c r="AU228">
        <v>103.07911823131106</v>
      </c>
      <c r="AV228">
        <v>103.09528273797892</v>
      </c>
      <c r="AW228">
        <v>102.86679746309598</v>
      </c>
      <c r="AX228">
        <v>102.55416830946223</v>
      </c>
      <c r="AY228">
        <v>102.26410792597061</v>
      </c>
      <c r="BA228" s="1">
        <v>-1</v>
      </c>
      <c r="BB228" t="str">
        <f t="shared" si="3"/>
        <v>Sc - Serrana</v>
      </c>
      <c r="BC228" s="3" t="s">
        <v>144</v>
      </c>
      <c r="BD228" s="3" t="s">
        <v>144</v>
      </c>
      <c r="BE228" s="3" t="s">
        <v>144</v>
      </c>
      <c r="BF228" s="3" t="s">
        <v>144</v>
      </c>
      <c r="BG228" s="3" t="s">
        <v>144</v>
      </c>
      <c r="BH228" s="3" t="s">
        <v>144</v>
      </c>
      <c r="BI228" s="3" t="s">
        <v>144</v>
      </c>
      <c r="BJ228" s="3" t="s">
        <v>144</v>
      </c>
      <c r="BK228" s="3" t="s">
        <v>144</v>
      </c>
      <c r="BL228" s="3" t="s">
        <v>144</v>
      </c>
      <c r="BM228" s="3" t="s">
        <v>144</v>
      </c>
      <c r="BN228" s="3" t="s">
        <v>144</v>
      </c>
      <c r="BO228" s="3" t="s">
        <v>144</v>
      </c>
      <c r="BP228" s="3" t="s">
        <v>144</v>
      </c>
      <c r="BQ228" s="3" t="s">
        <v>144</v>
      </c>
      <c r="BR228" s="3" t="s">
        <v>144</v>
      </c>
      <c r="BS228" s="3" t="s">
        <v>144</v>
      </c>
      <c r="BT228" s="3" t="s">
        <v>144</v>
      </c>
      <c r="BU228" s="3" t="s">
        <v>144</v>
      </c>
      <c r="BV228" s="3" t="s">
        <v>144</v>
      </c>
      <c r="BW228" s="3" t="s">
        <v>144</v>
      </c>
      <c r="BX228" s="3" t="s">
        <v>144</v>
      </c>
      <c r="BY228" s="3" t="s">
        <v>144</v>
      </c>
      <c r="BZ228" s="3" t="s">
        <v>144</v>
      </c>
      <c r="CA228" s="3" t="s">
        <v>144</v>
      </c>
      <c r="CB228" s="3" t="s">
        <v>144</v>
      </c>
      <c r="CC228" s="3" t="s">
        <v>144</v>
      </c>
      <c r="CD228" s="3" t="s">
        <v>144</v>
      </c>
      <c r="CE228" s="3" t="s">
        <v>144</v>
      </c>
      <c r="CF228" s="3" t="s">
        <v>144</v>
      </c>
      <c r="CG228" s="3" t="s">
        <v>144</v>
      </c>
      <c r="CH228" s="3" t="s">
        <v>144</v>
      </c>
      <c r="CI228" s="3" t="s">
        <v>144</v>
      </c>
      <c r="CJ228" s="3" t="s">
        <v>144</v>
      </c>
      <c r="CK228" s="3" t="s">
        <v>144</v>
      </c>
      <c r="CL228" s="3" t="s">
        <v>144</v>
      </c>
      <c r="CM228" s="3" t="s">
        <v>144</v>
      </c>
      <c r="CN228" s="3" t="s">
        <v>144</v>
      </c>
      <c r="CO228" s="3" t="s">
        <v>144</v>
      </c>
      <c r="CP228" s="3" t="s">
        <v>144</v>
      </c>
      <c r="CQ228" s="3" t="s">
        <v>144</v>
      </c>
      <c r="CR228" s="3" t="s">
        <v>144</v>
      </c>
      <c r="CS228" s="3" t="s">
        <v>144</v>
      </c>
      <c r="CT228" s="3" t="s">
        <v>144</v>
      </c>
      <c r="CU228" s="3" t="s">
        <v>144</v>
      </c>
      <c r="CV228" s="3" t="s">
        <v>144</v>
      </c>
      <c r="CW228" s="3" t="s">
        <v>144</v>
      </c>
      <c r="CX228" s="3" t="s">
        <v>144</v>
      </c>
      <c r="CY228" s="3" t="s">
        <v>144</v>
      </c>
    </row>
    <row r="229" spans="1:103" x14ac:dyDescent="0.25">
      <c r="A229" t="s">
        <v>117</v>
      </c>
      <c r="B229" t="s">
        <v>4</v>
      </c>
      <c r="C229">
        <v>2245.3069033476868</v>
      </c>
      <c r="D229">
        <v>820.12641832057329</v>
      </c>
      <c r="E229">
        <v>419.45710444179394</v>
      </c>
      <c r="F229">
        <v>804.802176184156</v>
      </c>
      <c r="G229">
        <v>1291.2537171935942</v>
      </c>
      <c r="H229">
        <v>1734.5336312023492</v>
      </c>
      <c r="I229">
        <v>1648.7372361599876</v>
      </c>
      <c r="J229">
        <v>1840.5404813345745</v>
      </c>
      <c r="K229">
        <v>1872.6008886432176</v>
      </c>
      <c r="L229">
        <v>1847.0213852311565</v>
      </c>
      <c r="M229">
        <v>1790.6063846129107</v>
      </c>
      <c r="N229">
        <v>1631.2013647119643</v>
      </c>
      <c r="O229">
        <v>1593.986634230735</v>
      </c>
      <c r="P229">
        <v>1539.4319549036504</v>
      </c>
      <c r="Q229">
        <v>1565.6261668896757</v>
      </c>
      <c r="R229">
        <v>1617.1827379742292</v>
      </c>
      <c r="S229">
        <v>1680.859010773052</v>
      </c>
      <c r="T229">
        <v>1768.4162078280967</v>
      </c>
      <c r="U229">
        <v>1821.9581726071519</v>
      </c>
      <c r="V229">
        <v>1863.858279871796</v>
      </c>
      <c r="W229">
        <v>1869.8342772696997</v>
      </c>
      <c r="X229">
        <v>1856.8177507294884</v>
      </c>
      <c r="Y229">
        <v>1835.6668604866211</v>
      </c>
      <c r="Z229">
        <v>1809.5392401940337</v>
      </c>
      <c r="AA229">
        <v>1795.2260941220304</v>
      </c>
      <c r="AB229">
        <v>1789.2661068805276</v>
      </c>
      <c r="AC229">
        <v>1797.4240870409365</v>
      </c>
      <c r="AD229">
        <v>1814.7076836647313</v>
      </c>
      <c r="AE229">
        <v>1836.4163410425376</v>
      </c>
      <c r="AF229">
        <v>1859.3834609423361</v>
      </c>
      <c r="AG229">
        <v>1877.7279846369884</v>
      </c>
      <c r="AH229">
        <v>1890.9487614192622</v>
      </c>
      <c r="AI229">
        <v>1897.2935782132868</v>
      </c>
      <c r="AJ229">
        <v>1898.2637396994176</v>
      </c>
      <c r="AK229">
        <v>1895.9863014480713</v>
      </c>
      <c r="AL229">
        <v>1892.5794991105611</v>
      </c>
      <c r="AM229">
        <v>1890.7235493953174</v>
      </c>
      <c r="AN229">
        <v>1891.4481994677599</v>
      </c>
      <c r="AO229">
        <v>1895.4678141407999</v>
      </c>
      <c r="AP229">
        <v>1902.1855985348441</v>
      </c>
      <c r="AQ229">
        <v>1910.4635531104307</v>
      </c>
      <c r="AR229">
        <v>1919.0266847341913</v>
      </c>
      <c r="AS229">
        <v>1926.5717065250954</v>
      </c>
      <c r="AT229">
        <v>1932.4402523016279</v>
      </c>
      <c r="AU229">
        <v>1936.3711513891942</v>
      </c>
      <c r="AV229">
        <v>1938.6806633662839</v>
      </c>
      <c r="AW229">
        <v>1939.9797241137264</v>
      </c>
      <c r="AX229">
        <v>1940.954323352556</v>
      </c>
      <c r="AY229">
        <v>1942.236177930278</v>
      </c>
      <c r="BA229" s="1">
        <v>1</v>
      </c>
      <c r="BB229" t="str">
        <f t="shared" si="3"/>
        <v>Sc - Vale do Itajai</v>
      </c>
      <c r="BC229" s="3">
        <v>2052.0551330229346</v>
      </c>
      <c r="BD229" s="3">
        <v>622.94442900963395</v>
      </c>
      <c r="BE229" s="3">
        <v>-298.74824815066393</v>
      </c>
      <c r="BF229" s="3">
        <v>666.75646993277371</v>
      </c>
      <c r="BG229" s="3">
        <v>250.08245626717303</v>
      </c>
      <c r="BH229" s="3">
        <v>860.29081864399097</v>
      </c>
      <c r="BI229" s="3">
        <v>393.93251594937601</v>
      </c>
      <c r="BJ229" s="3">
        <v>547.49844315491146</v>
      </c>
      <c r="BK229" s="3">
        <v>597.4536112251028</v>
      </c>
      <c r="BL229" s="3">
        <v>421.42305658841019</v>
      </c>
      <c r="BM229" s="3">
        <v>490.20958261997248</v>
      </c>
      <c r="BN229" s="3">
        <v>269.81016146058982</v>
      </c>
      <c r="BO229" s="3">
        <v>297.0657737461911</v>
      </c>
      <c r="BP229" s="3">
        <v>239.54638388887474</v>
      </c>
      <c r="BQ229" s="3">
        <v>222.95784245844084</v>
      </c>
      <c r="BR229" s="3">
        <v>258.83739939812449</v>
      </c>
      <c r="BS229" s="3">
        <v>233.54081769719733</v>
      </c>
      <c r="BT229" s="3">
        <v>275.2649816785015</v>
      </c>
      <c r="BU229" s="3">
        <v>258.63153199282874</v>
      </c>
      <c r="BV229" s="3">
        <v>255.78462950699259</v>
      </c>
      <c r="BW229" s="3">
        <v>237.83802313190131</v>
      </c>
      <c r="BX229" s="3">
        <v>204.87102458039726</v>
      </c>
      <c r="BY229" s="3">
        <v>186.17216084424831</v>
      </c>
      <c r="BZ229" s="3">
        <v>153.96190477698383</v>
      </c>
      <c r="CA229" s="3">
        <v>137.18811828403818</v>
      </c>
      <c r="CB229" s="3">
        <v>119.97048780355021</v>
      </c>
      <c r="CC229" s="3">
        <v>109.08508906756879</v>
      </c>
      <c r="CD229" s="3">
        <v>104.39262346397254</v>
      </c>
      <c r="CE229" s="3">
        <v>98.210962055931986</v>
      </c>
      <c r="CF229" s="3">
        <v>95.727277543815717</v>
      </c>
      <c r="CG229" s="3">
        <v>89.351520094097168</v>
      </c>
      <c r="CH229" s="3">
        <v>82.076363125772104</v>
      </c>
      <c r="CI229" s="3">
        <v>72.227673457964556</v>
      </c>
      <c r="CJ229" s="3">
        <v>60.077886354258681</v>
      </c>
      <c r="CK229" s="3">
        <v>47.987007714635183</v>
      </c>
      <c r="CL229" s="3">
        <v>35.465475165048929</v>
      </c>
      <c r="CM229" s="3">
        <v>24.806477085105371</v>
      </c>
      <c r="CN229" s="3">
        <v>15.611487358392651</v>
      </c>
      <c r="CO229" s="3">
        <v>8.2266883801953554</v>
      </c>
      <c r="CP229" s="3">
        <v>2.3428952585081788</v>
      </c>
      <c r="CQ229" s="3">
        <v>-2.9395853378543961</v>
      </c>
      <c r="CR229" s="3">
        <v>-7.8546063088906521</v>
      </c>
      <c r="CS229" s="3">
        <v>-13.177856466850926</v>
      </c>
      <c r="CT229" s="3">
        <v>-18.941721817136795</v>
      </c>
      <c r="CU229" s="3">
        <v>-25.219462814372719</v>
      </c>
      <c r="CV229" s="3">
        <v>-31.847463297216109</v>
      </c>
      <c r="CW229" s="3">
        <v>-38.480993891467961</v>
      </c>
      <c r="CX229" s="3">
        <v>-44.927234404716501</v>
      </c>
      <c r="CY229" s="3">
        <v>-50.90100953769047</v>
      </c>
    </row>
    <row r="230" spans="1:103" x14ac:dyDescent="0.25">
      <c r="A230" t="s">
        <v>117</v>
      </c>
      <c r="B230" t="s">
        <v>5</v>
      </c>
      <c r="C230">
        <v>193.25177032475239</v>
      </c>
      <c r="D230">
        <v>197.1819893109394</v>
      </c>
      <c r="E230">
        <v>718.20535259245787</v>
      </c>
      <c r="F230">
        <v>138.04570625138231</v>
      </c>
      <c r="G230">
        <v>1041.1712609264212</v>
      </c>
      <c r="H230">
        <v>874.2428125583582</v>
      </c>
      <c r="I230">
        <v>1254.8047202106115</v>
      </c>
      <c r="J230">
        <v>1293.042038179663</v>
      </c>
      <c r="K230">
        <v>1275.1472774181148</v>
      </c>
      <c r="L230">
        <v>1425.5983286427463</v>
      </c>
      <c r="M230">
        <v>1300.3968019929382</v>
      </c>
      <c r="N230">
        <v>1361.3912032513745</v>
      </c>
      <c r="O230">
        <v>1296.9208604845439</v>
      </c>
      <c r="P230">
        <v>1299.8855710147757</v>
      </c>
      <c r="Q230">
        <v>1342.6683244312349</v>
      </c>
      <c r="R230">
        <v>1358.3453385761047</v>
      </c>
      <c r="S230">
        <v>1447.3181930758547</v>
      </c>
      <c r="T230">
        <v>1493.1512261495952</v>
      </c>
      <c r="U230">
        <v>1563.3266406143232</v>
      </c>
      <c r="V230">
        <v>1608.0736503648034</v>
      </c>
      <c r="W230">
        <v>1631.9962541377984</v>
      </c>
      <c r="X230">
        <v>1651.9467261490911</v>
      </c>
      <c r="Y230">
        <v>1649.4946996423728</v>
      </c>
      <c r="Z230">
        <v>1655.5773354170499</v>
      </c>
      <c r="AA230">
        <v>1658.0379758379922</v>
      </c>
      <c r="AB230">
        <v>1669.2956190769773</v>
      </c>
      <c r="AC230">
        <v>1688.3389979733677</v>
      </c>
      <c r="AD230">
        <v>1710.3150602007588</v>
      </c>
      <c r="AE230">
        <v>1738.2053789866056</v>
      </c>
      <c r="AF230">
        <v>1763.6561833985204</v>
      </c>
      <c r="AG230">
        <v>1788.3764645428912</v>
      </c>
      <c r="AH230">
        <v>1808.8723982934901</v>
      </c>
      <c r="AI230">
        <v>1825.0659047553222</v>
      </c>
      <c r="AJ230">
        <v>1838.1858533451589</v>
      </c>
      <c r="AK230">
        <v>1847.9992937334362</v>
      </c>
      <c r="AL230">
        <v>1857.1140239455121</v>
      </c>
      <c r="AM230">
        <v>1865.917072310212</v>
      </c>
      <c r="AN230">
        <v>1875.8367121093672</v>
      </c>
      <c r="AO230">
        <v>1887.2411257606045</v>
      </c>
      <c r="AP230">
        <v>1899.8427032763359</v>
      </c>
      <c r="AQ230">
        <v>1913.4031384482851</v>
      </c>
      <c r="AR230">
        <v>1926.881291043082</v>
      </c>
      <c r="AS230">
        <v>1939.7495629919463</v>
      </c>
      <c r="AT230">
        <v>1951.3819741187647</v>
      </c>
      <c r="AU230">
        <v>1961.5906142035669</v>
      </c>
      <c r="AV230">
        <v>1970.5281266635</v>
      </c>
      <c r="AW230">
        <v>1978.4607180051944</v>
      </c>
      <c r="AX230">
        <v>1985.8815577572725</v>
      </c>
      <c r="AY230">
        <v>1993.1371874679685</v>
      </c>
      <c r="BA230" s="1">
        <v>-1</v>
      </c>
      <c r="BB230" t="str">
        <f t="shared" si="3"/>
        <v>Sc - Vale do Itajai</v>
      </c>
      <c r="BC230" s="3" t="s">
        <v>144</v>
      </c>
      <c r="BD230" s="3" t="s">
        <v>144</v>
      </c>
      <c r="BE230" s="3" t="s">
        <v>144</v>
      </c>
      <c r="BF230" s="3" t="s">
        <v>144</v>
      </c>
      <c r="BG230" s="3" t="s">
        <v>144</v>
      </c>
      <c r="BH230" s="3" t="s">
        <v>144</v>
      </c>
      <c r="BI230" s="3" t="s">
        <v>144</v>
      </c>
      <c r="BJ230" s="3" t="s">
        <v>144</v>
      </c>
      <c r="BK230" s="3" t="s">
        <v>144</v>
      </c>
      <c r="BL230" s="3" t="s">
        <v>144</v>
      </c>
      <c r="BM230" s="3" t="s">
        <v>144</v>
      </c>
      <c r="BN230" s="3" t="s">
        <v>144</v>
      </c>
      <c r="BO230" s="3" t="s">
        <v>144</v>
      </c>
      <c r="BP230" s="3" t="s">
        <v>144</v>
      </c>
      <c r="BQ230" s="3" t="s">
        <v>144</v>
      </c>
      <c r="BR230" s="3" t="s">
        <v>144</v>
      </c>
      <c r="BS230" s="3" t="s">
        <v>144</v>
      </c>
      <c r="BT230" s="3" t="s">
        <v>144</v>
      </c>
      <c r="BU230" s="3" t="s">
        <v>144</v>
      </c>
      <c r="BV230" s="3" t="s">
        <v>144</v>
      </c>
      <c r="BW230" s="3" t="s">
        <v>144</v>
      </c>
      <c r="BX230" s="3" t="s">
        <v>144</v>
      </c>
      <c r="BY230" s="3" t="s">
        <v>144</v>
      </c>
      <c r="BZ230" s="3" t="s">
        <v>144</v>
      </c>
      <c r="CA230" s="3" t="s">
        <v>144</v>
      </c>
      <c r="CB230" s="3" t="s">
        <v>144</v>
      </c>
      <c r="CC230" s="3" t="s">
        <v>144</v>
      </c>
      <c r="CD230" s="3" t="s">
        <v>144</v>
      </c>
      <c r="CE230" s="3" t="s">
        <v>144</v>
      </c>
      <c r="CF230" s="3" t="s">
        <v>144</v>
      </c>
      <c r="CG230" s="3" t="s">
        <v>144</v>
      </c>
      <c r="CH230" s="3" t="s">
        <v>144</v>
      </c>
      <c r="CI230" s="3" t="s">
        <v>144</v>
      </c>
      <c r="CJ230" s="3" t="s">
        <v>144</v>
      </c>
      <c r="CK230" s="3" t="s">
        <v>144</v>
      </c>
      <c r="CL230" s="3" t="s">
        <v>144</v>
      </c>
      <c r="CM230" s="3" t="s">
        <v>144</v>
      </c>
      <c r="CN230" s="3" t="s">
        <v>144</v>
      </c>
      <c r="CO230" s="3" t="s">
        <v>144</v>
      </c>
      <c r="CP230" s="3" t="s">
        <v>144</v>
      </c>
      <c r="CQ230" s="3" t="s">
        <v>144</v>
      </c>
      <c r="CR230" s="3" t="s">
        <v>144</v>
      </c>
      <c r="CS230" s="3" t="s">
        <v>144</v>
      </c>
      <c r="CT230" s="3" t="s">
        <v>144</v>
      </c>
      <c r="CU230" s="3" t="s">
        <v>144</v>
      </c>
      <c r="CV230" s="3" t="s">
        <v>144</v>
      </c>
      <c r="CW230" s="3" t="s">
        <v>144</v>
      </c>
      <c r="CX230" s="3" t="s">
        <v>144</v>
      </c>
      <c r="CY230" s="3" t="s">
        <v>144</v>
      </c>
    </row>
    <row r="231" spans="1:103" x14ac:dyDescent="0.25">
      <c r="A231" t="s">
        <v>118</v>
      </c>
      <c r="B231" t="s">
        <v>4</v>
      </c>
      <c r="C231">
        <v>807.52763935590644</v>
      </c>
      <c r="D231">
        <v>398.77478794328238</v>
      </c>
      <c r="E231">
        <v>805.32343282367344</v>
      </c>
      <c r="F231">
        <v>800.05385623020618</v>
      </c>
      <c r="G231">
        <v>903.60242608069314</v>
      </c>
      <c r="H231">
        <v>1238.0440501931366</v>
      </c>
      <c r="I231">
        <v>1202.458362178917</v>
      </c>
      <c r="J231">
        <v>1402.6768019211745</v>
      </c>
      <c r="K231">
        <v>1354.8534282275646</v>
      </c>
      <c r="L231">
        <v>1390.3601610839426</v>
      </c>
      <c r="M231">
        <v>1390.144193146778</v>
      </c>
      <c r="N231">
        <v>1325.8041174225414</v>
      </c>
      <c r="O231">
        <v>1332.7499192105438</v>
      </c>
      <c r="P231">
        <v>1286.866322713649</v>
      </c>
      <c r="Q231">
        <v>1309.5960712762073</v>
      </c>
      <c r="R231">
        <v>1327.2337829250332</v>
      </c>
      <c r="S231">
        <v>1359.19069143361</v>
      </c>
      <c r="T231">
        <v>1405.6901484785965</v>
      </c>
      <c r="U231">
        <v>1430.7919273102111</v>
      </c>
      <c r="V231">
        <v>1460.1714791766124</v>
      </c>
      <c r="W231">
        <v>1465.2834630432874</v>
      </c>
      <c r="X231">
        <v>1464.2989249194611</v>
      </c>
      <c r="Y231">
        <v>1456.064848021133</v>
      </c>
      <c r="Z231">
        <v>1443.6992578896018</v>
      </c>
      <c r="AA231">
        <v>1437.7203938417711</v>
      </c>
      <c r="AB231">
        <v>1433.2306116002921</v>
      </c>
      <c r="AC231">
        <v>1436.7374962040778</v>
      </c>
      <c r="AD231">
        <v>1443.5677376662441</v>
      </c>
      <c r="AE231">
        <v>1453.0979457415992</v>
      </c>
      <c r="AF231">
        <v>1463.7071365244858</v>
      </c>
      <c r="AG231">
        <v>1472.138228872222</v>
      </c>
      <c r="AH231">
        <v>1478.9028811804903</v>
      </c>
      <c r="AI231">
        <v>1482.2246976983456</v>
      </c>
      <c r="AJ231">
        <v>1483.2113219668463</v>
      </c>
      <c r="AK231">
        <v>1482.3749823682283</v>
      </c>
      <c r="AL231">
        <v>1480.6538280278273</v>
      </c>
      <c r="AM231">
        <v>1479.419904375786</v>
      </c>
      <c r="AN231">
        <v>1479.0591021536077</v>
      </c>
      <c r="AO231">
        <v>1480.2330621399124</v>
      </c>
      <c r="AP231">
        <v>1482.6668793197127</v>
      </c>
      <c r="AQ231">
        <v>1485.9928977921311</v>
      </c>
      <c r="AR231">
        <v>1489.6384258718272</v>
      </c>
      <c r="AS231">
        <v>1492.944129894262</v>
      </c>
      <c r="AT231">
        <v>1495.5866352594021</v>
      </c>
      <c r="AU231">
        <v>1497.3321912224842</v>
      </c>
      <c r="AV231">
        <v>1498.3015495087247</v>
      </c>
      <c r="AW231">
        <v>1498.7307686395234</v>
      </c>
      <c r="AX231">
        <v>1498.9341939795056</v>
      </c>
      <c r="AY231">
        <v>1499.2252809334559</v>
      </c>
      <c r="BA231" s="1">
        <v>1</v>
      </c>
      <c r="BB231" t="str">
        <f t="shared" si="3"/>
        <v>Sc - Grande Florianopolis</v>
      </c>
      <c r="BC231" s="3">
        <v>646.43395549706702</v>
      </c>
      <c r="BD231" s="3">
        <v>171.27988222687452</v>
      </c>
      <c r="BE231" s="3">
        <v>343.32566846999714</v>
      </c>
      <c r="BF231" s="3">
        <v>708.87378646586217</v>
      </c>
      <c r="BG231" s="3">
        <v>314.31292500146367</v>
      </c>
      <c r="BH231" s="3">
        <v>497.40230822335661</v>
      </c>
      <c r="BI231" s="3">
        <v>366.58232388532974</v>
      </c>
      <c r="BJ231" s="3">
        <v>443.85942595484244</v>
      </c>
      <c r="BK231" s="3">
        <v>435.55201005079709</v>
      </c>
      <c r="BL231" s="3">
        <v>346.51495898426356</v>
      </c>
      <c r="BM231" s="3">
        <v>386.21712602185369</v>
      </c>
      <c r="BN231" s="3">
        <v>307.08853216780028</v>
      </c>
      <c r="BO231" s="3">
        <v>315.17207787457062</v>
      </c>
      <c r="BP231" s="3">
        <v>275.59416857004624</v>
      </c>
      <c r="BQ231" s="3">
        <v>252.23770218305549</v>
      </c>
      <c r="BR231" s="3">
        <v>253.33794713075736</v>
      </c>
      <c r="BS231" s="3">
        <v>232.07540509840419</v>
      </c>
      <c r="BT231" s="3">
        <v>240.05240750854523</v>
      </c>
      <c r="BU231" s="3">
        <v>226.2369186786143</v>
      </c>
      <c r="BV231" s="3">
        <v>220.84877388369091</v>
      </c>
      <c r="BW231" s="3">
        <v>210.75401816896033</v>
      </c>
      <c r="BX231" s="3">
        <v>194.70161878849103</v>
      </c>
      <c r="BY231" s="3">
        <v>183.88679515571766</v>
      </c>
      <c r="BZ231" s="3">
        <v>166.85636075560024</v>
      </c>
      <c r="CA231" s="3">
        <v>155.64102270451599</v>
      </c>
      <c r="CB231" s="3">
        <v>143.61159939400295</v>
      </c>
      <c r="CC231" s="3">
        <v>133.64694599436712</v>
      </c>
      <c r="CD231" s="3">
        <v>125.91828095000801</v>
      </c>
      <c r="CE231" s="3">
        <v>117.71124706117484</v>
      </c>
      <c r="CF231" s="3">
        <v>111.53379743580126</v>
      </c>
      <c r="CG231" s="3">
        <v>104.47777662286353</v>
      </c>
      <c r="CH231" s="3">
        <v>97.82794353350846</v>
      </c>
      <c r="CI231" s="3">
        <v>90.755684930213874</v>
      </c>
      <c r="CJ231" s="3">
        <v>83.131467878611602</v>
      </c>
      <c r="CK231" s="3">
        <v>75.627259540175146</v>
      </c>
      <c r="CL231" s="3">
        <v>67.805200634785251</v>
      </c>
      <c r="CM231" s="3">
        <v>60.496379537436042</v>
      </c>
      <c r="CN231" s="3">
        <v>53.55196039111479</v>
      </c>
      <c r="CO231" s="3">
        <v>47.228582295302431</v>
      </c>
      <c r="CP231" s="3">
        <v>41.543762237305145</v>
      </c>
      <c r="CQ231" s="3">
        <v>36.260507779014688</v>
      </c>
      <c r="CR231" s="3">
        <v>31.367485449369951</v>
      </c>
      <c r="CS231" s="3">
        <v>26.572983783735708</v>
      </c>
      <c r="CT231" s="3">
        <v>21.842423391891543</v>
      </c>
      <c r="CU231" s="3">
        <v>17.091370153102616</v>
      </c>
      <c r="CV231" s="3">
        <v>12.322645057440695</v>
      </c>
      <c r="CW231" s="3">
        <v>7.6179214457679336</v>
      </c>
      <c r="CX231" s="3">
        <v>3.0123679678226836</v>
      </c>
      <c r="CY231" s="3">
        <v>-1.40014280301898</v>
      </c>
    </row>
    <row r="232" spans="1:103" x14ac:dyDescent="0.25">
      <c r="A232" t="s">
        <v>118</v>
      </c>
      <c r="B232" t="s">
        <v>5</v>
      </c>
      <c r="C232">
        <v>161.09368385883946</v>
      </c>
      <c r="D232">
        <v>227.49490571640786</v>
      </c>
      <c r="E232">
        <v>461.9977643536763</v>
      </c>
      <c r="F232">
        <v>91.180069764344069</v>
      </c>
      <c r="G232">
        <v>589.28950107922947</v>
      </c>
      <c r="H232">
        <v>740.64174196978001</v>
      </c>
      <c r="I232">
        <v>835.87603829358727</v>
      </c>
      <c r="J232">
        <v>958.81737596633207</v>
      </c>
      <c r="K232">
        <v>919.30141817676747</v>
      </c>
      <c r="L232">
        <v>1043.845202099679</v>
      </c>
      <c r="M232">
        <v>1003.9270671249243</v>
      </c>
      <c r="N232">
        <v>1018.7155852547411</v>
      </c>
      <c r="O232">
        <v>1017.5778413359732</v>
      </c>
      <c r="P232">
        <v>1011.2721541436027</v>
      </c>
      <c r="Q232">
        <v>1057.3583690931519</v>
      </c>
      <c r="R232">
        <v>1073.8958357942759</v>
      </c>
      <c r="S232">
        <v>1127.1152863352058</v>
      </c>
      <c r="T232">
        <v>1165.6377409700513</v>
      </c>
      <c r="U232">
        <v>1204.5550086315968</v>
      </c>
      <c r="V232">
        <v>1239.3227052929215</v>
      </c>
      <c r="W232">
        <v>1254.5294448743271</v>
      </c>
      <c r="X232">
        <v>1269.5973061309701</v>
      </c>
      <c r="Y232">
        <v>1272.1780528654153</v>
      </c>
      <c r="Z232">
        <v>1276.8428971340015</v>
      </c>
      <c r="AA232">
        <v>1282.0793711372551</v>
      </c>
      <c r="AB232">
        <v>1289.6190122062892</v>
      </c>
      <c r="AC232">
        <v>1303.0905502097107</v>
      </c>
      <c r="AD232">
        <v>1317.649456716236</v>
      </c>
      <c r="AE232">
        <v>1335.3866986804244</v>
      </c>
      <c r="AF232">
        <v>1352.1733390886845</v>
      </c>
      <c r="AG232">
        <v>1367.6604522493585</v>
      </c>
      <c r="AH232">
        <v>1381.0749376469819</v>
      </c>
      <c r="AI232">
        <v>1391.4690127681317</v>
      </c>
      <c r="AJ232">
        <v>1400.0798540882347</v>
      </c>
      <c r="AK232">
        <v>1406.7477228280532</v>
      </c>
      <c r="AL232">
        <v>1412.8486273930421</v>
      </c>
      <c r="AM232">
        <v>1418.92352483835</v>
      </c>
      <c r="AN232">
        <v>1425.5071417624929</v>
      </c>
      <c r="AO232">
        <v>1433.0044798446099</v>
      </c>
      <c r="AP232">
        <v>1441.1231170824076</v>
      </c>
      <c r="AQ232">
        <v>1449.7323900131164</v>
      </c>
      <c r="AR232">
        <v>1458.2709404224572</v>
      </c>
      <c r="AS232">
        <v>1466.3711461105263</v>
      </c>
      <c r="AT232">
        <v>1473.7442118675106</v>
      </c>
      <c r="AU232">
        <v>1480.2408210693816</v>
      </c>
      <c r="AV232">
        <v>1485.9789044512841</v>
      </c>
      <c r="AW232">
        <v>1491.1128471937554</v>
      </c>
      <c r="AX232">
        <v>1495.9218260116829</v>
      </c>
      <c r="AY232">
        <v>1500.6254237364749</v>
      </c>
      <c r="BA232" s="1">
        <v>-1</v>
      </c>
      <c r="BB232" t="str">
        <f t="shared" si="3"/>
        <v>Sc - Grande Florianopolis</v>
      </c>
      <c r="BC232" s="3" t="s">
        <v>144</v>
      </c>
      <c r="BD232" s="3" t="s">
        <v>144</v>
      </c>
      <c r="BE232" s="3" t="s">
        <v>144</v>
      </c>
      <c r="BF232" s="3" t="s">
        <v>144</v>
      </c>
      <c r="BG232" s="3" t="s">
        <v>144</v>
      </c>
      <c r="BH232" s="3" t="s">
        <v>144</v>
      </c>
      <c r="BI232" s="3" t="s">
        <v>144</v>
      </c>
      <c r="BJ232" s="3" t="s">
        <v>144</v>
      </c>
      <c r="BK232" s="3" t="s">
        <v>144</v>
      </c>
      <c r="BL232" s="3" t="s">
        <v>144</v>
      </c>
      <c r="BM232" s="3" t="s">
        <v>144</v>
      </c>
      <c r="BN232" s="3" t="s">
        <v>144</v>
      </c>
      <c r="BO232" s="3" t="s">
        <v>144</v>
      </c>
      <c r="BP232" s="3" t="s">
        <v>144</v>
      </c>
      <c r="BQ232" s="3" t="s">
        <v>144</v>
      </c>
      <c r="BR232" s="3" t="s">
        <v>144</v>
      </c>
      <c r="BS232" s="3" t="s">
        <v>144</v>
      </c>
      <c r="BT232" s="3" t="s">
        <v>144</v>
      </c>
      <c r="BU232" s="3" t="s">
        <v>144</v>
      </c>
      <c r="BV232" s="3" t="s">
        <v>144</v>
      </c>
      <c r="BW232" s="3" t="s">
        <v>144</v>
      </c>
      <c r="BX232" s="3" t="s">
        <v>144</v>
      </c>
      <c r="BY232" s="3" t="s">
        <v>144</v>
      </c>
      <c r="BZ232" s="3" t="s">
        <v>144</v>
      </c>
      <c r="CA232" s="3" t="s">
        <v>144</v>
      </c>
      <c r="CB232" s="3" t="s">
        <v>144</v>
      </c>
      <c r="CC232" s="3" t="s">
        <v>144</v>
      </c>
      <c r="CD232" s="3" t="s">
        <v>144</v>
      </c>
      <c r="CE232" s="3" t="s">
        <v>144</v>
      </c>
      <c r="CF232" s="3" t="s">
        <v>144</v>
      </c>
      <c r="CG232" s="3" t="s">
        <v>144</v>
      </c>
      <c r="CH232" s="3" t="s">
        <v>144</v>
      </c>
      <c r="CI232" s="3" t="s">
        <v>144</v>
      </c>
      <c r="CJ232" s="3" t="s">
        <v>144</v>
      </c>
      <c r="CK232" s="3" t="s">
        <v>144</v>
      </c>
      <c r="CL232" s="3" t="s">
        <v>144</v>
      </c>
      <c r="CM232" s="3" t="s">
        <v>144</v>
      </c>
      <c r="CN232" s="3" t="s">
        <v>144</v>
      </c>
      <c r="CO232" s="3" t="s">
        <v>144</v>
      </c>
      <c r="CP232" s="3" t="s">
        <v>144</v>
      </c>
      <c r="CQ232" s="3" t="s">
        <v>144</v>
      </c>
      <c r="CR232" s="3" t="s">
        <v>144</v>
      </c>
      <c r="CS232" s="3" t="s">
        <v>144</v>
      </c>
      <c r="CT232" s="3" t="s">
        <v>144</v>
      </c>
      <c r="CU232" s="3" t="s">
        <v>144</v>
      </c>
      <c r="CV232" s="3" t="s">
        <v>144</v>
      </c>
      <c r="CW232" s="3" t="s">
        <v>144</v>
      </c>
      <c r="CX232" s="3" t="s">
        <v>144</v>
      </c>
      <c r="CY232" s="3" t="s">
        <v>144</v>
      </c>
    </row>
    <row r="233" spans="1:103" x14ac:dyDescent="0.25">
      <c r="A233" t="s">
        <v>119</v>
      </c>
      <c r="B233" t="s">
        <v>4</v>
      </c>
      <c r="C233">
        <v>703.79710489593106</v>
      </c>
      <c r="D233">
        <v>330.50219610726373</v>
      </c>
      <c r="E233">
        <v>356.91047879944375</v>
      </c>
      <c r="F233">
        <v>300.32010528197111</v>
      </c>
      <c r="G233">
        <v>358.99522645875015</v>
      </c>
      <c r="H233">
        <v>619.74833544168587</v>
      </c>
      <c r="I233">
        <v>563.02136540423157</v>
      </c>
      <c r="J233">
        <v>679.9631404920591</v>
      </c>
      <c r="K233">
        <v>650.22787851606711</v>
      </c>
      <c r="L233">
        <v>663.64843301289136</v>
      </c>
      <c r="M233">
        <v>659.63725341990335</v>
      </c>
      <c r="N233">
        <v>595.02931108037649</v>
      </c>
      <c r="O233">
        <v>592.12717018623573</v>
      </c>
      <c r="P233">
        <v>558.19689407822716</v>
      </c>
      <c r="Q233">
        <v>574.4380395350247</v>
      </c>
      <c r="R233">
        <v>592.51240801586005</v>
      </c>
      <c r="S233">
        <v>617.73322324710443</v>
      </c>
      <c r="T233">
        <v>656.25289358331133</v>
      </c>
      <c r="U233">
        <v>677.79649820337738</v>
      </c>
      <c r="V233">
        <v>701.28567843958876</v>
      </c>
      <c r="W233">
        <v>706.96686899137353</v>
      </c>
      <c r="X233">
        <v>706.73987670567567</v>
      </c>
      <c r="Y233">
        <v>702.08934763187324</v>
      </c>
      <c r="Z233">
        <v>694.08277198860844</v>
      </c>
      <c r="AA233">
        <v>691.2567009390782</v>
      </c>
      <c r="AB233">
        <v>689.96923785810623</v>
      </c>
      <c r="AC233">
        <v>694.79003869799874</v>
      </c>
      <c r="AD233">
        <v>702.67293447580505</v>
      </c>
      <c r="AE233">
        <v>712.55730180083151</v>
      </c>
      <c r="AF233">
        <v>723.36316125359554</v>
      </c>
      <c r="AG233">
        <v>732.34909253416242</v>
      </c>
      <c r="AH233">
        <v>739.79765913545441</v>
      </c>
      <c r="AI233">
        <v>744.42704710391558</v>
      </c>
      <c r="AJ233">
        <v>746.99466186437041</v>
      </c>
      <c r="AK233">
        <v>748.08429933178763</v>
      </c>
      <c r="AL233">
        <v>748.44007163930576</v>
      </c>
      <c r="AM233">
        <v>749.20956151683504</v>
      </c>
      <c r="AN233">
        <v>750.72175478279246</v>
      </c>
      <c r="AO233">
        <v>753.4457752742062</v>
      </c>
      <c r="AP233">
        <v>757.16106801579588</v>
      </c>
      <c r="AQ233">
        <v>761.51464928494408</v>
      </c>
      <c r="AR233">
        <v>766.0443156986978</v>
      </c>
      <c r="AS233">
        <v>770.21607771966183</v>
      </c>
      <c r="AT233">
        <v>773.77521168522696</v>
      </c>
      <c r="AU233">
        <v>776.55652592726688</v>
      </c>
      <c r="AV233">
        <v>778.66203106293528</v>
      </c>
      <c r="AW233">
        <v>780.29684378868262</v>
      </c>
      <c r="AX233">
        <v>781.71535528100105</v>
      </c>
      <c r="AY233">
        <v>783.17199627897253</v>
      </c>
      <c r="BA233" s="1">
        <v>1</v>
      </c>
      <c r="BB233" t="str">
        <f t="shared" si="3"/>
        <v>Sc - Sul Catarinense</v>
      </c>
      <c r="BC233" s="3">
        <v>496.81640503830499</v>
      </c>
      <c r="BD233" s="3">
        <v>211.22163037984024</v>
      </c>
      <c r="BE233" s="3">
        <v>51.185779117969275</v>
      </c>
      <c r="BF233" s="3">
        <v>302.55106176164662</v>
      </c>
      <c r="BG233" s="3">
        <v>11.087372758555659</v>
      </c>
      <c r="BH233" s="3">
        <v>299.86964501444839</v>
      </c>
      <c r="BI233" s="3">
        <v>162.01082265041453</v>
      </c>
      <c r="BJ233" s="3">
        <v>222.72811694115268</v>
      </c>
      <c r="BK233" s="3">
        <v>242.10308584472824</v>
      </c>
      <c r="BL233" s="3">
        <v>171.85242931738384</v>
      </c>
      <c r="BM233" s="3">
        <v>221.31007989301355</v>
      </c>
      <c r="BN233" s="3">
        <v>134.65770859520529</v>
      </c>
      <c r="BO233" s="3">
        <v>143.78488561149629</v>
      </c>
      <c r="BP233" s="3">
        <v>112.72535060698652</v>
      </c>
      <c r="BQ233" s="3">
        <v>97.650397474581666</v>
      </c>
      <c r="BR233" s="3">
        <v>108.2405093353903</v>
      </c>
      <c r="BS233" s="3">
        <v>93.157249801343255</v>
      </c>
      <c r="BT233" s="3">
        <v>109.59022606579299</v>
      </c>
      <c r="BU233" s="3">
        <v>104.028120941368</v>
      </c>
      <c r="BV233" s="3">
        <v>106.35800140292258</v>
      </c>
      <c r="BW233" s="3">
        <v>103.39072675802254</v>
      </c>
      <c r="BX233" s="3">
        <v>92.806757812288765</v>
      </c>
      <c r="BY233" s="3">
        <v>87.168364153870698</v>
      </c>
      <c r="BZ233" s="3">
        <v>74.186895904601897</v>
      </c>
      <c r="CA233" s="3">
        <v>66.651091398545077</v>
      </c>
      <c r="CB233" s="3">
        <v>58.215773941063276</v>
      </c>
      <c r="CC233" s="3">
        <v>52.075688502398862</v>
      </c>
      <c r="CD233" s="3">
        <v>48.840826879163387</v>
      </c>
      <c r="CE233" s="3">
        <v>45.404159263262272</v>
      </c>
      <c r="CF233" s="3">
        <v>44.20692447752549</v>
      </c>
      <c r="CG233" s="3">
        <v>41.933759210325888</v>
      </c>
      <c r="CH233" s="3">
        <v>39.695214353764527</v>
      </c>
      <c r="CI233" s="3">
        <v>36.596782514052052</v>
      </c>
      <c r="CJ233" s="3">
        <v>32.469422919016097</v>
      </c>
      <c r="CK233" s="3">
        <v>28.151114900821995</v>
      </c>
      <c r="CL233" s="3">
        <v>23.290029336838302</v>
      </c>
      <c r="CM233" s="3">
        <v>18.860449292512271</v>
      </c>
      <c r="CN233" s="3">
        <v>14.778781930783452</v>
      </c>
      <c r="CO233" s="3">
        <v>11.323938851572393</v>
      </c>
      <c r="CP233" s="3">
        <v>8.5240766920031774</v>
      </c>
      <c r="CQ233" s="3">
        <v>6.1047828794215775</v>
      </c>
      <c r="CR233" s="3">
        <v>4.0314883986794712</v>
      </c>
      <c r="CS233" s="3">
        <v>1.9686292179586644</v>
      </c>
      <c r="CT233" s="3">
        <v>-0.15062214799729645</v>
      </c>
      <c r="CU233" s="3">
        <v>-2.4324369197175884</v>
      </c>
      <c r="CV233" s="3">
        <v>-4.8851397840513755</v>
      </c>
      <c r="CW233" s="3">
        <v>-7.4149777670901358</v>
      </c>
      <c r="CX233" s="3">
        <v>-9.9663274348489495</v>
      </c>
      <c r="CY233" s="3">
        <v>-12.413415636312038</v>
      </c>
    </row>
    <row r="234" spans="1:103" x14ac:dyDescent="0.25">
      <c r="A234" t="s">
        <v>119</v>
      </c>
      <c r="B234" t="s">
        <v>5</v>
      </c>
      <c r="C234">
        <v>206.98069985762604</v>
      </c>
      <c r="D234">
        <v>119.28056572742348</v>
      </c>
      <c r="E234">
        <v>305.72469968147448</v>
      </c>
      <c r="F234">
        <v>-2.2309564796754886</v>
      </c>
      <c r="G234">
        <v>347.90785370019449</v>
      </c>
      <c r="H234">
        <v>319.87869042723747</v>
      </c>
      <c r="I234">
        <v>401.01054275381705</v>
      </c>
      <c r="J234">
        <v>457.23502355090642</v>
      </c>
      <c r="K234">
        <v>408.12479267133887</v>
      </c>
      <c r="L234">
        <v>491.79600369550752</v>
      </c>
      <c r="M234">
        <v>438.32717352688979</v>
      </c>
      <c r="N234">
        <v>460.37160248517119</v>
      </c>
      <c r="O234">
        <v>448.34228457473944</v>
      </c>
      <c r="P234">
        <v>445.47154347124064</v>
      </c>
      <c r="Q234">
        <v>476.78764206044303</v>
      </c>
      <c r="R234">
        <v>484.27189868046975</v>
      </c>
      <c r="S234">
        <v>524.57597344576118</v>
      </c>
      <c r="T234">
        <v>546.66266751751834</v>
      </c>
      <c r="U234">
        <v>573.76837726200938</v>
      </c>
      <c r="V234">
        <v>594.92767703666618</v>
      </c>
      <c r="W234">
        <v>603.57614223335099</v>
      </c>
      <c r="X234">
        <v>613.9331188933869</v>
      </c>
      <c r="Y234">
        <v>614.92098347800254</v>
      </c>
      <c r="Z234">
        <v>619.89587608400655</v>
      </c>
      <c r="AA234">
        <v>624.60560954053312</v>
      </c>
      <c r="AB234">
        <v>631.75346391704295</v>
      </c>
      <c r="AC234">
        <v>642.71435019559988</v>
      </c>
      <c r="AD234">
        <v>653.83210759664166</v>
      </c>
      <c r="AE234">
        <v>667.15314253756924</v>
      </c>
      <c r="AF234">
        <v>679.15623677607005</v>
      </c>
      <c r="AG234">
        <v>690.41533332383653</v>
      </c>
      <c r="AH234">
        <v>700.10244478168988</v>
      </c>
      <c r="AI234">
        <v>707.83026458986353</v>
      </c>
      <c r="AJ234">
        <v>714.52523894535432</v>
      </c>
      <c r="AK234">
        <v>719.93318443096564</v>
      </c>
      <c r="AL234">
        <v>725.15004230246745</v>
      </c>
      <c r="AM234">
        <v>730.34911222432277</v>
      </c>
      <c r="AN234">
        <v>735.94297285200901</v>
      </c>
      <c r="AO234">
        <v>742.12183642263381</v>
      </c>
      <c r="AP234">
        <v>748.6369913237927</v>
      </c>
      <c r="AQ234">
        <v>755.40986640552251</v>
      </c>
      <c r="AR234">
        <v>762.01282730001833</v>
      </c>
      <c r="AS234">
        <v>768.24744850170316</v>
      </c>
      <c r="AT234">
        <v>773.92583383322426</v>
      </c>
      <c r="AU234">
        <v>778.98896284698446</v>
      </c>
      <c r="AV234">
        <v>783.54717084698666</v>
      </c>
      <c r="AW234">
        <v>787.71182155577276</v>
      </c>
      <c r="AX234">
        <v>791.68168271585</v>
      </c>
      <c r="AY234">
        <v>795.58541191528457</v>
      </c>
      <c r="BA234" s="1">
        <v>-1</v>
      </c>
      <c r="BB234" t="str">
        <f t="shared" si="3"/>
        <v>Sc - Sul Catarinense</v>
      </c>
      <c r="BC234" s="3" t="s">
        <v>144</v>
      </c>
      <c r="BD234" s="3" t="s">
        <v>144</v>
      </c>
      <c r="BE234" s="3" t="s">
        <v>144</v>
      </c>
      <c r="BF234" s="3" t="s">
        <v>144</v>
      </c>
      <c r="BG234" s="3" t="s">
        <v>144</v>
      </c>
      <c r="BH234" s="3" t="s">
        <v>144</v>
      </c>
      <c r="BI234" s="3" t="s">
        <v>144</v>
      </c>
      <c r="BJ234" s="3" t="s">
        <v>144</v>
      </c>
      <c r="BK234" s="3" t="s">
        <v>144</v>
      </c>
      <c r="BL234" s="3" t="s">
        <v>144</v>
      </c>
      <c r="BM234" s="3" t="s">
        <v>144</v>
      </c>
      <c r="BN234" s="3" t="s">
        <v>144</v>
      </c>
      <c r="BO234" s="3" t="s">
        <v>144</v>
      </c>
      <c r="BP234" s="3" t="s">
        <v>144</v>
      </c>
      <c r="BQ234" s="3" t="s">
        <v>144</v>
      </c>
      <c r="BR234" s="3" t="s">
        <v>144</v>
      </c>
      <c r="BS234" s="3" t="s">
        <v>144</v>
      </c>
      <c r="BT234" s="3" t="s">
        <v>144</v>
      </c>
      <c r="BU234" s="3" t="s">
        <v>144</v>
      </c>
      <c r="BV234" s="3" t="s">
        <v>144</v>
      </c>
      <c r="BW234" s="3" t="s">
        <v>144</v>
      </c>
      <c r="BX234" s="3" t="s">
        <v>144</v>
      </c>
      <c r="BY234" s="3" t="s">
        <v>144</v>
      </c>
      <c r="BZ234" s="3" t="s">
        <v>144</v>
      </c>
      <c r="CA234" s="3" t="s">
        <v>144</v>
      </c>
      <c r="CB234" s="3" t="s">
        <v>144</v>
      </c>
      <c r="CC234" s="3" t="s">
        <v>144</v>
      </c>
      <c r="CD234" s="3" t="s">
        <v>144</v>
      </c>
      <c r="CE234" s="3" t="s">
        <v>144</v>
      </c>
      <c r="CF234" s="3" t="s">
        <v>144</v>
      </c>
      <c r="CG234" s="3" t="s">
        <v>144</v>
      </c>
      <c r="CH234" s="3" t="s">
        <v>144</v>
      </c>
      <c r="CI234" s="3" t="s">
        <v>144</v>
      </c>
      <c r="CJ234" s="3" t="s">
        <v>144</v>
      </c>
      <c r="CK234" s="3" t="s">
        <v>144</v>
      </c>
      <c r="CL234" s="3" t="s">
        <v>144</v>
      </c>
      <c r="CM234" s="3" t="s">
        <v>144</v>
      </c>
      <c r="CN234" s="3" t="s">
        <v>144</v>
      </c>
      <c r="CO234" s="3" t="s">
        <v>144</v>
      </c>
      <c r="CP234" s="3" t="s">
        <v>144</v>
      </c>
      <c r="CQ234" s="3" t="s">
        <v>144</v>
      </c>
      <c r="CR234" s="3" t="s">
        <v>144</v>
      </c>
      <c r="CS234" s="3" t="s">
        <v>144</v>
      </c>
      <c r="CT234" s="3" t="s">
        <v>144</v>
      </c>
      <c r="CU234" s="3" t="s">
        <v>144</v>
      </c>
      <c r="CV234" s="3" t="s">
        <v>144</v>
      </c>
      <c r="CW234" s="3" t="s">
        <v>144</v>
      </c>
      <c r="CX234" s="3" t="s">
        <v>144</v>
      </c>
      <c r="CY234" s="3" t="s">
        <v>144</v>
      </c>
    </row>
    <row r="235" spans="1:103" x14ac:dyDescent="0.25">
      <c r="A235" t="s">
        <v>120</v>
      </c>
      <c r="B235" t="s">
        <v>4</v>
      </c>
      <c r="C235">
        <v>1186.3363887004716</v>
      </c>
      <c r="D235">
        <v>746.85600667518054</v>
      </c>
      <c r="E235">
        <v>857.33218432505544</v>
      </c>
      <c r="F235">
        <v>668.49789472342582</v>
      </c>
      <c r="G235">
        <v>845.56573389832397</v>
      </c>
      <c r="H235">
        <v>1244.5401100834188</v>
      </c>
      <c r="I235">
        <v>1147.9880391001127</v>
      </c>
      <c r="J235">
        <v>1304.2352235666463</v>
      </c>
      <c r="K235">
        <v>1234.8592652874793</v>
      </c>
      <c r="L235">
        <v>1272.6115603724236</v>
      </c>
      <c r="M235">
        <v>1249.1521631623475</v>
      </c>
      <c r="N235">
        <v>1141.3997962323597</v>
      </c>
      <c r="O235">
        <v>1118.2968390602418</v>
      </c>
      <c r="P235">
        <v>1049.3608598084998</v>
      </c>
      <c r="Q235">
        <v>1063.1717497278432</v>
      </c>
      <c r="R235">
        <v>1073.0933091290331</v>
      </c>
      <c r="S235">
        <v>1101.3607762940901</v>
      </c>
      <c r="T235">
        <v>1148.5289989734731</v>
      </c>
      <c r="U235">
        <v>1174.0356690782394</v>
      </c>
      <c r="V235">
        <v>1203.9969217909145</v>
      </c>
      <c r="W235">
        <v>1205.9561784992104</v>
      </c>
      <c r="X235">
        <v>1200.4076513282935</v>
      </c>
      <c r="Y235">
        <v>1186.457106100919</v>
      </c>
      <c r="Z235">
        <v>1167.8841637059204</v>
      </c>
      <c r="AA235">
        <v>1156.3819572850591</v>
      </c>
      <c r="AB235">
        <v>1146.9320472784302</v>
      </c>
      <c r="AC235">
        <v>1147.1440769840526</v>
      </c>
      <c r="AD235">
        <v>1152.0345922607842</v>
      </c>
      <c r="AE235">
        <v>1160.8579841011381</v>
      </c>
      <c r="AF235">
        <v>1171.5209469038091</v>
      </c>
      <c r="AG235">
        <v>1180.1088706098876</v>
      </c>
      <c r="AH235">
        <v>1186.8593245958648</v>
      </c>
      <c r="AI235">
        <v>1189.56691351466</v>
      </c>
      <c r="AJ235">
        <v>1189.3513015734677</v>
      </c>
      <c r="AK235">
        <v>1186.8094968897281</v>
      </c>
      <c r="AL235">
        <v>1183.1298656358481</v>
      </c>
      <c r="AM235">
        <v>1180.00444259544</v>
      </c>
      <c r="AN235">
        <v>1178.0131630997791</v>
      </c>
      <c r="AO235">
        <v>1177.9754147561073</v>
      </c>
      <c r="AP235">
        <v>1179.6039296214988</v>
      </c>
      <c r="AQ235">
        <v>1182.4534773126011</v>
      </c>
      <c r="AR235">
        <v>1185.8134851980619</v>
      </c>
      <c r="AS235">
        <v>1188.8704032851247</v>
      </c>
      <c r="AT235">
        <v>1191.192751827786</v>
      </c>
      <c r="AU235">
        <v>1192.474104743937</v>
      </c>
      <c r="AV235">
        <v>1192.829903184045</v>
      </c>
      <c r="AW235">
        <v>1192.5292133850787</v>
      </c>
      <c r="AX235">
        <v>1191.9476572641026</v>
      </c>
      <c r="AY235">
        <v>1191.4686058777747</v>
      </c>
      <c r="BA235" s="1">
        <v>1</v>
      </c>
      <c r="BB235" t="str">
        <f t="shared" si="3"/>
        <v>Rs - Noroeste RS</v>
      </c>
      <c r="BC235" s="3">
        <v>970.66113499866424</v>
      </c>
      <c r="BD235" s="3">
        <v>572.49648931450781</v>
      </c>
      <c r="BE235" s="3">
        <v>367.71496148820751</v>
      </c>
      <c r="BF235" s="3">
        <v>421.28331800296468</v>
      </c>
      <c r="BG235" s="3">
        <v>305.76818523430518</v>
      </c>
      <c r="BH235" s="3">
        <v>678.49237965998293</v>
      </c>
      <c r="BI235" s="3">
        <v>449.34345824586921</v>
      </c>
      <c r="BJ235" s="3">
        <v>493.72918684636511</v>
      </c>
      <c r="BK235" s="3">
        <v>460.67912932746253</v>
      </c>
      <c r="BL235" s="3">
        <v>423.44993556431064</v>
      </c>
      <c r="BM235" s="3">
        <v>447.28507833125923</v>
      </c>
      <c r="BN235" s="3">
        <v>332.43206695547929</v>
      </c>
      <c r="BO235" s="3">
        <v>335.30746085625003</v>
      </c>
      <c r="BP235" s="3">
        <v>290.21155603770956</v>
      </c>
      <c r="BQ235" s="3">
        <v>286.32442016998698</v>
      </c>
      <c r="BR235" s="3">
        <v>290.93537193831605</v>
      </c>
      <c r="BS235" s="3">
        <v>276.04130608738285</v>
      </c>
      <c r="BT235" s="3">
        <v>289.47383409505369</v>
      </c>
      <c r="BU235" s="3">
        <v>276.18971089957506</v>
      </c>
      <c r="BV235" s="3">
        <v>272.7884597701468</v>
      </c>
      <c r="BW235" s="3">
        <v>257.50085675174591</v>
      </c>
      <c r="BX235" s="3">
        <v>238.26760934555682</v>
      </c>
      <c r="BY235" s="3">
        <v>223.66730062110787</v>
      </c>
      <c r="BZ235" s="3">
        <v>204.01169998835837</v>
      </c>
      <c r="CA235" s="3">
        <v>191.99889940227661</v>
      </c>
      <c r="CB235" s="3">
        <v>179.08349000271448</v>
      </c>
      <c r="CC235" s="3">
        <v>170.17704209615465</v>
      </c>
      <c r="CD235" s="3">
        <v>163.54782815509191</v>
      </c>
      <c r="CE235" s="3">
        <v>156.93238905927865</v>
      </c>
      <c r="CF235" s="3">
        <v>152.05582999092451</v>
      </c>
      <c r="CG235" s="3">
        <v>145.5218280328113</v>
      </c>
      <c r="CH235" s="3">
        <v>138.94546172219202</v>
      </c>
      <c r="CI235" s="3">
        <v>131.09914316406821</v>
      </c>
      <c r="CJ235" s="3">
        <v>122.43834226446552</v>
      </c>
      <c r="CK235" s="3">
        <v>113.721342282058</v>
      </c>
      <c r="CL235" s="3">
        <v>104.86963069709373</v>
      </c>
      <c r="CM235" s="3">
        <v>96.951240990226324</v>
      </c>
      <c r="CN235" s="3">
        <v>89.766825511611387</v>
      </c>
      <c r="CO235" s="3">
        <v>83.602023097854499</v>
      </c>
      <c r="CP235" s="3">
        <v>78.237521255951833</v>
      </c>
      <c r="CQ235" s="3">
        <v>73.317267288429775</v>
      </c>
      <c r="CR235" s="3">
        <v>68.679771197459559</v>
      </c>
      <c r="CS235" s="3">
        <v>63.94676828499837</v>
      </c>
      <c r="CT235" s="3">
        <v>59.095646209778579</v>
      </c>
      <c r="CU235" s="3">
        <v>54.058732378294735</v>
      </c>
      <c r="CV235" s="3">
        <v>48.928063278881609</v>
      </c>
      <c r="CW235" s="3">
        <v>43.849103905439279</v>
      </c>
      <c r="CX235" s="3">
        <v>38.921476032983719</v>
      </c>
      <c r="CY235" s="3">
        <v>34.27883565182151</v>
      </c>
    </row>
    <row r="236" spans="1:103" x14ac:dyDescent="0.25">
      <c r="A236" t="s">
        <v>120</v>
      </c>
      <c r="B236" t="s">
        <v>5</v>
      </c>
      <c r="C236">
        <v>215.67525370180743</v>
      </c>
      <c r="D236">
        <v>174.3595173606727</v>
      </c>
      <c r="E236">
        <v>489.61722283684793</v>
      </c>
      <c r="F236">
        <v>247.21457672046114</v>
      </c>
      <c r="G236">
        <v>539.79754866401879</v>
      </c>
      <c r="H236">
        <v>566.04773042343584</v>
      </c>
      <c r="I236">
        <v>698.64458085424349</v>
      </c>
      <c r="J236">
        <v>810.50603672028114</v>
      </c>
      <c r="K236">
        <v>774.18013596001674</v>
      </c>
      <c r="L236">
        <v>849.16162480811295</v>
      </c>
      <c r="M236">
        <v>801.86708483108828</v>
      </c>
      <c r="N236">
        <v>808.96772927688039</v>
      </c>
      <c r="O236">
        <v>782.98937820399181</v>
      </c>
      <c r="P236">
        <v>759.1493037707902</v>
      </c>
      <c r="Q236">
        <v>776.84732955785626</v>
      </c>
      <c r="R236">
        <v>782.15793719071701</v>
      </c>
      <c r="S236">
        <v>825.31947020670725</v>
      </c>
      <c r="T236">
        <v>859.05516487841942</v>
      </c>
      <c r="U236">
        <v>897.84595817866432</v>
      </c>
      <c r="V236">
        <v>931.20846202076768</v>
      </c>
      <c r="W236">
        <v>948.4553217474645</v>
      </c>
      <c r="X236">
        <v>962.14004198273665</v>
      </c>
      <c r="Y236">
        <v>962.78980547981109</v>
      </c>
      <c r="Z236">
        <v>963.87246371756203</v>
      </c>
      <c r="AA236">
        <v>964.38305788278251</v>
      </c>
      <c r="AB236">
        <v>967.84855727571573</v>
      </c>
      <c r="AC236">
        <v>976.96703488789797</v>
      </c>
      <c r="AD236">
        <v>988.48676410569226</v>
      </c>
      <c r="AE236">
        <v>1003.9255950418594</v>
      </c>
      <c r="AF236">
        <v>1019.4651169128846</v>
      </c>
      <c r="AG236">
        <v>1034.5870425770763</v>
      </c>
      <c r="AH236">
        <v>1047.9138628736728</v>
      </c>
      <c r="AI236">
        <v>1058.4677703505918</v>
      </c>
      <c r="AJ236">
        <v>1066.9129593090022</v>
      </c>
      <c r="AK236">
        <v>1073.08815460767</v>
      </c>
      <c r="AL236">
        <v>1078.2602349387544</v>
      </c>
      <c r="AM236">
        <v>1083.0532016052136</v>
      </c>
      <c r="AN236">
        <v>1088.2463375881678</v>
      </c>
      <c r="AO236">
        <v>1094.3733916582528</v>
      </c>
      <c r="AP236">
        <v>1101.3664083655469</v>
      </c>
      <c r="AQ236">
        <v>1109.1362100241713</v>
      </c>
      <c r="AR236">
        <v>1117.1337140006024</v>
      </c>
      <c r="AS236">
        <v>1124.9236350001263</v>
      </c>
      <c r="AT236">
        <v>1132.0971056180074</v>
      </c>
      <c r="AU236">
        <v>1138.4153723656423</v>
      </c>
      <c r="AV236">
        <v>1143.9018399051633</v>
      </c>
      <c r="AW236">
        <v>1148.6801094796394</v>
      </c>
      <c r="AX236">
        <v>1153.0261812311189</v>
      </c>
      <c r="AY236">
        <v>1157.1897702259532</v>
      </c>
      <c r="BA236" s="1">
        <v>-1</v>
      </c>
      <c r="BB236" t="str">
        <f t="shared" si="3"/>
        <v>Rs - Noroeste RS</v>
      </c>
      <c r="BC236" s="3" t="s">
        <v>144</v>
      </c>
      <c r="BD236" s="3" t="s">
        <v>144</v>
      </c>
      <c r="BE236" s="3" t="s">
        <v>144</v>
      </c>
      <c r="BF236" s="3" t="s">
        <v>144</v>
      </c>
      <c r="BG236" s="3" t="s">
        <v>144</v>
      </c>
      <c r="BH236" s="3" t="s">
        <v>144</v>
      </c>
      <c r="BI236" s="3" t="s">
        <v>144</v>
      </c>
      <c r="BJ236" s="3" t="s">
        <v>144</v>
      </c>
      <c r="BK236" s="3" t="s">
        <v>144</v>
      </c>
      <c r="BL236" s="3" t="s">
        <v>144</v>
      </c>
      <c r="BM236" s="3" t="s">
        <v>144</v>
      </c>
      <c r="BN236" s="3" t="s">
        <v>144</v>
      </c>
      <c r="BO236" s="3" t="s">
        <v>144</v>
      </c>
      <c r="BP236" s="3" t="s">
        <v>144</v>
      </c>
      <c r="BQ236" s="3" t="s">
        <v>144</v>
      </c>
      <c r="BR236" s="3" t="s">
        <v>144</v>
      </c>
      <c r="BS236" s="3" t="s">
        <v>144</v>
      </c>
      <c r="BT236" s="3" t="s">
        <v>144</v>
      </c>
      <c r="BU236" s="3" t="s">
        <v>144</v>
      </c>
      <c r="BV236" s="3" t="s">
        <v>144</v>
      </c>
      <c r="BW236" s="3" t="s">
        <v>144</v>
      </c>
      <c r="BX236" s="3" t="s">
        <v>144</v>
      </c>
      <c r="BY236" s="3" t="s">
        <v>144</v>
      </c>
      <c r="BZ236" s="3" t="s">
        <v>144</v>
      </c>
      <c r="CA236" s="3" t="s">
        <v>144</v>
      </c>
      <c r="CB236" s="3" t="s">
        <v>144</v>
      </c>
      <c r="CC236" s="3" t="s">
        <v>144</v>
      </c>
      <c r="CD236" s="3" t="s">
        <v>144</v>
      </c>
      <c r="CE236" s="3" t="s">
        <v>144</v>
      </c>
      <c r="CF236" s="3" t="s">
        <v>144</v>
      </c>
      <c r="CG236" s="3" t="s">
        <v>144</v>
      </c>
      <c r="CH236" s="3" t="s">
        <v>144</v>
      </c>
      <c r="CI236" s="3" t="s">
        <v>144</v>
      </c>
      <c r="CJ236" s="3" t="s">
        <v>144</v>
      </c>
      <c r="CK236" s="3" t="s">
        <v>144</v>
      </c>
      <c r="CL236" s="3" t="s">
        <v>144</v>
      </c>
      <c r="CM236" s="3" t="s">
        <v>144</v>
      </c>
      <c r="CN236" s="3" t="s">
        <v>144</v>
      </c>
      <c r="CO236" s="3" t="s">
        <v>144</v>
      </c>
      <c r="CP236" s="3" t="s">
        <v>144</v>
      </c>
      <c r="CQ236" s="3" t="s">
        <v>144</v>
      </c>
      <c r="CR236" s="3" t="s">
        <v>144</v>
      </c>
      <c r="CS236" s="3" t="s">
        <v>144</v>
      </c>
      <c r="CT236" s="3" t="s">
        <v>144</v>
      </c>
      <c r="CU236" s="3" t="s">
        <v>144</v>
      </c>
      <c r="CV236" s="3" t="s">
        <v>144</v>
      </c>
      <c r="CW236" s="3" t="s">
        <v>144</v>
      </c>
      <c r="CX236" s="3" t="s">
        <v>144</v>
      </c>
      <c r="CY236" s="3" t="s">
        <v>144</v>
      </c>
    </row>
    <row r="237" spans="1:103" x14ac:dyDescent="0.25">
      <c r="A237" t="s">
        <v>121</v>
      </c>
      <c r="B237" t="s">
        <v>4</v>
      </c>
      <c r="C237">
        <v>1631.0540368293828</v>
      </c>
      <c r="D237">
        <v>630.46933398254941</v>
      </c>
      <c r="E237">
        <v>82.329341166781461</v>
      </c>
      <c r="F237">
        <v>840.03404456179601</v>
      </c>
      <c r="G237">
        <v>873.98661156101366</v>
      </c>
      <c r="H237">
        <v>1354.3096915013975</v>
      </c>
      <c r="I237">
        <v>1307.8246976575576</v>
      </c>
      <c r="J237">
        <v>1404.8882770022271</v>
      </c>
      <c r="K237">
        <v>1451.4263268276948</v>
      </c>
      <c r="L237">
        <v>1355.8852522812899</v>
      </c>
      <c r="M237">
        <v>1329.9848755336013</v>
      </c>
      <c r="N237">
        <v>1128.6182552737298</v>
      </c>
      <c r="O237">
        <v>1065.7045236233935</v>
      </c>
      <c r="P237">
        <v>999.54391293838808</v>
      </c>
      <c r="Q237">
        <v>979.97777155940059</v>
      </c>
      <c r="R237">
        <v>1022.2732737485234</v>
      </c>
      <c r="S237">
        <v>1055.5994499060073</v>
      </c>
      <c r="T237">
        <v>1129.8527799059243</v>
      </c>
      <c r="U237">
        <v>1170.1254399313107</v>
      </c>
      <c r="V237">
        <v>1197.5763174108456</v>
      </c>
      <c r="W237">
        <v>1196.9824005857374</v>
      </c>
      <c r="X237">
        <v>1170.0184582965385</v>
      </c>
      <c r="Y237">
        <v>1140.1284792382182</v>
      </c>
      <c r="Z237">
        <v>1101.6122788136113</v>
      </c>
      <c r="AA237">
        <v>1075.3368757246237</v>
      </c>
      <c r="AB237">
        <v>1058.1532350879611</v>
      </c>
      <c r="AC237">
        <v>1053.5325422163148</v>
      </c>
      <c r="AD237">
        <v>1060.10600253954</v>
      </c>
      <c r="AE237">
        <v>1070.481457756774</v>
      </c>
      <c r="AF237">
        <v>1083.6509777567733</v>
      </c>
      <c r="AG237">
        <v>1092.9215708051643</v>
      </c>
      <c r="AH237">
        <v>1097.6858668552845</v>
      </c>
      <c r="AI237">
        <v>1096.5782259474138</v>
      </c>
      <c r="AJ237">
        <v>1090.0831981961235</v>
      </c>
      <c r="AK237">
        <v>1080.7635984458816</v>
      </c>
      <c r="AL237">
        <v>1070.1283964366769</v>
      </c>
      <c r="AM237">
        <v>1061.0094242016528</v>
      </c>
      <c r="AN237">
        <v>1054.5104182693838</v>
      </c>
      <c r="AO237">
        <v>1051.3374166005508</v>
      </c>
      <c r="AP237">
        <v>1051.2036547843727</v>
      </c>
      <c r="AQ237">
        <v>1052.9186761295502</v>
      </c>
      <c r="AR237">
        <v>1055.354017897703</v>
      </c>
      <c r="AS237">
        <v>1057.1496984662838</v>
      </c>
      <c r="AT237">
        <v>1057.5895294020636</v>
      </c>
      <c r="AU237">
        <v>1056.3702443735931</v>
      </c>
      <c r="AV237">
        <v>1053.6978415968342</v>
      </c>
      <c r="AW237">
        <v>1050.1651941258278</v>
      </c>
      <c r="AX237">
        <v>1046.4051882888243</v>
      </c>
      <c r="AY237">
        <v>1043.0518558312615</v>
      </c>
      <c r="BA237" s="1">
        <v>1</v>
      </c>
      <c r="BB237" t="str">
        <f t="shared" si="3"/>
        <v>Rs - Nordeste RS</v>
      </c>
      <c r="BC237" s="3">
        <v>1371.2695155408726</v>
      </c>
      <c r="BD237" s="3">
        <v>315.39668374769911</v>
      </c>
      <c r="BE237" s="3">
        <v>-562.97865969826285</v>
      </c>
      <c r="BF237" s="3">
        <v>1244.9976353115997</v>
      </c>
      <c r="BG237" s="3">
        <v>175.22365264029429</v>
      </c>
      <c r="BH237" s="3">
        <v>696.06963916969517</v>
      </c>
      <c r="BI237" s="3">
        <v>510.24475022144793</v>
      </c>
      <c r="BJ237" s="3">
        <v>383.17981723714695</v>
      </c>
      <c r="BK237" s="3">
        <v>595.46071009428135</v>
      </c>
      <c r="BL237" s="3">
        <v>279.33956242653107</v>
      </c>
      <c r="BM237" s="3">
        <v>429.23081384206432</v>
      </c>
      <c r="BN237" s="3">
        <v>219.01880727867501</v>
      </c>
      <c r="BO237" s="3">
        <v>239.28374384060965</v>
      </c>
      <c r="BP237" s="3">
        <v>248.03204585305946</v>
      </c>
      <c r="BQ237" s="3">
        <v>187.48576288518007</v>
      </c>
      <c r="BR237" s="3">
        <v>259.88009586935493</v>
      </c>
      <c r="BS237" s="3">
        <v>217.08447906175297</v>
      </c>
      <c r="BT237" s="3">
        <v>252.14921704894743</v>
      </c>
      <c r="BU237" s="3">
        <v>234.79253776540941</v>
      </c>
      <c r="BV237" s="3">
        <v>212.00975998999479</v>
      </c>
      <c r="BW237" s="3">
        <v>199.97702045709161</v>
      </c>
      <c r="BX237" s="3">
        <v>158.29605429439835</v>
      </c>
      <c r="BY237" s="3">
        <v>145.44321987216267</v>
      </c>
      <c r="BZ237" s="3">
        <v>117.66938432930306</v>
      </c>
      <c r="CA237" s="3">
        <v>104.65872607953258</v>
      </c>
      <c r="CB237" s="3">
        <v>95.40857457531763</v>
      </c>
      <c r="CC237" s="3">
        <v>85.494674776635748</v>
      </c>
      <c r="CD237" s="3">
        <v>83.777151238049782</v>
      </c>
      <c r="CE237" s="3">
        <v>76.090745525752141</v>
      </c>
      <c r="CF237" s="3">
        <v>71.668437432243536</v>
      </c>
      <c r="CG237" s="3">
        <v>63.388275465684274</v>
      </c>
      <c r="CH237" s="3">
        <v>53.51240199560948</v>
      </c>
      <c r="CI237" s="3">
        <v>43.141036964250816</v>
      </c>
      <c r="CJ237" s="3">
        <v>30.560381640605556</v>
      </c>
      <c r="CK237" s="3">
        <v>19.530361579367764</v>
      </c>
      <c r="CL237" s="3">
        <v>8.4746708867630787</v>
      </c>
      <c r="CM237" s="3">
        <v>-0.63445945551552541</v>
      </c>
      <c r="CN237" s="3">
        <v>-8.2054390504988532</v>
      </c>
      <c r="CO237" s="3">
        <v>-14.658539770580319</v>
      </c>
      <c r="CP237" s="3">
        <v>-19.911461796903268</v>
      </c>
      <c r="CQ237" s="3">
        <v>-25.173977504668983</v>
      </c>
      <c r="CR237" s="3">
        <v>-30.369070014575072</v>
      </c>
      <c r="CS237" s="3">
        <v>-36.093891454165259</v>
      </c>
      <c r="CT237" s="3">
        <v>-42.269254449655364</v>
      </c>
      <c r="CU237" s="3">
        <v>-48.704578562309052</v>
      </c>
      <c r="CV237" s="3">
        <v>-55.27961633800146</v>
      </c>
      <c r="CW237" s="3">
        <v>-61.581106620622222</v>
      </c>
      <c r="CX237" s="3">
        <v>-67.527426694417045</v>
      </c>
      <c r="CY237" s="3">
        <v>-72.936516203963038</v>
      </c>
    </row>
    <row r="238" spans="1:103" x14ac:dyDescent="0.25">
      <c r="A238" t="s">
        <v>121</v>
      </c>
      <c r="B238" t="s">
        <v>5</v>
      </c>
      <c r="C238">
        <v>259.78452128851023</v>
      </c>
      <c r="D238">
        <v>315.0726502348503</v>
      </c>
      <c r="E238">
        <v>645.30800086504428</v>
      </c>
      <c r="F238">
        <v>-404.96359074980364</v>
      </c>
      <c r="G238">
        <v>698.76295892071937</v>
      </c>
      <c r="H238">
        <v>658.24005233170237</v>
      </c>
      <c r="I238">
        <v>797.57994743610971</v>
      </c>
      <c r="J238">
        <v>1021.7084597650802</v>
      </c>
      <c r="K238">
        <v>855.96561673341341</v>
      </c>
      <c r="L238">
        <v>1076.5456898547588</v>
      </c>
      <c r="M238">
        <v>900.754061691537</v>
      </c>
      <c r="N238">
        <v>909.59944799505479</v>
      </c>
      <c r="O238">
        <v>826.42077978278382</v>
      </c>
      <c r="P238">
        <v>751.51186708532862</v>
      </c>
      <c r="Q238">
        <v>792.49200867422053</v>
      </c>
      <c r="R238">
        <v>762.39317787916843</v>
      </c>
      <c r="S238">
        <v>838.51497084425432</v>
      </c>
      <c r="T238">
        <v>877.70356285697687</v>
      </c>
      <c r="U238">
        <v>935.33290216590126</v>
      </c>
      <c r="V238">
        <v>985.56655742085081</v>
      </c>
      <c r="W238">
        <v>997.00538012864581</v>
      </c>
      <c r="X238">
        <v>1011.7224040021401</v>
      </c>
      <c r="Y238">
        <v>994.68525936605556</v>
      </c>
      <c r="Z238">
        <v>983.94289448430823</v>
      </c>
      <c r="AA238">
        <v>970.67814964509114</v>
      </c>
      <c r="AB238">
        <v>962.74466051264346</v>
      </c>
      <c r="AC238">
        <v>968.03786743967908</v>
      </c>
      <c r="AD238">
        <v>976.3288513014902</v>
      </c>
      <c r="AE238">
        <v>994.39071223102189</v>
      </c>
      <c r="AF238">
        <v>1011.9825403245297</v>
      </c>
      <c r="AG238">
        <v>1029.53329533948</v>
      </c>
      <c r="AH238">
        <v>1044.1734648596751</v>
      </c>
      <c r="AI238">
        <v>1053.437188983163</v>
      </c>
      <c r="AJ238">
        <v>1059.5228165555179</v>
      </c>
      <c r="AK238">
        <v>1061.2332368665138</v>
      </c>
      <c r="AL238">
        <v>1061.6537255499138</v>
      </c>
      <c r="AM238">
        <v>1061.6438836571683</v>
      </c>
      <c r="AN238">
        <v>1062.7158573198826</v>
      </c>
      <c r="AO238">
        <v>1065.9959563711311</v>
      </c>
      <c r="AP238">
        <v>1071.115116581276</v>
      </c>
      <c r="AQ238">
        <v>1078.0926536342192</v>
      </c>
      <c r="AR238">
        <v>1085.7230879122781</v>
      </c>
      <c r="AS238">
        <v>1093.243589920449</v>
      </c>
      <c r="AT238">
        <v>1099.858783851719</v>
      </c>
      <c r="AU238">
        <v>1105.0748229359021</v>
      </c>
      <c r="AV238">
        <v>1108.9774579348357</v>
      </c>
      <c r="AW238">
        <v>1111.7463007464501</v>
      </c>
      <c r="AX238">
        <v>1113.9326149832414</v>
      </c>
      <c r="AY238">
        <v>1115.9883720352245</v>
      </c>
      <c r="BA238" s="1">
        <v>-1</v>
      </c>
      <c r="BB238" t="str">
        <f t="shared" si="3"/>
        <v>Rs - Nordeste RS</v>
      </c>
      <c r="BC238" s="3" t="s">
        <v>144</v>
      </c>
      <c r="BD238" s="3" t="s">
        <v>144</v>
      </c>
      <c r="BE238" s="3" t="s">
        <v>144</v>
      </c>
      <c r="BF238" s="3" t="s">
        <v>144</v>
      </c>
      <c r="BG238" s="3" t="s">
        <v>144</v>
      </c>
      <c r="BH238" s="3" t="s">
        <v>144</v>
      </c>
      <c r="BI238" s="3" t="s">
        <v>144</v>
      </c>
      <c r="BJ238" s="3" t="s">
        <v>144</v>
      </c>
      <c r="BK238" s="3" t="s">
        <v>144</v>
      </c>
      <c r="BL238" s="3" t="s">
        <v>144</v>
      </c>
      <c r="BM238" s="3" t="s">
        <v>144</v>
      </c>
      <c r="BN238" s="3" t="s">
        <v>144</v>
      </c>
      <c r="BO238" s="3" t="s">
        <v>144</v>
      </c>
      <c r="BP238" s="3" t="s">
        <v>144</v>
      </c>
      <c r="BQ238" s="3" t="s">
        <v>144</v>
      </c>
      <c r="BR238" s="3" t="s">
        <v>144</v>
      </c>
      <c r="BS238" s="3" t="s">
        <v>144</v>
      </c>
      <c r="BT238" s="3" t="s">
        <v>144</v>
      </c>
      <c r="BU238" s="3" t="s">
        <v>144</v>
      </c>
      <c r="BV238" s="3" t="s">
        <v>144</v>
      </c>
      <c r="BW238" s="3" t="s">
        <v>144</v>
      </c>
      <c r="BX238" s="3" t="s">
        <v>144</v>
      </c>
      <c r="BY238" s="3" t="s">
        <v>144</v>
      </c>
      <c r="BZ238" s="3" t="s">
        <v>144</v>
      </c>
      <c r="CA238" s="3" t="s">
        <v>144</v>
      </c>
      <c r="CB238" s="3" t="s">
        <v>144</v>
      </c>
      <c r="CC238" s="3" t="s">
        <v>144</v>
      </c>
      <c r="CD238" s="3" t="s">
        <v>144</v>
      </c>
      <c r="CE238" s="3" t="s">
        <v>144</v>
      </c>
      <c r="CF238" s="3" t="s">
        <v>144</v>
      </c>
      <c r="CG238" s="3" t="s">
        <v>144</v>
      </c>
      <c r="CH238" s="3" t="s">
        <v>144</v>
      </c>
      <c r="CI238" s="3" t="s">
        <v>144</v>
      </c>
      <c r="CJ238" s="3" t="s">
        <v>144</v>
      </c>
      <c r="CK238" s="3" t="s">
        <v>144</v>
      </c>
      <c r="CL238" s="3" t="s">
        <v>144</v>
      </c>
      <c r="CM238" s="3" t="s">
        <v>144</v>
      </c>
      <c r="CN238" s="3" t="s">
        <v>144</v>
      </c>
      <c r="CO238" s="3" t="s">
        <v>144</v>
      </c>
      <c r="CP238" s="3" t="s">
        <v>144</v>
      </c>
      <c r="CQ238" s="3" t="s">
        <v>144</v>
      </c>
      <c r="CR238" s="3" t="s">
        <v>144</v>
      </c>
      <c r="CS238" s="3" t="s">
        <v>144</v>
      </c>
      <c r="CT238" s="3" t="s">
        <v>144</v>
      </c>
      <c r="CU238" s="3" t="s">
        <v>144</v>
      </c>
      <c r="CV238" s="3" t="s">
        <v>144</v>
      </c>
      <c r="CW238" s="3" t="s">
        <v>144</v>
      </c>
      <c r="CX238" s="3" t="s">
        <v>144</v>
      </c>
      <c r="CY238" s="3" t="s">
        <v>144</v>
      </c>
    </row>
    <row r="239" spans="1:103" x14ac:dyDescent="0.25">
      <c r="A239" t="s">
        <v>122</v>
      </c>
      <c r="B239" t="s">
        <v>4</v>
      </c>
      <c r="C239">
        <v>204.63130452823791</v>
      </c>
      <c r="D239">
        <v>141.715158813644</v>
      </c>
      <c r="E239">
        <v>159.39149594473841</v>
      </c>
      <c r="F239">
        <v>61.219927398936385</v>
      </c>
      <c r="G239">
        <v>108.48946876765845</v>
      </c>
      <c r="H239">
        <v>215.31550931389492</v>
      </c>
      <c r="I239">
        <v>190.3603177986418</v>
      </c>
      <c r="J239">
        <v>225.67929274226614</v>
      </c>
      <c r="K239">
        <v>213.58869109228289</v>
      </c>
      <c r="L239">
        <v>233.93493929879614</v>
      </c>
      <c r="M239">
        <v>234.11477514040467</v>
      </c>
      <c r="N239">
        <v>213.33838983671379</v>
      </c>
      <c r="O239">
        <v>211.89967119082004</v>
      </c>
      <c r="P239">
        <v>198.62919691369768</v>
      </c>
      <c r="Q239">
        <v>204.27280450573087</v>
      </c>
      <c r="R239">
        <v>206.61490708306323</v>
      </c>
      <c r="S239">
        <v>213.38316522349095</v>
      </c>
      <c r="T239">
        <v>224.7019333421585</v>
      </c>
      <c r="U239">
        <v>231.80121553002587</v>
      </c>
      <c r="V239">
        <v>240.96449617093646</v>
      </c>
      <c r="W239">
        <v>244.01203439850875</v>
      </c>
      <c r="X239">
        <v>245.84761927327</v>
      </c>
      <c r="Y239">
        <v>245.53244255302914</v>
      </c>
      <c r="Z239">
        <v>243.83335432730544</v>
      </c>
      <c r="AA239">
        <v>243.24058809979002</v>
      </c>
      <c r="AB239">
        <v>242.55816785648855</v>
      </c>
      <c r="AC239">
        <v>243.80460067011143</v>
      </c>
      <c r="AD239">
        <v>245.90280968866591</v>
      </c>
      <c r="AE239">
        <v>248.9229526239256</v>
      </c>
      <c r="AF239">
        <v>252.44215836334246</v>
      </c>
      <c r="AG239">
        <v>255.61798740817034</v>
      </c>
      <c r="AH239">
        <v>258.51907367682423</v>
      </c>
      <c r="AI239">
        <v>260.57046250120237</v>
      </c>
      <c r="AJ239">
        <v>261.99309737211053</v>
      </c>
      <c r="AK239">
        <v>262.83759811855572</v>
      </c>
      <c r="AL239">
        <v>263.3305482652512</v>
      </c>
      <c r="AM239">
        <v>263.82239347603416</v>
      </c>
      <c r="AN239">
        <v>264.43190341747737</v>
      </c>
      <c r="AO239">
        <v>265.36882591094371</v>
      </c>
      <c r="AP239">
        <v>266.59607713479073</v>
      </c>
      <c r="AQ239">
        <v>268.05929861561623</v>
      </c>
      <c r="AR239">
        <v>269.63233035463219</v>
      </c>
      <c r="AS239">
        <v>271.15418780541444</v>
      </c>
      <c r="AT239">
        <v>272.53400049830793</v>
      </c>
      <c r="AU239">
        <v>273.69073592592002</v>
      </c>
      <c r="AV239">
        <v>274.63249142322923</v>
      </c>
      <c r="AW239">
        <v>275.39744810339334</v>
      </c>
      <c r="AX239">
        <v>276.05395769279795</v>
      </c>
      <c r="AY239">
        <v>276.67999194258647</v>
      </c>
      <c r="BA239" s="1">
        <v>1</v>
      </c>
      <c r="BB239" t="str">
        <f t="shared" si="3"/>
        <v>Rs - Centro Ocidental RS</v>
      </c>
      <c r="BC239" s="3">
        <v>178.51644973518995</v>
      </c>
      <c r="BD239" s="3">
        <v>132.54383097456798</v>
      </c>
      <c r="BE239" s="3">
        <v>34.229133818533299</v>
      </c>
      <c r="BF239" s="3">
        <v>51.025510160005879</v>
      </c>
      <c r="BG239" s="3">
        <v>15.278612473155789</v>
      </c>
      <c r="BH239" s="3">
        <v>148.94389617179257</v>
      </c>
      <c r="BI239" s="3">
        <v>91.048046756675845</v>
      </c>
      <c r="BJ239" s="3">
        <v>82.828791910892448</v>
      </c>
      <c r="BK239" s="3">
        <v>90.012207331240049</v>
      </c>
      <c r="BL239" s="3">
        <v>74.922273782905393</v>
      </c>
      <c r="BM239" s="3">
        <v>88.338563987327689</v>
      </c>
      <c r="BN239" s="3">
        <v>55.255046797751135</v>
      </c>
      <c r="BO239" s="3">
        <v>56.121064541910954</v>
      </c>
      <c r="BP239" s="3">
        <v>49.618102079719193</v>
      </c>
      <c r="BQ239" s="3">
        <v>47.926887601717823</v>
      </c>
      <c r="BR239" s="3">
        <v>53.062043260435019</v>
      </c>
      <c r="BS239" s="3">
        <v>49.006035799899735</v>
      </c>
      <c r="BT239" s="3">
        <v>54.476427912412618</v>
      </c>
      <c r="BU239" s="3">
        <v>52.781814148184736</v>
      </c>
      <c r="BV239" s="3">
        <v>52.672593806794509</v>
      </c>
      <c r="BW239" s="3">
        <v>50.548463499890914</v>
      </c>
      <c r="BX239" s="3">
        <v>46.008461449436652</v>
      </c>
      <c r="BY239" s="3">
        <v>43.476054634798032</v>
      </c>
      <c r="BZ239" s="3">
        <v>39.144055553487306</v>
      </c>
      <c r="CA239" s="3">
        <v>36.858373237649175</v>
      </c>
      <c r="CB239" s="3">
        <v>34.581016962315573</v>
      </c>
      <c r="CC239" s="3">
        <v>33.126583334339244</v>
      </c>
      <c r="CD239" s="3">
        <v>32.595078282091492</v>
      </c>
      <c r="CE239" s="3">
        <v>31.852828086992076</v>
      </c>
      <c r="CF239" s="3">
        <v>31.595271859329529</v>
      </c>
      <c r="CG239" s="3">
        <v>30.802588223184898</v>
      </c>
      <c r="CH239" s="3">
        <v>29.864951510330002</v>
      </c>
      <c r="CI239" s="3">
        <v>28.594998889188076</v>
      </c>
      <c r="CJ239" s="3">
        <v>27.004205556034776</v>
      </c>
      <c r="CK239" s="3">
        <v>25.422828062367074</v>
      </c>
      <c r="CL239" s="3">
        <v>23.777068054805937</v>
      </c>
      <c r="CM239" s="3">
        <v>22.374300545824866</v>
      </c>
      <c r="CN239" s="3">
        <v>21.167969488808097</v>
      </c>
      <c r="CO239" s="3">
        <v>20.200700360371656</v>
      </c>
      <c r="CP239" s="3">
        <v>19.440086972096822</v>
      </c>
      <c r="CQ239" s="3">
        <v>18.763882688792478</v>
      </c>
      <c r="CR239" s="3">
        <v>18.141841723320482</v>
      </c>
      <c r="CS239" s="3">
        <v>17.467340791871493</v>
      </c>
      <c r="CT239" s="3">
        <v>16.731260246216664</v>
      </c>
      <c r="CU239" s="3">
        <v>15.922616657355434</v>
      </c>
      <c r="CV239" s="3">
        <v>15.061140652479253</v>
      </c>
      <c r="CW239" s="3">
        <v>14.19467602649695</v>
      </c>
      <c r="CX239" s="3">
        <v>13.35049005037888</v>
      </c>
      <c r="CY239" s="3">
        <v>12.568677400506147</v>
      </c>
    </row>
    <row r="240" spans="1:103" x14ac:dyDescent="0.25">
      <c r="A240" t="s">
        <v>122</v>
      </c>
      <c r="B240" t="s">
        <v>5</v>
      </c>
      <c r="C240">
        <v>26.114854793047954</v>
      </c>
      <c r="D240">
        <v>9.1713278390760067</v>
      </c>
      <c r="E240">
        <v>125.16236212620511</v>
      </c>
      <c r="F240">
        <v>10.194417238930509</v>
      </c>
      <c r="G240">
        <v>93.210856294502662</v>
      </c>
      <c r="H240">
        <v>66.371613142102333</v>
      </c>
      <c r="I240">
        <v>99.312271041965957</v>
      </c>
      <c r="J240">
        <v>142.85050083137369</v>
      </c>
      <c r="K240">
        <v>123.57648376104284</v>
      </c>
      <c r="L240">
        <v>159.01266551589075</v>
      </c>
      <c r="M240">
        <v>145.77621115307699</v>
      </c>
      <c r="N240">
        <v>158.08334303896265</v>
      </c>
      <c r="O240">
        <v>155.77860664890909</v>
      </c>
      <c r="P240">
        <v>149.01109483397849</v>
      </c>
      <c r="Q240">
        <v>156.34591690401305</v>
      </c>
      <c r="R240">
        <v>153.55286382262821</v>
      </c>
      <c r="S240">
        <v>164.37712942359121</v>
      </c>
      <c r="T240">
        <v>170.22550542974588</v>
      </c>
      <c r="U240">
        <v>179.01940138184113</v>
      </c>
      <c r="V240">
        <v>188.29190236414195</v>
      </c>
      <c r="W240">
        <v>193.46357089861783</v>
      </c>
      <c r="X240">
        <v>199.83915782383335</v>
      </c>
      <c r="Y240">
        <v>202.05638791823111</v>
      </c>
      <c r="Z240">
        <v>204.68929877381814</v>
      </c>
      <c r="AA240">
        <v>206.38221486214084</v>
      </c>
      <c r="AB240">
        <v>207.97715089417298</v>
      </c>
      <c r="AC240">
        <v>210.67801733577218</v>
      </c>
      <c r="AD240">
        <v>213.30773140657442</v>
      </c>
      <c r="AE240">
        <v>217.07012453693352</v>
      </c>
      <c r="AF240">
        <v>220.84688650401293</v>
      </c>
      <c r="AG240">
        <v>224.81539918498544</v>
      </c>
      <c r="AH240">
        <v>228.65412216649423</v>
      </c>
      <c r="AI240">
        <v>231.97546361201429</v>
      </c>
      <c r="AJ240">
        <v>234.98889181607575</v>
      </c>
      <c r="AK240">
        <v>237.41477005618864</v>
      </c>
      <c r="AL240">
        <v>239.55348021044526</v>
      </c>
      <c r="AM240">
        <v>241.4480929302093</v>
      </c>
      <c r="AN240">
        <v>243.26393392866927</v>
      </c>
      <c r="AO240">
        <v>245.16812555057206</v>
      </c>
      <c r="AP240">
        <v>247.15599016269391</v>
      </c>
      <c r="AQ240">
        <v>249.29541592682375</v>
      </c>
      <c r="AR240">
        <v>251.49048863131171</v>
      </c>
      <c r="AS240">
        <v>253.68684701354294</v>
      </c>
      <c r="AT240">
        <v>255.80274025209127</v>
      </c>
      <c r="AU240">
        <v>257.76811926856459</v>
      </c>
      <c r="AV240">
        <v>259.57135077074997</v>
      </c>
      <c r="AW240">
        <v>261.20277207689639</v>
      </c>
      <c r="AX240">
        <v>262.70346764241907</v>
      </c>
      <c r="AY240">
        <v>264.11131454208032</v>
      </c>
      <c r="BA240" s="1">
        <v>-1</v>
      </c>
      <c r="BB240" t="str">
        <f t="shared" si="3"/>
        <v>Rs - Centro Ocidental RS</v>
      </c>
      <c r="BC240" s="3" t="s">
        <v>144</v>
      </c>
      <c r="BD240" s="3" t="s">
        <v>144</v>
      </c>
      <c r="BE240" s="3" t="s">
        <v>144</v>
      </c>
      <c r="BF240" s="3" t="s">
        <v>144</v>
      </c>
      <c r="BG240" s="3" t="s">
        <v>144</v>
      </c>
      <c r="BH240" s="3" t="s">
        <v>144</v>
      </c>
      <c r="BI240" s="3" t="s">
        <v>144</v>
      </c>
      <c r="BJ240" s="3" t="s">
        <v>144</v>
      </c>
      <c r="BK240" s="3" t="s">
        <v>144</v>
      </c>
      <c r="BL240" s="3" t="s">
        <v>144</v>
      </c>
      <c r="BM240" s="3" t="s">
        <v>144</v>
      </c>
      <c r="BN240" s="3" t="s">
        <v>144</v>
      </c>
      <c r="BO240" s="3" t="s">
        <v>144</v>
      </c>
      <c r="BP240" s="3" t="s">
        <v>144</v>
      </c>
      <c r="BQ240" s="3" t="s">
        <v>144</v>
      </c>
      <c r="BR240" s="3" t="s">
        <v>144</v>
      </c>
      <c r="BS240" s="3" t="s">
        <v>144</v>
      </c>
      <c r="BT240" s="3" t="s">
        <v>144</v>
      </c>
      <c r="BU240" s="3" t="s">
        <v>144</v>
      </c>
      <c r="BV240" s="3" t="s">
        <v>144</v>
      </c>
      <c r="BW240" s="3" t="s">
        <v>144</v>
      </c>
      <c r="BX240" s="3" t="s">
        <v>144</v>
      </c>
      <c r="BY240" s="3" t="s">
        <v>144</v>
      </c>
      <c r="BZ240" s="3" t="s">
        <v>144</v>
      </c>
      <c r="CA240" s="3" t="s">
        <v>144</v>
      </c>
      <c r="CB240" s="3" t="s">
        <v>144</v>
      </c>
      <c r="CC240" s="3" t="s">
        <v>144</v>
      </c>
      <c r="CD240" s="3" t="s">
        <v>144</v>
      </c>
      <c r="CE240" s="3" t="s">
        <v>144</v>
      </c>
      <c r="CF240" s="3" t="s">
        <v>144</v>
      </c>
      <c r="CG240" s="3" t="s">
        <v>144</v>
      </c>
      <c r="CH240" s="3" t="s">
        <v>144</v>
      </c>
      <c r="CI240" s="3" t="s">
        <v>144</v>
      </c>
      <c r="CJ240" s="3" t="s">
        <v>144</v>
      </c>
      <c r="CK240" s="3" t="s">
        <v>144</v>
      </c>
      <c r="CL240" s="3" t="s">
        <v>144</v>
      </c>
      <c r="CM240" s="3" t="s">
        <v>144</v>
      </c>
      <c r="CN240" s="3" t="s">
        <v>144</v>
      </c>
      <c r="CO240" s="3" t="s">
        <v>144</v>
      </c>
      <c r="CP240" s="3" t="s">
        <v>144</v>
      </c>
      <c r="CQ240" s="3" t="s">
        <v>144</v>
      </c>
      <c r="CR240" s="3" t="s">
        <v>144</v>
      </c>
      <c r="CS240" s="3" t="s">
        <v>144</v>
      </c>
      <c r="CT240" s="3" t="s">
        <v>144</v>
      </c>
      <c r="CU240" s="3" t="s">
        <v>144</v>
      </c>
      <c r="CV240" s="3" t="s">
        <v>144</v>
      </c>
      <c r="CW240" s="3" t="s">
        <v>144</v>
      </c>
      <c r="CX240" s="3" t="s">
        <v>144</v>
      </c>
      <c r="CY240" s="3" t="s">
        <v>144</v>
      </c>
    </row>
    <row r="241" spans="1:103" x14ac:dyDescent="0.25">
      <c r="A241" t="s">
        <v>123</v>
      </c>
      <c r="B241" t="s">
        <v>4</v>
      </c>
      <c r="C241">
        <v>937.9135972834481</v>
      </c>
      <c r="D241">
        <v>326.73851894470556</v>
      </c>
      <c r="E241">
        <v>5.0151404229633085</v>
      </c>
      <c r="F241">
        <v>-416.09580591831741</v>
      </c>
      <c r="G241">
        <v>59.394063202559316</v>
      </c>
      <c r="H241">
        <v>495.69991906044299</v>
      </c>
      <c r="I241">
        <v>420.39492512731357</v>
      </c>
      <c r="J241">
        <v>490.10267869649692</v>
      </c>
      <c r="K241">
        <v>418.88028524174371</v>
      </c>
      <c r="L241">
        <v>506.3930748973608</v>
      </c>
      <c r="M241">
        <v>456.38231899702583</v>
      </c>
      <c r="N241">
        <v>352.99029808387729</v>
      </c>
      <c r="O241">
        <v>312.81828397750496</v>
      </c>
      <c r="P241">
        <v>262.95042398488732</v>
      </c>
      <c r="Q241">
        <v>292.77304829233805</v>
      </c>
      <c r="R241">
        <v>304.10196312597697</v>
      </c>
      <c r="S241">
        <v>339.62230914978579</v>
      </c>
      <c r="T241">
        <v>382.63255029994082</v>
      </c>
      <c r="U241">
        <v>412.57472267925436</v>
      </c>
      <c r="V241">
        <v>442.23879138627672</v>
      </c>
      <c r="W241">
        <v>444.23091558222779</v>
      </c>
      <c r="X241">
        <v>440.63374768550966</v>
      </c>
      <c r="Y241">
        <v>426.93415328224756</v>
      </c>
      <c r="Z241">
        <v>411.54331980839777</v>
      </c>
      <c r="AA241">
        <v>401.37677180057932</v>
      </c>
      <c r="AB241">
        <v>394.23656229139084</v>
      </c>
      <c r="AC241">
        <v>396.78933659244103</v>
      </c>
      <c r="AD241">
        <v>403.84797296899109</v>
      </c>
      <c r="AE241">
        <v>415.33455314469722</v>
      </c>
      <c r="AF241">
        <v>427.73374836348614</v>
      </c>
      <c r="AG241">
        <v>438.00825746592074</v>
      </c>
      <c r="AH241">
        <v>445.81150220618184</v>
      </c>
      <c r="AI241">
        <v>449.34361467811669</v>
      </c>
      <c r="AJ241">
        <v>449.96409619922974</v>
      </c>
      <c r="AK241">
        <v>448.23413449598638</v>
      </c>
      <c r="AL241">
        <v>445.70882031131691</v>
      </c>
      <c r="AM241">
        <v>443.85138246114076</v>
      </c>
      <c r="AN241">
        <v>443.29708672370811</v>
      </c>
      <c r="AO241">
        <v>444.69009916041455</v>
      </c>
      <c r="AP241">
        <v>447.63433882551061</v>
      </c>
      <c r="AQ241">
        <v>451.68307519824884</v>
      </c>
      <c r="AR241">
        <v>456.06043904112619</v>
      </c>
      <c r="AS241">
        <v>460.03100481959569</v>
      </c>
      <c r="AT241">
        <v>463.17121749745178</v>
      </c>
      <c r="AU241">
        <v>465.22656817208048</v>
      </c>
      <c r="AV241">
        <v>466.34504823259647</v>
      </c>
      <c r="AW241">
        <v>466.80241271094917</v>
      </c>
      <c r="AX241">
        <v>466.99609489433072</v>
      </c>
      <c r="AY241">
        <v>467.29762376525656</v>
      </c>
      <c r="BA241" s="1">
        <v>1</v>
      </c>
      <c r="BB241" t="str">
        <f t="shared" si="3"/>
        <v>Rs - Centro Oriental RS</v>
      </c>
      <c r="BC241" s="3">
        <v>389.1842135369377</v>
      </c>
      <c r="BD241" s="3">
        <v>-149.88128529722275</v>
      </c>
      <c r="BE241" s="3">
        <v>-549.68991280085856</v>
      </c>
      <c r="BF241" s="3">
        <v>-705.22638850944111</v>
      </c>
      <c r="BG241" s="3">
        <v>-301.2404984428332</v>
      </c>
      <c r="BH241" s="3">
        <v>69.469833408395459</v>
      </c>
      <c r="BI241" s="3">
        <v>65.114071974685316</v>
      </c>
      <c r="BJ241" s="3">
        <v>117.55489082476447</v>
      </c>
      <c r="BK241" s="3">
        <v>81.734315301580011</v>
      </c>
      <c r="BL241" s="3">
        <v>103.12340329105001</v>
      </c>
      <c r="BM241" s="3">
        <v>42.787040810372162</v>
      </c>
      <c r="BN241" s="3">
        <v>-58.672093404902853</v>
      </c>
      <c r="BO241" s="3">
        <v>-107.8913213430219</v>
      </c>
      <c r="BP241" s="3">
        <v>-146.52556858300397</v>
      </c>
      <c r="BQ241" s="3">
        <v>-127.0275637266372</v>
      </c>
      <c r="BR241" s="3">
        <v>-104.38517097267425</v>
      </c>
      <c r="BS241" s="3">
        <v>-65.02624164906922</v>
      </c>
      <c r="BT241" s="3">
        <v>-18.960069582103586</v>
      </c>
      <c r="BU241" s="3">
        <v>13.956767548184359</v>
      </c>
      <c r="BV241" s="3">
        <v>38.819248738545809</v>
      </c>
      <c r="BW241" s="3">
        <v>39.900832485606827</v>
      </c>
      <c r="BX241" s="3">
        <v>30.640262766043293</v>
      </c>
      <c r="BY241" s="3">
        <v>13.117322530677143</v>
      </c>
      <c r="BZ241" s="3">
        <v>-5.6504014271087613</v>
      </c>
      <c r="CA241" s="3">
        <v>-18.448732386029064</v>
      </c>
      <c r="CB241" s="3">
        <v>-25.400660736897009</v>
      </c>
      <c r="CC241" s="3">
        <v>-22.759910778380174</v>
      </c>
      <c r="CD241" s="3">
        <v>-14.266600088637631</v>
      </c>
      <c r="CE241" s="3">
        <v>-1.9007386721056037</v>
      </c>
      <c r="CF241" s="3">
        <v>10.950066946710194</v>
      </c>
      <c r="CG241" s="3">
        <v>21.158179895882085</v>
      </c>
      <c r="CH241" s="3">
        <v>27.935549251547684</v>
      </c>
      <c r="CI241" s="3">
        <v>30.242610724415329</v>
      </c>
      <c r="CJ241" s="3">
        <v>29.245840916814529</v>
      </c>
      <c r="CK241" s="3">
        <v>26.076802306676655</v>
      </c>
      <c r="CL241" s="3">
        <v>22.363209930178868</v>
      </c>
      <c r="CM241" s="3">
        <v>19.63297701747598</v>
      </c>
      <c r="CN241" s="3">
        <v>18.624996046681076</v>
      </c>
      <c r="CO241" s="3">
        <v>19.777116701093064</v>
      </c>
      <c r="CP241" s="3">
        <v>22.678683183325461</v>
      </c>
      <c r="CQ241" s="3">
        <v>26.681659158322873</v>
      </c>
      <c r="CR241" s="3">
        <v>30.926598380650603</v>
      </c>
      <c r="CS241" s="3">
        <v>34.620269175490307</v>
      </c>
      <c r="CT241" s="3">
        <v>37.303344195621492</v>
      </c>
      <c r="CU241" s="3">
        <v>38.786329741423799</v>
      </c>
      <c r="CV241" s="3">
        <v>39.258142542698522</v>
      </c>
      <c r="CW241" s="3">
        <v>39.083893863596529</v>
      </c>
      <c r="CX241" s="3">
        <v>38.71669196651618</v>
      </c>
      <c r="CY241" s="3">
        <v>38.561639035732412</v>
      </c>
    </row>
    <row r="242" spans="1:103" x14ac:dyDescent="0.25">
      <c r="A242" t="s">
        <v>123</v>
      </c>
      <c r="B242" t="s">
        <v>5</v>
      </c>
      <c r="C242">
        <v>548.72938374651039</v>
      </c>
      <c r="D242">
        <v>476.61980424192831</v>
      </c>
      <c r="E242">
        <v>554.70505322382189</v>
      </c>
      <c r="F242">
        <v>289.1305825911237</v>
      </c>
      <c r="G242">
        <v>360.63456164539252</v>
      </c>
      <c r="H242">
        <v>426.23008565204753</v>
      </c>
      <c r="I242">
        <v>355.28085315262825</v>
      </c>
      <c r="J242">
        <v>372.54778787173245</v>
      </c>
      <c r="K242">
        <v>337.1459699401637</v>
      </c>
      <c r="L242">
        <v>403.26967160631079</v>
      </c>
      <c r="M242">
        <v>413.59527818665367</v>
      </c>
      <c r="N242">
        <v>411.66239148878014</v>
      </c>
      <c r="O242">
        <v>420.70960532052686</v>
      </c>
      <c r="P242">
        <v>409.4759925678913</v>
      </c>
      <c r="Q242">
        <v>419.80061201897524</v>
      </c>
      <c r="R242">
        <v>408.48713409865121</v>
      </c>
      <c r="S242">
        <v>404.64855079885501</v>
      </c>
      <c r="T242">
        <v>401.5926198820444</v>
      </c>
      <c r="U242">
        <v>398.61795513107</v>
      </c>
      <c r="V242">
        <v>403.41954264773091</v>
      </c>
      <c r="W242">
        <v>404.33008309662097</v>
      </c>
      <c r="X242">
        <v>409.99348491946637</v>
      </c>
      <c r="Y242">
        <v>413.81683075157042</v>
      </c>
      <c r="Z242">
        <v>417.19372123550653</v>
      </c>
      <c r="AA242">
        <v>419.82550418660838</v>
      </c>
      <c r="AB242">
        <v>419.63722302828785</v>
      </c>
      <c r="AC242">
        <v>419.54924737082121</v>
      </c>
      <c r="AD242">
        <v>418.11457305762872</v>
      </c>
      <c r="AE242">
        <v>417.23529181680283</v>
      </c>
      <c r="AF242">
        <v>416.78368141677595</v>
      </c>
      <c r="AG242">
        <v>416.85007757003865</v>
      </c>
      <c r="AH242">
        <v>417.87595295463416</v>
      </c>
      <c r="AI242">
        <v>419.10100395370137</v>
      </c>
      <c r="AJ242">
        <v>420.71825528241521</v>
      </c>
      <c r="AK242">
        <v>422.15733218930973</v>
      </c>
      <c r="AL242">
        <v>423.34561038113804</v>
      </c>
      <c r="AM242">
        <v>424.21840544366478</v>
      </c>
      <c r="AN242">
        <v>424.67209067702703</v>
      </c>
      <c r="AO242">
        <v>424.91298245932148</v>
      </c>
      <c r="AP242">
        <v>424.95565564218515</v>
      </c>
      <c r="AQ242">
        <v>425.00141603992597</v>
      </c>
      <c r="AR242">
        <v>425.13384066047558</v>
      </c>
      <c r="AS242">
        <v>425.41073564410539</v>
      </c>
      <c r="AT242">
        <v>425.86787330183029</v>
      </c>
      <c r="AU242">
        <v>426.44023843065668</v>
      </c>
      <c r="AV242">
        <v>427.08690568989795</v>
      </c>
      <c r="AW242">
        <v>427.71851884735264</v>
      </c>
      <c r="AX242">
        <v>428.27940292781454</v>
      </c>
      <c r="AY242">
        <v>428.73598472952415</v>
      </c>
      <c r="BA242" s="1">
        <v>-1</v>
      </c>
      <c r="BB242" t="str">
        <f t="shared" si="3"/>
        <v>Rs - Centro Oriental RS</v>
      </c>
      <c r="BC242" s="3" t="s">
        <v>144</v>
      </c>
      <c r="BD242" s="3" t="s">
        <v>144</v>
      </c>
      <c r="BE242" s="3" t="s">
        <v>144</v>
      </c>
      <c r="BF242" s="3" t="s">
        <v>144</v>
      </c>
      <c r="BG242" s="3" t="s">
        <v>144</v>
      </c>
      <c r="BH242" s="3" t="s">
        <v>144</v>
      </c>
      <c r="BI242" s="3" t="s">
        <v>144</v>
      </c>
      <c r="BJ242" s="3" t="s">
        <v>144</v>
      </c>
      <c r="BK242" s="3" t="s">
        <v>144</v>
      </c>
      <c r="BL242" s="3" t="s">
        <v>144</v>
      </c>
      <c r="BM242" s="3" t="s">
        <v>144</v>
      </c>
      <c r="BN242" s="3" t="s">
        <v>144</v>
      </c>
      <c r="BO242" s="3" t="s">
        <v>144</v>
      </c>
      <c r="BP242" s="3" t="s">
        <v>144</v>
      </c>
      <c r="BQ242" s="3" t="s">
        <v>144</v>
      </c>
      <c r="BR242" s="3" t="s">
        <v>144</v>
      </c>
      <c r="BS242" s="3" t="s">
        <v>144</v>
      </c>
      <c r="BT242" s="3" t="s">
        <v>144</v>
      </c>
      <c r="BU242" s="3" t="s">
        <v>144</v>
      </c>
      <c r="BV242" s="3" t="s">
        <v>144</v>
      </c>
      <c r="BW242" s="3" t="s">
        <v>144</v>
      </c>
      <c r="BX242" s="3" t="s">
        <v>144</v>
      </c>
      <c r="BY242" s="3" t="s">
        <v>144</v>
      </c>
      <c r="BZ242" s="3" t="s">
        <v>144</v>
      </c>
      <c r="CA242" s="3" t="s">
        <v>144</v>
      </c>
      <c r="CB242" s="3" t="s">
        <v>144</v>
      </c>
      <c r="CC242" s="3" t="s">
        <v>144</v>
      </c>
      <c r="CD242" s="3" t="s">
        <v>144</v>
      </c>
      <c r="CE242" s="3" t="s">
        <v>144</v>
      </c>
      <c r="CF242" s="3" t="s">
        <v>144</v>
      </c>
      <c r="CG242" s="3" t="s">
        <v>144</v>
      </c>
      <c r="CH242" s="3" t="s">
        <v>144</v>
      </c>
      <c r="CI242" s="3" t="s">
        <v>144</v>
      </c>
      <c r="CJ242" s="3" t="s">
        <v>144</v>
      </c>
      <c r="CK242" s="3" t="s">
        <v>144</v>
      </c>
      <c r="CL242" s="3" t="s">
        <v>144</v>
      </c>
      <c r="CM242" s="3" t="s">
        <v>144</v>
      </c>
      <c r="CN242" s="3" t="s">
        <v>144</v>
      </c>
      <c r="CO242" s="3" t="s">
        <v>144</v>
      </c>
      <c r="CP242" s="3" t="s">
        <v>144</v>
      </c>
      <c r="CQ242" s="3" t="s">
        <v>144</v>
      </c>
      <c r="CR242" s="3" t="s">
        <v>144</v>
      </c>
      <c r="CS242" s="3" t="s">
        <v>144</v>
      </c>
      <c r="CT242" s="3" t="s">
        <v>144</v>
      </c>
      <c r="CU242" s="3" t="s">
        <v>144</v>
      </c>
      <c r="CV242" s="3" t="s">
        <v>144</v>
      </c>
      <c r="CW242" s="3" t="s">
        <v>144</v>
      </c>
      <c r="CX242" s="3" t="s">
        <v>144</v>
      </c>
      <c r="CY242" s="3" t="s">
        <v>144</v>
      </c>
    </row>
    <row r="243" spans="1:103" x14ac:dyDescent="0.25">
      <c r="A243" t="s">
        <v>124</v>
      </c>
      <c r="B243" t="s">
        <v>4</v>
      </c>
      <c r="C243">
        <v>3895.3899325669072</v>
      </c>
      <c r="D243">
        <v>2739.8023965039538</v>
      </c>
      <c r="E243">
        <v>3390.9477252385232</v>
      </c>
      <c r="F243">
        <v>2813.4818898847589</v>
      </c>
      <c r="G243">
        <v>3024.1996696207725</v>
      </c>
      <c r="H243">
        <v>4358.9212072449691</v>
      </c>
      <c r="I243">
        <v>4045.0602367208453</v>
      </c>
      <c r="J243">
        <v>4693.0400770143906</v>
      </c>
      <c r="K243">
        <v>4500.8142262818101</v>
      </c>
      <c r="L243">
        <v>4644.1834622286515</v>
      </c>
      <c r="M243">
        <v>4645.9191933081438</v>
      </c>
      <c r="N243">
        <v>4306.5212441150625</v>
      </c>
      <c r="O243">
        <v>4258.6594856129586</v>
      </c>
      <c r="P243">
        <v>4007.2387769517272</v>
      </c>
      <c r="Q243">
        <v>4033.2608481951552</v>
      </c>
      <c r="R243">
        <v>4054.5903067987997</v>
      </c>
      <c r="S243">
        <v>4134.1428401082085</v>
      </c>
      <c r="T243">
        <v>4296.1611869220405</v>
      </c>
      <c r="U243">
        <v>4385.2287115442432</v>
      </c>
      <c r="V243">
        <v>4502.9146745344933</v>
      </c>
      <c r="W243">
        <v>4529.9320259254291</v>
      </c>
      <c r="X243">
        <v>4530.8330107877391</v>
      </c>
      <c r="Y243">
        <v>4502.3176328630225</v>
      </c>
      <c r="Z243">
        <v>4450.3982853574871</v>
      </c>
      <c r="AA243">
        <v>4418.8635572456196</v>
      </c>
      <c r="AB243">
        <v>4388.5554692016904</v>
      </c>
      <c r="AC243">
        <v>4388.2758146887218</v>
      </c>
      <c r="AD243">
        <v>4403.2814275151732</v>
      </c>
      <c r="AE243">
        <v>4432.1595039962385</v>
      </c>
      <c r="AF243">
        <v>4470.1711015374867</v>
      </c>
      <c r="AG243">
        <v>4503.3557551226586</v>
      </c>
      <c r="AH243">
        <v>4532.7421308713192</v>
      </c>
      <c r="AI243">
        <v>4549.6281851650483</v>
      </c>
      <c r="AJ243">
        <v>4556.7124281873948</v>
      </c>
      <c r="AK243">
        <v>4555.2526615840852</v>
      </c>
      <c r="AL243">
        <v>4548.4001493413889</v>
      </c>
      <c r="AM243">
        <v>4541.9371832538591</v>
      </c>
      <c r="AN243">
        <v>4537.8912824685794</v>
      </c>
      <c r="AO243">
        <v>4539.584739638889</v>
      </c>
      <c r="AP243">
        <v>4546.6165308840173</v>
      </c>
      <c r="AQ243">
        <v>4557.9377109996403</v>
      </c>
      <c r="AR243">
        <v>4571.5312646279563</v>
      </c>
      <c r="AS243">
        <v>4584.7004506708199</v>
      </c>
      <c r="AT243">
        <v>4595.9268568717725</v>
      </c>
      <c r="AU243">
        <v>4603.92528856022</v>
      </c>
      <c r="AV243">
        <v>4608.7994715212953</v>
      </c>
      <c r="AW243">
        <v>4611.2128149759374</v>
      </c>
      <c r="AX243">
        <v>4612.2529962230956</v>
      </c>
      <c r="AY243">
        <v>4613.172771644442</v>
      </c>
      <c r="BA243" s="1">
        <v>1</v>
      </c>
      <c r="BB243" t="str">
        <f t="shared" si="3"/>
        <v>Rs - Metropol Porto Alegre</v>
      </c>
      <c r="BC243" s="3">
        <v>2380.0325301821917</v>
      </c>
      <c r="BD243" s="3">
        <v>1156.530306921507</v>
      </c>
      <c r="BE243" s="3">
        <v>840.32062531295196</v>
      </c>
      <c r="BF243" s="3">
        <v>1614.3702695036675</v>
      </c>
      <c r="BG243" s="3">
        <v>760.67094843321865</v>
      </c>
      <c r="BH243" s="3">
        <v>1716.8007209424627</v>
      </c>
      <c r="BI243" s="3">
        <v>1147.340555132796</v>
      </c>
      <c r="BJ243" s="3">
        <v>1366.0239637950117</v>
      </c>
      <c r="BK243" s="3">
        <v>1361.9817746543117</v>
      </c>
      <c r="BL243" s="3">
        <v>1139.2631450812787</v>
      </c>
      <c r="BM243" s="3">
        <v>1258.2038245883527</v>
      </c>
      <c r="BN243" s="3">
        <v>927.95182215568229</v>
      </c>
      <c r="BO243" s="3">
        <v>941.19741780656113</v>
      </c>
      <c r="BP243" s="3">
        <v>793.15588765403118</v>
      </c>
      <c r="BQ243" s="3">
        <v>727.1264129293113</v>
      </c>
      <c r="BR243" s="3">
        <v>730.281681299703</v>
      </c>
      <c r="BS243" s="3">
        <v>658.87561229840821</v>
      </c>
      <c r="BT243" s="3">
        <v>693.14614260188955</v>
      </c>
      <c r="BU243" s="3">
        <v>650.25694344328394</v>
      </c>
      <c r="BV243" s="3">
        <v>639.67700241653984</v>
      </c>
      <c r="BW243" s="3">
        <v>605.03141306320549</v>
      </c>
      <c r="BX243" s="3">
        <v>549.80593987817338</v>
      </c>
      <c r="BY243" s="3">
        <v>509.96305340601612</v>
      </c>
      <c r="BZ243" s="3">
        <v>446.88416732184305</v>
      </c>
      <c r="CA243" s="3">
        <v>403.9723344852714</v>
      </c>
      <c r="CB243" s="3">
        <v>357.39936652910865</v>
      </c>
      <c r="CC243" s="3">
        <v>320.55386606836646</v>
      </c>
      <c r="CD243" s="3">
        <v>292.99997416744645</v>
      </c>
      <c r="CE243" s="3">
        <v>265.77901316136013</v>
      </c>
      <c r="CF243" s="3">
        <v>246.54716458082567</v>
      </c>
      <c r="CG243" s="3">
        <v>224.07334639514283</v>
      </c>
      <c r="CH243" s="3">
        <v>202.61553797140914</v>
      </c>
      <c r="CI243" s="3">
        <v>178.4633216255379</v>
      </c>
      <c r="CJ243" s="3">
        <v>151.52328359858166</v>
      </c>
      <c r="CK243" s="3">
        <v>124.22889533090165</v>
      </c>
      <c r="CL243" s="3">
        <v>95.526896395997028</v>
      </c>
      <c r="CM243" s="3">
        <v>68.750175513539034</v>
      </c>
      <c r="CN243" s="3">
        <v>43.523813117629288</v>
      </c>
      <c r="CO243" s="3">
        <v>20.944822096628741</v>
      </c>
      <c r="CP243" s="3">
        <v>0.96989556880726013</v>
      </c>
      <c r="CQ243" s="3">
        <v>-17.282417291369711</v>
      </c>
      <c r="CR243" s="3">
        <v>-34.002766010758023</v>
      </c>
      <c r="CS243" s="3">
        <v>-50.365990225371206</v>
      </c>
      <c r="CT243" s="3">
        <v>-66.592047127855949</v>
      </c>
      <c r="CU243" s="3">
        <v>-83.079904842829819</v>
      </c>
      <c r="CV243" s="3">
        <v>-99.828492141478819</v>
      </c>
      <c r="CW243" s="3">
        <v>-116.53778784769293</v>
      </c>
      <c r="CX243" s="3">
        <v>-133.01583033255702</v>
      </c>
      <c r="CY243" s="3">
        <v>-148.84502414039162</v>
      </c>
    </row>
    <row r="244" spans="1:103" x14ac:dyDescent="0.25">
      <c r="A244" t="s">
        <v>124</v>
      </c>
      <c r="B244" t="s">
        <v>5</v>
      </c>
      <c r="C244">
        <v>1515.3574023847154</v>
      </c>
      <c r="D244">
        <v>1583.2720895824468</v>
      </c>
      <c r="E244">
        <v>2550.6270999255712</v>
      </c>
      <c r="F244">
        <v>1199.1116203810914</v>
      </c>
      <c r="G244">
        <v>2263.5287211875539</v>
      </c>
      <c r="H244">
        <v>2642.1204863025064</v>
      </c>
      <c r="I244">
        <v>2897.7196815880493</v>
      </c>
      <c r="J244">
        <v>3327.0161132193789</v>
      </c>
      <c r="K244">
        <v>3138.8324516274984</v>
      </c>
      <c r="L244">
        <v>3504.9203171473728</v>
      </c>
      <c r="M244">
        <v>3387.7153687197911</v>
      </c>
      <c r="N244">
        <v>3378.5694219593802</v>
      </c>
      <c r="O244">
        <v>3317.4620678063975</v>
      </c>
      <c r="P244">
        <v>3214.0828892976961</v>
      </c>
      <c r="Q244">
        <v>3306.1344352658439</v>
      </c>
      <c r="R244">
        <v>3324.3086254990967</v>
      </c>
      <c r="S244">
        <v>3475.2672278098003</v>
      </c>
      <c r="T244">
        <v>3603.015044320151</v>
      </c>
      <c r="U244">
        <v>3734.9717681009593</v>
      </c>
      <c r="V244">
        <v>3863.2376721179535</v>
      </c>
      <c r="W244">
        <v>3924.9006128622236</v>
      </c>
      <c r="X244">
        <v>3981.0270709095657</v>
      </c>
      <c r="Y244">
        <v>3992.3545794570064</v>
      </c>
      <c r="Z244">
        <v>4003.5141180356441</v>
      </c>
      <c r="AA244">
        <v>4014.8912227603482</v>
      </c>
      <c r="AB244">
        <v>4031.1561026725817</v>
      </c>
      <c r="AC244">
        <v>4067.7219486203553</v>
      </c>
      <c r="AD244">
        <v>4110.2814533477267</v>
      </c>
      <c r="AE244">
        <v>4166.3804908348784</v>
      </c>
      <c r="AF244">
        <v>4223.6239369566611</v>
      </c>
      <c r="AG244">
        <v>4279.2824087275158</v>
      </c>
      <c r="AH244">
        <v>4330.1265928999101</v>
      </c>
      <c r="AI244">
        <v>4371.1648635395104</v>
      </c>
      <c r="AJ244">
        <v>4405.1891445888132</v>
      </c>
      <c r="AK244">
        <v>4431.0237662531836</v>
      </c>
      <c r="AL244">
        <v>4452.8732529453919</v>
      </c>
      <c r="AM244">
        <v>4473.18700774032</v>
      </c>
      <c r="AN244">
        <v>4494.3674693509502</v>
      </c>
      <c r="AO244">
        <v>4518.6399175422603</v>
      </c>
      <c r="AP244">
        <v>4545.64663531521</v>
      </c>
      <c r="AQ244">
        <v>4575.22012829101</v>
      </c>
      <c r="AR244">
        <v>4605.5340306387143</v>
      </c>
      <c r="AS244">
        <v>4635.0664408961911</v>
      </c>
      <c r="AT244">
        <v>4662.5189039996285</v>
      </c>
      <c r="AU244">
        <v>4687.0051934030498</v>
      </c>
      <c r="AV244">
        <v>4708.6279636627742</v>
      </c>
      <c r="AW244">
        <v>4727.7506028236303</v>
      </c>
      <c r="AX244">
        <v>4745.2688265556526</v>
      </c>
      <c r="AY244">
        <v>4762.0177957848337</v>
      </c>
      <c r="BA244" s="1">
        <v>-1</v>
      </c>
      <c r="BB244" t="str">
        <f t="shared" si="3"/>
        <v>Rs - Metropol Porto Alegre</v>
      </c>
      <c r="BC244" s="3" t="s">
        <v>144</v>
      </c>
      <c r="BD244" s="3" t="s">
        <v>144</v>
      </c>
      <c r="BE244" s="3" t="s">
        <v>144</v>
      </c>
      <c r="BF244" s="3" t="s">
        <v>144</v>
      </c>
      <c r="BG244" s="3" t="s">
        <v>144</v>
      </c>
      <c r="BH244" s="3" t="s">
        <v>144</v>
      </c>
      <c r="BI244" s="3" t="s">
        <v>144</v>
      </c>
      <c r="BJ244" s="3" t="s">
        <v>144</v>
      </c>
      <c r="BK244" s="3" t="s">
        <v>144</v>
      </c>
      <c r="BL244" s="3" t="s">
        <v>144</v>
      </c>
      <c r="BM244" s="3" t="s">
        <v>144</v>
      </c>
      <c r="BN244" s="3" t="s">
        <v>144</v>
      </c>
      <c r="BO244" s="3" t="s">
        <v>144</v>
      </c>
      <c r="BP244" s="3" t="s">
        <v>144</v>
      </c>
      <c r="BQ244" s="3" t="s">
        <v>144</v>
      </c>
      <c r="BR244" s="3" t="s">
        <v>144</v>
      </c>
      <c r="BS244" s="3" t="s">
        <v>144</v>
      </c>
      <c r="BT244" s="3" t="s">
        <v>144</v>
      </c>
      <c r="BU244" s="3" t="s">
        <v>144</v>
      </c>
      <c r="BV244" s="3" t="s">
        <v>144</v>
      </c>
      <c r="BW244" s="3" t="s">
        <v>144</v>
      </c>
      <c r="BX244" s="3" t="s">
        <v>144</v>
      </c>
      <c r="BY244" s="3" t="s">
        <v>144</v>
      </c>
      <c r="BZ244" s="3" t="s">
        <v>144</v>
      </c>
      <c r="CA244" s="3" t="s">
        <v>144</v>
      </c>
      <c r="CB244" s="3" t="s">
        <v>144</v>
      </c>
      <c r="CC244" s="3" t="s">
        <v>144</v>
      </c>
      <c r="CD244" s="3" t="s">
        <v>144</v>
      </c>
      <c r="CE244" s="3" t="s">
        <v>144</v>
      </c>
      <c r="CF244" s="3" t="s">
        <v>144</v>
      </c>
      <c r="CG244" s="3" t="s">
        <v>144</v>
      </c>
      <c r="CH244" s="3" t="s">
        <v>144</v>
      </c>
      <c r="CI244" s="3" t="s">
        <v>144</v>
      </c>
      <c r="CJ244" s="3" t="s">
        <v>144</v>
      </c>
      <c r="CK244" s="3" t="s">
        <v>144</v>
      </c>
      <c r="CL244" s="3" t="s">
        <v>144</v>
      </c>
      <c r="CM244" s="3" t="s">
        <v>144</v>
      </c>
      <c r="CN244" s="3" t="s">
        <v>144</v>
      </c>
      <c r="CO244" s="3" t="s">
        <v>144</v>
      </c>
      <c r="CP244" s="3" t="s">
        <v>144</v>
      </c>
      <c r="CQ244" s="3" t="s">
        <v>144</v>
      </c>
      <c r="CR244" s="3" t="s">
        <v>144</v>
      </c>
      <c r="CS244" s="3" t="s">
        <v>144</v>
      </c>
      <c r="CT244" s="3" t="s">
        <v>144</v>
      </c>
      <c r="CU244" s="3" t="s">
        <v>144</v>
      </c>
      <c r="CV244" s="3" t="s">
        <v>144</v>
      </c>
      <c r="CW244" s="3" t="s">
        <v>144</v>
      </c>
      <c r="CX244" s="3" t="s">
        <v>144</v>
      </c>
      <c r="CY244" s="3" t="s">
        <v>144</v>
      </c>
    </row>
    <row r="245" spans="1:103" x14ac:dyDescent="0.25">
      <c r="A245" t="s">
        <v>125</v>
      </c>
      <c r="B245" t="s">
        <v>4</v>
      </c>
      <c r="C245">
        <v>178.52400211110412</v>
      </c>
      <c r="D245">
        <v>77.559837788005211</v>
      </c>
      <c r="E245">
        <v>82.941390348656924</v>
      </c>
      <c r="F245">
        <v>0.82145824748502283</v>
      </c>
      <c r="G245">
        <v>127.87266985563892</v>
      </c>
      <c r="H245">
        <v>214.89837735654081</v>
      </c>
      <c r="I245">
        <v>183.9684629814108</v>
      </c>
      <c r="J245">
        <v>191.53140323525716</v>
      </c>
      <c r="K245">
        <v>164.77032343860159</v>
      </c>
      <c r="L245">
        <v>189.23421660122781</v>
      </c>
      <c r="M245">
        <v>179.49115970574326</v>
      </c>
      <c r="N245">
        <v>161.7289366631359</v>
      </c>
      <c r="O245">
        <v>156.41211155942</v>
      </c>
      <c r="P245">
        <v>147.64486467946284</v>
      </c>
      <c r="Q245">
        <v>158.85273934808689</v>
      </c>
      <c r="R245">
        <v>163.03521782516208</v>
      </c>
      <c r="S245">
        <v>172.79051190380017</v>
      </c>
      <c r="T245">
        <v>182.1519807271431</v>
      </c>
      <c r="U245">
        <v>188.09471537415934</v>
      </c>
      <c r="V245">
        <v>194.04615725435036</v>
      </c>
      <c r="W245">
        <v>193.49514564918695</v>
      </c>
      <c r="X245">
        <v>192.67326668334385</v>
      </c>
      <c r="Y245">
        <v>189.95972314049791</v>
      </c>
      <c r="Z245">
        <v>187.76907791406398</v>
      </c>
      <c r="AA245">
        <v>187.15422104703245</v>
      </c>
      <c r="AB245">
        <v>187.22288409850387</v>
      </c>
      <c r="AC245">
        <v>189.31755108036529</v>
      </c>
      <c r="AD245">
        <v>191.88094430324722</v>
      </c>
      <c r="AE245">
        <v>195.0660330209482</v>
      </c>
      <c r="AF245">
        <v>198.06275353334581</v>
      </c>
      <c r="AG245">
        <v>200.40628680843983</v>
      </c>
      <c r="AH245">
        <v>202.19190493918768</v>
      </c>
      <c r="AI245">
        <v>203.10032132828832</v>
      </c>
      <c r="AJ245">
        <v>203.5462152056096</v>
      </c>
      <c r="AK245">
        <v>203.6129958152066</v>
      </c>
      <c r="AL245">
        <v>203.63695713826738</v>
      </c>
      <c r="AM245">
        <v>203.87360379463829</v>
      </c>
      <c r="AN245">
        <v>204.39931951345969</v>
      </c>
      <c r="AO245">
        <v>205.31259373776825</v>
      </c>
      <c r="AP245">
        <v>206.47657602836418</v>
      </c>
      <c r="AQ245">
        <v>207.78742675761686</v>
      </c>
      <c r="AR245">
        <v>209.07434842649695</v>
      </c>
      <c r="AS245">
        <v>210.20259540481322</v>
      </c>
      <c r="AT245">
        <v>211.11450009088645</v>
      </c>
      <c r="AU245">
        <v>211.78682781646074</v>
      </c>
      <c r="AV245">
        <v>212.28127658932584</v>
      </c>
      <c r="AW245">
        <v>212.66799659318389</v>
      </c>
      <c r="AX245">
        <v>213.03242686244505</v>
      </c>
      <c r="AY245">
        <v>213.44068319989131</v>
      </c>
      <c r="BA245" s="1">
        <v>1</v>
      </c>
      <c r="BB245" t="str">
        <f t="shared" si="3"/>
        <v>Rs - Sudoeste RS</v>
      </c>
      <c r="BC245" s="3">
        <v>142.55101099288689</v>
      </c>
      <c r="BD245" s="3">
        <v>85.850797352391012</v>
      </c>
      <c r="BE245" s="3">
        <v>-22.633335239801156</v>
      </c>
      <c r="BF245" s="3">
        <v>39.514625030052009</v>
      </c>
      <c r="BG245" s="3">
        <v>119.65016432269601</v>
      </c>
      <c r="BH245" s="3">
        <v>207.60954638540497</v>
      </c>
      <c r="BI245" s="3">
        <v>129.82705421399322</v>
      </c>
      <c r="BJ245" s="3">
        <v>66.763268195828971</v>
      </c>
      <c r="BK245" s="3">
        <v>57.432768886623691</v>
      </c>
      <c r="BL245" s="3">
        <v>55.502172798034593</v>
      </c>
      <c r="BM245" s="3">
        <v>61.039448478397077</v>
      </c>
      <c r="BN245" s="3">
        <v>37.838616520894817</v>
      </c>
      <c r="BO245" s="3">
        <v>35.174512685821298</v>
      </c>
      <c r="BP245" s="3">
        <v>39.781190810137758</v>
      </c>
      <c r="BQ245" s="3">
        <v>47.580107154981846</v>
      </c>
      <c r="BR245" s="3">
        <v>55.45429504570852</v>
      </c>
      <c r="BS245" s="3">
        <v>54.35823690790771</v>
      </c>
      <c r="BT245" s="3">
        <v>54.97513742863255</v>
      </c>
      <c r="BU245" s="3">
        <v>50.646643484398794</v>
      </c>
      <c r="BV245" s="3">
        <v>45.048493914945311</v>
      </c>
      <c r="BW245" s="3">
        <v>38.099015517161376</v>
      </c>
      <c r="BX245" s="3">
        <v>30.764772080158764</v>
      </c>
      <c r="BY245" s="3">
        <v>26.473552748032603</v>
      </c>
      <c r="BZ245" s="3">
        <v>23.481074696364232</v>
      </c>
      <c r="CA245" s="3">
        <v>22.871552227892721</v>
      </c>
      <c r="CB245" s="3">
        <v>23.032092167983336</v>
      </c>
      <c r="CC245" s="3">
        <v>23.492720404400899</v>
      </c>
      <c r="CD245" s="3">
        <v>23.86875471930648</v>
      </c>
      <c r="CE245" s="3">
        <v>23.28329949517817</v>
      </c>
      <c r="CF245" s="3">
        <v>22.065396334393796</v>
      </c>
      <c r="CG245" s="3">
        <v>19.988677319604392</v>
      </c>
      <c r="CH245" s="3">
        <v>17.539853713860737</v>
      </c>
      <c r="CI245" s="3">
        <v>14.985757926734749</v>
      </c>
      <c r="CJ245" s="3">
        <v>12.549679976755584</v>
      </c>
      <c r="CK245" s="3">
        <v>10.536497748488955</v>
      </c>
      <c r="CL245" s="3">
        <v>8.9407694636690564</v>
      </c>
      <c r="CM245" s="3">
        <v>7.8344020188280012</v>
      </c>
      <c r="CN245" s="3">
        <v>7.0651403457124786</v>
      </c>
      <c r="CO245" s="3">
        <v>6.4788680038222708</v>
      </c>
      <c r="CP245" s="3">
        <v>5.9149177177158094</v>
      </c>
      <c r="CQ245" s="3">
        <v>5.2125576083536771</v>
      </c>
      <c r="CR245" s="3">
        <v>4.3242546093780163</v>
      </c>
      <c r="CS245" s="3">
        <v>3.2325840351363979</v>
      </c>
      <c r="CT245" s="3">
        <v>2.0096093166586968</v>
      </c>
      <c r="CU245" s="3">
        <v>0.74811707911868552</v>
      </c>
      <c r="CV245" s="3">
        <v>-0.45869814891588589</v>
      </c>
      <c r="CW245" s="3">
        <v>-1.534804914482919</v>
      </c>
      <c r="CX245" s="3">
        <v>-2.4546745493381081</v>
      </c>
      <c r="CY245" s="3">
        <v>-3.2224349572004769</v>
      </c>
    </row>
    <row r="246" spans="1:103" x14ac:dyDescent="0.25">
      <c r="A246" t="s">
        <v>125</v>
      </c>
      <c r="B246" t="s">
        <v>5</v>
      </c>
      <c r="C246">
        <v>35.972991118217244</v>
      </c>
      <c r="D246">
        <v>-8.2909595643858029</v>
      </c>
      <c r="E246">
        <v>105.57472558845808</v>
      </c>
      <c r="F246">
        <v>-38.693166782566983</v>
      </c>
      <c r="G246">
        <v>8.2225055329429111</v>
      </c>
      <c r="H246">
        <v>7.2888309711358366</v>
      </c>
      <c r="I246">
        <v>54.141408767417587</v>
      </c>
      <c r="J246">
        <v>124.76813503942819</v>
      </c>
      <c r="K246">
        <v>107.3375545519779</v>
      </c>
      <c r="L246">
        <v>133.73204380319322</v>
      </c>
      <c r="M246">
        <v>118.45171122734618</v>
      </c>
      <c r="N246">
        <v>123.89032014224108</v>
      </c>
      <c r="O246">
        <v>121.2375988735987</v>
      </c>
      <c r="P246">
        <v>107.86367386932508</v>
      </c>
      <c r="Q246">
        <v>111.27263219310504</v>
      </c>
      <c r="R246">
        <v>107.58092277945356</v>
      </c>
      <c r="S246">
        <v>118.43227499589246</v>
      </c>
      <c r="T246">
        <v>127.17684329851055</v>
      </c>
      <c r="U246">
        <v>137.44807188976054</v>
      </c>
      <c r="V246">
        <v>148.99766333940505</v>
      </c>
      <c r="W246">
        <v>155.39613013202558</v>
      </c>
      <c r="X246">
        <v>161.90849460318509</v>
      </c>
      <c r="Y246">
        <v>163.48617039246531</v>
      </c>
      <c r="Z246">
        <v>164.28800321769975</v>
      </c>
      <c r="AA246">
        <v>164.28266881913973</v>
      </c>
      <c r="AB246">
        <v>164.19079193052053</v>
      </c>
      <c r="AC246">
        <v>165.82483067596439</v>
      </c>
      <c r="AD246">
        <v>168.01218958394074</v>
      </c>
      <c r="AE246">
        <v>171.78273352577003</v>
      </c>
      <c r="AF246">
        <v>175.99735719895202</v>
      </c>
      <c r="AG246">
        <v>180.41760948883544</v>
      </c>
      <c r="AH246">
        <v>184.65205122532694</v>
      </c>
      <c r="AI246">
        <v>188.11456340155357</v>
      </c>
      <c r="AJ246">
        <v>190.99653522885401</v>
      </c>
      <c r="AK246">
        <v>193.07649806671765</v>
      </c>
      <c r="AL246">
        <v>194.69618767459832</v>
      </c>
      <c r="AM246">
        <v>196.03920177581028</v>
      </c>
      <c r="AN246">
        <v>197.33417916774721</v>
      </c>
      <c r="AO246">
        <v>198.83372573394598</v>
      </c>
      <c r="AP246">
        <v>200.56165831064837</v>
      </c>
      <c r="AQ246">
        <v>202.57486914926318</v>
      </c>
      <c r="AR246">
        <v>204.75009381711894</v>
      </c>
      <c r="AS246">
        <v>206.97001136967683</v>
      </c>
      <c r="AT246">
        <v>209.10489077422775</v>
      </c>
      <c r="AU246">
        <v>211.03871073734206</v>
      </c>
      <c r="AV246">
        <v>212.73997473824173</v>
      </c>
      <c r="AW246">
        <v>214.20280150766681</v>
      </c>
      <c r="AX246">
        <v>215.48710141178316</v>
      </c>
      <c r="AY246">
        <v>216.66311815709179</v>
      </c>
      <c r="BA246" s="1">
        <v>-1</v>
      </c>
      <c r="BB246" t="str">
        <f t="shared" si="3"/>
        <v>Rs - Sudoeste RS</v>
      </c>
      <c r="BC246" s="3" t="s">
        <v>144</v>
      </c>
      <c r="BD246" s="3" t="s">
        <v>144</v>
      </c>
      <c r="BE246" s="3" t="s">
        <v>144</v>
      </c>
      <c r="BF246" s="3" t="s">
        <v>144</v>
      </c>
      <c r="BG246" s="3" t="s">
        <v>144</v>
      </c>
      <c r="BH246" s="3" t="s">
        <v>144</v>
      </c>
      <c r="BI246" s="3" t="s">
        <v>144</v>
      </c>
      <c r="BJ246" s="3" t="s">
        <v>144</v>
      </c>
      <c r="BK246" s="3" t="s">
        <v>144</v>
      </c>
      <c r="BL246" s="3" t="s">
        <v>144</v>
      </c>
      <c r="BM246" s="3" t="s">
        <v>144</v>
      </c>
      <c r="BN246" s="3" t="s">
        <v>144</v>
      </c>
      <c r="BO246" s="3" t="s">
        <v>144</v>
      </c>
      <c r="BP246" s="3" t="s">
        <v>144</v>
      </c>
      <c r="BQ246" s="3" t="s">
        <v>144</v>
      </c>
      <c r="BR246" s="3" t="s">
        <v>144</v>
      </c>
      <c r="BS246" s="3" t="s">
        <v>144</v>
      </c>
      <c r="BT246" s="3" t="s">
        <v>144</v>
      </c>
      <c r="BU246" s="3" t="s">
        <v>144</v>
      </c>
      <c r="BV246" s="3" t="s">
        <v>144</v>
      </c>
      <c r="BW246" s="3" t="s">
        <v>144</v>
      </c>
      <c r="BX246" s="3" t="s">
        <v>144</v>
      </c>
      <c r="BY246" s="3" t="s">
        <v>144</v>
      </c>
      <c r="BZ246" s="3" t="s">
        <v>144</v>
      </c>
      <c r="CA246" s="3" t="s">
        <v>144</v>
      </c>
      <c r="CB246" s="3" t="s">
        <v>144</v>
      </c>
      <c r="CC246" s="3" t="s">
        <v>144</v>
      </c>
      <c r="CD246" s="3" t="s">
        <v>144</v>
      </c>
      <c r="CE246" s="3" t="s">
        <v>144</v>
      </c>
      <c r="CF246" s="3" t="s">
        <v>144</v>
      </c>
      <c r="CG246" s="3" t="s">
        <v>144</v>
      </c>
      <c r="CH246" s="3" t="s">
        <v>144</v>
      </c>
      <c r="CI246" s="3" t="s">
        <v>144</v>
      </c>
      <c r="CJ246" s="3" t="s">
        <v>144</v>
      </c>
      <c r="CK246" s="3" t="s">
        <v>144</v>
      </c>
      <c r="CL246" s="3" t="s">
        <v>144</v>
      </c>
      <c r="CM246" s="3" t="s">
        <v>144</v>
      </c>
      <c r="CN246" s="3" t="s">
        <v>144</v>
      </c>
      <c r="CO246" s="3" t="s">
        <v>144</v>
      </c>
      <c r="CP246" s="3" t="s">
        <v>144</v>
      </c>
      <c r="CQ246" s="3" t="s">
        <v>144</v>
      </c>
      <c r="CR246" s="3" t="s">
        <v>144</v>
      </c>
      <c r="CS246" s="3" t="s">
        <v>144</v>
      </c>
      <c r="CT246" s="3" t="s">
        <v>144</v>
      </c>
      <c r="CU246" s="3" t="s">
        <v>144</v>
      </c>
      <c r="CV246" s="3" t="s">
        <v>144</v>
      </c>
      <c r="CW246" s="3" t="s">
        <v>144</v>
      </c>
      <c r="CX246" s="3" t="s">
        <v>144</v>
      </c>
      <c r="CY246" s="3" t="s">
        <v>144</v>
      </c>
    </row>
    <row r="247" spans="1:103" x14ac:dyDescent="0.25">
      <c r="A247" t="s">
        <v>126</v>
      </c>
      <c r="B247" t="s">
        <v>4</v>
      </c>
      <c r="C247">
        <v>372.74560396110434</v>
      </c>
      <c r="D247">
        <v>526.58964623042164</v>
      </c>
      <c r="E247">
        <v>616.02889146859718</v>
      </c>
      <c r="F247">
        <v>536.37933245705483</v>
      </c>
      <c r="G247">
        <v>572.54504766049638</v>
      </c>
      <c r="H247">
        <v>723.31883954556019</v>
      </c>
      <c r="I247">
        <v>736.45921712595191</v>
      </c>
      <c r="J247">
        <v>767.98010032562286</v>
      </c>
      <c r="K247">
        <v>736.09088718000464</v>
      </c>
      <c r="L247">
        <v>744.43585019636396</v>
      </c>
      <c r="M247">
        <v>741.82117820575365</v>
      </c>
      <c r="N247">
        <v>709.57617077029158</v>
      </c>
      <c r="O247">
        <v>692.49264253880551</v>
      </c>
      <c r="P247">
        <v>667.86253141607131</v>
      </c>
      <c r="Q247">
        <v>668.78349001197307</v>
      </c>
      <c r="R247">
        <v>671.29282385152078</v>
      </c>
      <c r="S247">
        <v>677.99000847876619</v>
      </c>
      <c r="T247">
        <v>688.11850523858243</v>
      </c>
      <c r="U247">
        <v>691.62541620125216</v>
      </c>
      <c r="V247">
        <v>694.54465380049226</v>
      </c>
      <c r="W247">
        <v>689.06255137513415</v>
      </c>
      <c r="X247">
        <v>680.84970515856173</v>
      </c>
      <c r="Y247">
        <v>670.74891379867483</v>
      </c>
      <c r="Z247">
        <v>660.39168233107921</v>
      </c>
      <c r="AA247">
        <v>652.77265621374022</v>
      </c>
      <c r="AB247">
        <v>646.48851928744136</v>
      </c>
      <c r="AC247">
        <v>643.10543571692085</v>
      </c>
      <c r="AD247">
        <v>641.17844923708856</v>
      </c>
      <c r="AE247">
        <v>640.32229591325461</v>
      </c>
      <c r="AF247">
        <v>639.87479345562326</v>
      </c>
      <c r="AG247">
        <v>638.79503015077773</v>
      </c>
      <c r="AH247">
        <v>637.11187933131657</v>
      </c>
      <c r="AI247">
        <v>634.31279408428736</v>
      </c>
      <c r="AJ247">
        <v>630.72701014988854</v>
      </c>
      <c r="AK247">
        <v>626.5927585187892</v>
      </c>
      <c r="AL247">
        <v>622.31048644860095</v>
      </c>
      <c r="AM247">
        <v>618.39236151586522</v>
      </c>
      <c r="AN247">
        <v>615.03772765513656</v>
      </c>
      <c r="AO247">
        <v>612.44284359228163</v>
      </c>
      <c r="AP247">
        <v>610.4818346382109</v>
      </c>
      <c r="AQ247">
        <v>608.95989785424626</v>
      </c>
      <c r="AR247">
        <v>607.61814651850148</v>
      </c>
      <c r="AS247">
        <v>606.19782063877994</v>
      </c>
      <c r="AT247">
        <v>604.57045476359292</v>
      </c>
      <c r="AU247">
        <v>602.67399764873608</v>
      </c>
      <c r="AV247">
        <v>600.57193742949255</v>
      </c>
      <c r="AW247">
        <v>598.37180405433594</v>
      </c>
      <c r="AX247">
        <v>596.19943071672833</v>
      </c>
      <c r="AY247">
        <v>594.16711361621196</v>
      </c>
      <c r="BA247" s="1">
        <v>1</v>
      </c>
      <c r="BB247" t="str">
        <f t="shared" si="3"/>
        <v>Rs - Sudeste RS</v>
      </c>
      <c r="BC247" s="3">
        <v>439.00983504258585</v>
      </c>
      <c r="BD247" s="3">
        <v>579.77140915354983</v>
      </c>
      <c r="BE247" s="3">
        <v>250.35373881906793</v>
      </c>
      <c r="BF247" s="3">
        <v>214.48424702694024</v>
      </c>
      <c r="BG247" s="3">
        <v>144.95166362179953</v>
      </c>
      <c r="BH247" s="3">
        <v>304.90089008199084</v>
      </c>
      <c r="BI247" s="3">
        <v>278.77247492645665</v>
      </c>
      <c r="BJ247" s="3">
        <v>208.32887764590271</v>
      </c>
      <c r="BK247" s="3">
        <v>212.37033585427321</v>
      </c>
      <c r="BL247" s="3">
        <v>183.95318461844965</v>
      </c>
      <c r="BM247" s="3">
        <v>202.44322381419579</v>
      </c>
      <c r="BN247" s="3">
        <v>159.65240372196922</v>
      </c>
      <c r="BO247" s="3">
        <v>140.40314445864794</v>
      </c>
      <c r="BP247" s="3">
        <v>135.08785894997686</v>
      </c>
      <c r="BQ247" s="3">
        <v>130.00540826919814</v>
      </c>
      <c r="BR247" s="3">
        <v>140.67270924641753</v>
      </c>
      <c r="BS247" s="3">
        <v>135.92373053084407</v>
      </c>
      <c r="BT247" s="3">
        <v>139.0447541719293</v>
      </c>
      <c r="BU247" s="3">
        <v>135.62807706626904</v>
      </c>
      <c r="BV247" s="3">
        <v>129.66362944608477</v>
      </c>
      <c r="BW247" s="3">
        <v>123.43151757388989</v>
      </c>
      <c r="BX247" s="3">
        <v>113.04063424857679</v>
      </c>
      <c r="BY247" s="3">
        <v>106.58048673287567</v>
      </c>
      <c r="BZ247" s="3">
        <v>99.488260617412379</v>
      </c>
      <c r="CA247" s="3">
        <v>94.840088327375611</v>
      </c>
      <c r="CB247" s="3">
        <v>91.248781374767873</v>
      </c>
      <c r="CC247" s="3">
        <v>87.996115940500772</v>
      </c>
      <c r="CD247" s="3">
        <v>86.094736944212627</v>
      </c>
      <c r="CE247" s="3">
        <v>83.723478519074774</v>
      </c>
      <c r="CF247" s="3">
        <v>81.733324662929931</v>
      </c>
      <c r="CG247" s="3">
        <v>79.170341988623136</v>
      </c>
      <c r="CH247" s="3">
        <v>76.172692254700792</v>
      </c>
      <c r="CI247" s="3">
        <v>72.872780918681201</v>
      </c>
      <c r="CJ247" s="3">
        <v>69.112576736282335</v>
      </c>
      <c r="CK247" s="3">
        <v>65.460544459912171</v>
      </c>
      <c r="CL247" s="3">
        <v>61.903815964321552</v>
      </c>
      <c r="CM247" s="3">
        <v>58.803204655821901</v>
      </c>
      <c r="CN247" s="3">
        <v>56.184216967747147</v>
      </c>
      <c r="CO247" s="3">
        <v>53.972584294060766</v>
      </c>
      <c r="CP247" s="3">
        <v>52.099600270030237</v>
      </c>
      <c r="CQ247" s="3">
        <v>50.319236962257378</v>
      </c>
      <c r="CR247" s="3">
        <v>48.546805066495267</v>
      </c>
      <c r="CS247" s="3">
        <v>46.658035173636677</v>
      </c>
      <c r="CT247" s="3">
        <v>44.646508733783207</v>
      </c>
      <c r="CU247" s="3">
        <v>42.556940622258594</v>
      </c>
      <c r="CV247" s="3">
        <v>40.442782214894578</v>
      </c>
      <c r="CW247" s="3">
        <v>38.394607500785582</v>
      </c>
      <c r="CX247" s="3">
        <v>36.455255804793978</v>
      </c>
      <c r="CY247" s="3">
        <v>34.664063474167506</v>
      </c>
    </row>
    <row r="248" spans="1:103" x14ac:dyDescent="0.25">
      <c r="A248" t="s">
        <v>126</v>
      </c>
      <c r="B248" t="s">
        <v>5</v>
      </c>
      <c r="C248">
        <v>-66.264231081481526</v>
      </c>
      <c r="D248">
        <v>-53.181762923128225</v>
      </c>
      <c r="E248">
        <v>365.67515264952925</v>
      </c>
      <c r="F248">
        <v>321.89508543011459</v>
      </c>
      <c r="G248">
        <v>427.59338403869685</v>
      </c>
      <c r="H248">
        <v>418.41794946356936</v>
      </c>
      <c r="I248">
        <v>457.68674219949526</v>
      </c>
      <c r="J248">
        <v>559.65122267972015</v>
      </c>
      <c r="K248">
        <v>523.72055132573144</v>
      </c>
      <c r="L248">
        <v>560.4826655779143</v>
      </c>
      <c r="M248">
        <v>539.37795439155786</v>
      </c>
      <c r="N248">
        <v>549.92376704832236</v>
      </c>
      <c r="O248">
        <v>552.08949808015757</v>
      </c>
      <c r="P248">
        <v>532.77467246609444</v>
      </c>
      <c r="Q248">
        <v>538.77808174277493</v>
      </c>
      <c r="R248">
        <v>530.62011460510325</v>
      </c>
      <c r="S248">
        <v>542.06627794792212</v>
      </c>
      <c r="T248">
        <v>549.07375106665313</v>
      </c>
      <c r="U248">
        <v>555.99733913498312</v>
      </c>
      <c r="V248">
        <v>564.88102435440749</v>
      </c>
      <c r="W248">
        <v>565.63103380124426</v>
      </c>
      <c r="X248">
        <v>567.80907090998494</v>
      </c>
      <c r="Y248">
        <v>564.16842706579916</v>
      </c>
      <c r="Z248">
        <v>560.90342171366683</v>
      </c>
      <c r="AA248">
        <v>557.93256788636461</v>
      </c>
      <c r="AB248">
        <v>555.23973791267349</v>
      </c>
      <c r="AC248">
        <v>555.10931977642008</v>
      </c>
      <c r="AD248">
        <v>555.08371229287593</v>
      </c>
      <c r="AE248">
        <v>556.59881739417983</v>
      </c>
      <c r="AF248">
        <v>558.14146879269333</v>
      </c>
      <c r="AG248">
        <v>559.6246881621546</v>
      </c>
      <c r="AH248">
        <v>560.93918707661578</v>
      </c>
      <c r="AI248">
        <v>561.44001316560616</v>
      </c>
      <c r="AJ248">
        <v>561.61443341360621</v>
      </c>
      <c r="AK248">
        <v>561.13221405887703</v>
      </c>
      <c r="AL248">
        <v>560.4066704842794</v>
      </c>
      <c r="AM248">
        <v>559.58915686004332</v>
      </c>
      <c r="AN248">
        <v>558.85351068738942</v>
      </c>
      <c r="AO248">
        <v>558.47025929822087</v>
      </c>
      <c r="AP248">
        <v>558.38223436818066</v>
      </c>
      <c r="AQ248">
        <v>558.64066089198889</v>
      </c>
      <c r="AR248">
        <v>559.07134145200621</v>
      </c>
      <c r="AS248">
        <v>559.53978546514327</v>
      </c>
      <c r="AT248">
        <v>559.92394602980971</v>
      </c>
      <c r="AU248">
        <v>560.11705702647748</v>
      </c>
      <c r="AV248">
        <v>560.12915521459797</v>
      </c>
      <c r="AW248">
        <v>559.97719655355036</v>
      </c>
      <c r="AX248">
        <v>559.74417491193435</v>
      </c>
      <c r="AY248">
        <v>559.50305014204446</v>
      </c>
      <c r="BA248" s="1">
        <v>-1</v>
      </c>
      <c r="BB248" t="str">
        <f t="shared" si="3"/>
        <v>Rs - Sudeste RS</v>
      </c>
      <c r="BC248" s="3" t="s">
        <v>144</v>
      </c>
      <c r="BD248" s="3" t="s">
        <v>144</v>
      </c>
      <c r="BE248" s="3" t="s">
        <v>144</v>
      </c>
      <c r="BF248" s="3" t="s">
        <v>144</v>
      </c>
      <c r="BG248" s="3" t="s">
        <v>144</v>
      </c>
      <c r="BH248" s="3" t="s">
        <v>144</v>
      </c>
      <c r="BI248" s="3" t="s">
        <v>144</v>
      </c>
      <c r="BJ248" s="3" t="s">
        <v>144</v>
      </c>
      <c r="BK248" s="3" t="s">
        <v>144</v>
      </c>
      <c r="BL248" s="3" t="s">
        <v>144</v>
      </c>
      <c r="BM248" s="3" t="s">
        <v>144</v>
      </c>
      <c r="BN248" s="3" t="s">
        <v>144</v>
      </c>
      <c r="BO248" s="3" t="s">
        <v>144</v>
      </c>
      <c r="BP248" s="3" t="s">
        <v>144</v>
      </c>
      <c r="BQ248" s="3" t="s">
        <v>144</v>
      </c>
      <c r="BR248" s="3" t="s">
        <v>144</v>
      </c>
      <c r="BS248" s="3" t="s">
        <v>144</v>
      </c>
      <c r="BT248" s="3" t="s">
        <v>144</v>
      </c>
      <c r="BU248" s="3" t="s">
        <v>144</v>
      </c>
      <c r="BV248" s="3" t="s">
        <v>144</v>
      </c>
      <c r="BW248" s="3" t="s">
        <v>144</v>
      </c>
      <c r="BX248" s="3" t="s">
        <v>144</v>
      </c>
      <c r="BY248" s="3" t="s">
        <v>144</v>
      </c>
      <c r="BZ248" s="3" t="s">
        <v>144</v>
      </c>
      <c r="CA248" s="3" t="s">
        <v>144</v>
      </c>
      <c r="CB248" s="3" t="s">
        <v>144</v>
      </c>
      <c r="CC248" s="3" t="s">
        <v>144</v>
      </c>
      <c r="CD248" s="3" t="s">
        <v>144</v>
      </c>
      <c r="CE248" s="3" t="s">
        <v>144</v>
      </c>
      <c r="CF248" s="3" t="s">
        <v>144</v>
      </c>
      <c r="CG248" s="3" t="s">
        <v>144</v>
      </c>
      <c r="CH248" s="3" t="s">
        <v>144</v>
      </c>
      <c r="CI248" s="3" t="s">
        <v>144</v>
      </c>
      <c r="CJ248" s="3" t="s">
        <v>144</v>
      </c>
      <c r="CK248" s="3" t="s">
        <v>144</v>
      </c>
      <c r="CL248" s="3" t="s">
        <v>144</v>
      </c>
      <c r="CM248" s="3" t="s">
        <v>144</v>
      </c>
      <c r="CN248" s="3" t="s">
        <v>144</v>
      </c>
      <c r="CO248" s="3" t="s">
        <v>144</v>
      </c>
      <c r="CP248" s="3" t="s">
        <v>144</v>
      </c>
      <c r="CQ248" s="3" t="s">
        <v>144</v>
      </c>
      <c r="CR248" s="3" t="s">
        <v>144</v>
      </c>
      <c r="CS248" s="3" t="s">
        <v>144</v>
      </c>
      <c r="CT248" s="3" t="s">
        <v>144</v>
      </c>
      <c r="CU248" s="3" t="s">
        <v>144</v>
      </c>
      <c r="CV248" s="3" t="s">
        <v>144</v>
      </c>
      <c r="CW248" s="3" t="s">
        <v>144</v>
      </c>
      <c r="CX248" s="3" t="s">
        <v>144</v>
      </c>
      <c r="CY248" s="3" t="s">
        <v>144</v>
      </c>
    </row>
    <row r="249" spans="1:103" x14ac:dyDescent="0.25">
      <c r="A249" t="s">
        <v>127</v>
      </c>
      <c r="B249" t="s">
        <v>4</v>
      </c>
      <c r="C249">
        <v>56.012327138673434</v>
      </c>
      <c r="D249">
        <v>4.1106035328176729</v>
      </c>
      <c r="E249">
        <v>19.744435304108709</v>
      </c>
      <c r="F249">
        <v>7.3817162273037207</v>
      </c>
      <c r="G249">
        <v>14.096593159960316</v>
      </c>
      <c r="H249">
        <v>26.987735724515947</v>
      </c>
      <c r="I249">
        <v>20.37005400150009</v>
      </c>
      <c r="J249">
        <v>34.262046361929606</v>
      </c>
      <c r="K249">
        <v>31.249852195988382</v>
      </c>
      <c r="L249">
        <v>36.554513718236635</v>
      </c>
      <c r="M249">
        <v>36.200975660686289</v>
      </c>
      <c r="N249">
        <v>33.165891749443091</v>
      </c>
      <c r="O249">
        <v>33.993138611688998</v>
      </c>
      <c r="P249">
        <v>30.745999338938212</v>
      </c>
      <c r="Q249">
        <v>32.006466923983069</v>
      </c>
      <c r="R249">
        <v>31.877053202264282</v>
      </c>
      <c r="S249">
        <v>33.317345952028965</v>
      </c>
      <c r="T249">
        <v>35.631358738794397</v>
      </c>
      <c r="U249">
        <v>37.136545683322858</v>
      </c>
      <c r="V249">
        <v>39.434600952292485</v>
      </c>
      <c r="W249">
        <v>40.40373634004871</v>
      </c>
      <c r="X249">
        <v>41.358859964547158</v>
      </c>
      <c r="Y249">
        <v>41.703043936279663</v>
      </c>
      <c r="Z249">
        <v>41.684385624569835</v>
      </c>
      <c r="AA249">
        <v>41.787435219249623</v>
      </c>
      <c r="AB249">
        <v>41.728428815159965</v>
      </c>
      <c r="AC249">
        <v>42.053197874882791</v>
      </c>
      <c r="AD249">
        <v>42.489449767973618</v>
      </c>
      <c r="AE249">
        <v>43.158796108549296</v>
      </c>
      <c r="AF249">
        <v>43.966897459018867</v>
      </c>
      <c r="AG249">
        <v>44.751410147845306</v>
      </c>
      <c r="AH249">
        <v>45.530554333846936</v>
      </c>
      <c r="AI249">
        <v>46.145800485749533</v>
      </c>
      <c r="AJ249">
        <v>46.643885647268064</v>
      </c>
      <c r="AK249">
        <v>47.002809398548941</v>
      </c>
      <c r="AL249">
        <v>47.264966065546851</v>
      </c>
      <c r="AM249">
        <v>47.496891519958901</v>
      </c>
      <c r="AN249">
        <v>47.7223407295021</v>
      </c>
      <c r="AO249">
        <v>47.997432288705575</v>
      </c>
      <c r="AP249">
        <v>48.320093519382681</v>
      </c>
      <c r="AQ249">
        <v>48.692553178389232</v>
      </c>
      <c r="AR249">
        <v>49.094466009052361</v>
      </c>
      <c r="AS249">
        <v>49.496261954432335</v>
      </c>
      <c r="AT249">
        <v>49.879217395126254</v>
      </c>
      <c r="AU249">
        <v>50.221487800599213</v>
      </c>
      <c r="AV249">
        <v>50.520241667501928</v>
      </c>
      <c r="AW249">
        <v>50.777162517277958</v>
      </c>
      <c r="AX249">
        <v>51.002907601811806</v>
      </c>
      <c r="AY249">
        <v>51.211985648595011</v>
      </c>
      <c r="BA249" s="1">
        <v>1</v>
      </c>
      <c r="BB249" t="str">
        <f t="shared" si="3"/>
        <v>Ms - Pantanais Sul MT</v>
      </c>
      <c r="BC249" s="3">
        <v>45.779378969268862</v>
      </c>
      <c r="BD249" s="3">
        <v>4.1175293103526203</v>
      </c>
      <c r="BE249" s="3">
        <v>-8.4241777846443</v>
      </c>
      <c r="BF249" s="3">
        <v>10.00522112190067</v>
      </c>
      <c r="BG249" s="3">
        <v>-5.5714643231254097</v>
      </c>
      <c r="BH249" s="3">
        <v>11.217492940518385</v>
      </c>
      <c r="BI249" s="3">
        <v>1.664431444762247</v>
      </c>
      <c r="BJ249" s="3">
        <v>9.7399598382508294</v>
      </c>
      <c r="BK249" s="3">
        <v>13.147598679085576</v>
      </c>
      <c r="BL249" s="3">
        <v>10.078009721066444</v>
      </c>
      <c r="BM249" s="3">
        <v>13.371146752594896</v>
      </c>
      <c r="BN249" s="3">
        <v>7.7196009490318254</v>
      </c>
      <c r="BO249" s="3">
        <v>8.1741235824335341</v>
      </c>
      <c r="BP249" s="3">
        <v>5.1682492991192461</v>
      </c>
      <c r="BQ249" s="3">
        <v>3.2650842487656959</v>
      </c>
      <c r="BR249" s="3">
        <v>2.8874168733247636</v>
      </c>
      <c r="BS249" s="3">
        <v>1.3459496978534453</v>
      </c>
      <c r="BT249" s="3">
        <v>2.26961654013828</v>
      </c>
      <c r="BU249" s="3">
        <v>2.0759923062686809</v>
      </c>
      <c r="BV249" s="3">
        <v>2.7101339637918613</v>
      </c>
      <c r="BW249" s="3">
        <v>2.9934664020136594</v>
      </c>
      <c r="BX249" s="3">
        <v>2.7472292661119297</v>
      </c>
      <c r="BY249" s="3">
        <v>2.5829321946630941</v>
      </c>
      <c r="BZ249" s="3">
        <v>1.7002255811486862</v>
      </c>
      <c r="CA249" s="3">
        <v>0.98699881960467906</v>
      </c>
      <c r="CB249" s="3">
        <v>9.4668946760386063E-2</v>
      </c>
      <c r="CC249" s="3">
        <v>-0.63534608331994491</v>
      </c>
      <c r="CD249" s="3">
        <v>-1.1214648375495244</v>
      </c>
      <c r="CE249" s="3">
        <v>-1.5075374971329509</v>
      </c>
      <c r="CF249" s="3">
        <v>-1.6378640907513997</v>
      </c>
      <c r="CG249" s="3">
        <v>-1.7527180201890005</v>
      </c>
      <c r="CH249" s="3">
        <v>-1.810928293049777</v>
      </c>
      <c r="CI249" s="3">
        <v>-1.9194950473908463</v>
      </c>
      <c r="CJ249" s="3">
        <v>-2.1154733066958116</v>
      </c>
      <c r="CK249" s="3">
        <v>-2.3693896729725097</v>
      </c>
      <c r="CL249" s="3">
        <v>-2.7090841927899518</v>
      </c>
      <c r="CM249" s="3">
        <v>-3.0645625473607438</v>
      </c>
      <c r="CN249" s="3">
        <v>-3.4271838053229402</v>
      </c>
      <c r="CO249" s="3">
        <v>-3.7566153975549383</v>
      </c>
      <c r="CP249" s="3">
        <v>-4.0332837301210134</v>
      </c>
      <c r="CQ249" s="3">
        <v>-4.2602736749277099</v>
      </c>
      <c r="CR249" s="3">
        <v>-4.434672682229305</v>
      </c>
      <c r="CS249" s="3">
        <v>-4.5812444764254749</v>
      </c>
      <c r="CT249" s="3">
        <v>-4.7130529719573815</v>
      </c>
      <c r="CU249" s="3">
        <v>-4.84933014522192</v>
      </c>
      <c r="CV249" s="3">
        <v>-5.0012850204843105</v>
      </c>
      <c r="CW249" s="3">
        <v>-5.1704582017060403</v>
      </c>
      <c r="CX249" s="3">
        <v>-5.3556968220081558</v>
      </c>
      <c r="CY249" s="3">
        <v>-5.5468147096736899</v>
      </c>
    </row>
    <row r="250" spans="1:103" x14ac:dyDescent="0.25">
      <c r="A250" t="s">
        <v>127</v>
      </c>
      <c r="B250" t="s">
        <v>5</v>
      </c>
      <c r="C250">
        <v>10.232948169404569</v>
      </c>
      <c r="D250">
        <v>-6.9257775349473296E-3</v>
      </c>
      <c r="E250">
        <v>28.168613088753009</v>
      </c>
      <c r="F250">
        <v>-2.623504894596949</v>
      </c>
      <c r="G250">
        <v>19.668057483085725</v>
      </c>
      <c r="H250">
        <v>15.770242783997562</v>
      </c>
      <c r="I250">
        <v>18.705622556737843</v>
      </c>
      <c r="J250">
        <v>24.522086523678777</v>
      </c>
      <c r="K250">
        <v>18.102253516902806</v>
      </c>
      <c r="L250">
        <v>26.476503997170191</v>
      </c>
      <c r="M250">
        <v>22.829828908091393</v>
      </c>
      <c r="N250">
        <v>25.446290800411266</v>
      </c>
      <c r="O250">
        <v>25.819015029255464</v>
      </c>
      <c r="P250">
        <v>25.577750039818966</v>
      </c>
      <c r="Q250">
        <v>28.741382675217373</v>
      </c>
      <c r="R250">
        <v>28.989636328939518</v>
      </c>
      <c r="S250">
        <v>31.97139625417552</v>
      </c>
      <c r="T250">
        <v>33.361742198656117</v>
      </c>
      <c r="U250">
        <v>35.060553377054177</v>
      </c>
      <c r="V250">
        <v>36.724466988500623</v>
      </c>
      <c r="W250">
        <v>37.41026993803505</v>
      </c>
      <c r="X250">
        <v>38.611630698435228</v>
      </c>
      <c r="Y250">
        <v>39.120111741616569</v>
      </c>
      <c r="Z250">
        <v>39.984160043421149</v>
      </c>
      <c r="AA250">
        <v>40.800436399644944</v>
      </c>
      <c r="AB250">
        <v>41.633759868399579</v>
      </c>
      <c r="AC250">
        <v>42.688543958202736</v>
      </c>
      <c r="AD250">
        <v>43.610914605523142</v>
      </c>
      <c r="AE250">
        <v>44.666333605682247</v>
      </c>
      <c r="AF250">
        <v>45.604761549770267</v>
      </c>
      <c r="AG250">
        <v>46.504128168034306</v>
      </c>
      <c r="AH250">
        <v>47.341482626896713</v>
      </c>
      <c r="AI250">
        <v>48.065295533140379</v>
      </c>
      <c r="AJ250">
        <v>48.759358953963876</v>
      </c>
      <c r="AK250">
        <v>49.37219907152145</v>
      </c>
      <c r="AL250">
        <v>49.974050258336803</v>
      </c>
      <c r="AM250">
        <v>50.561454067319644</v>
      </c>
      <c r="AN250">
        <v>51.149524534825041</v>
      </c>
      <c r="AO250">
        <v>51.754047686260513</v>
      </c>
      <c r="AP250">
        <v>52.353377249503694</v>
      </c>
      <c r="AQ250">
        <v>52.952826853316942</v>
      </c>
      <c r="AR250">
        <v>53.529138691281666</v>
      </c>
      <c r="AS250">
        <v>54.07750643085781</v>
      </c>
      <c r="AT250">
        <v>54.592270367083636</v>
      </c>
      <c r="AU250">
        <v>55.070817945821133</v>
      </c>
      <c r="AV250">
        <v>55.521526687986238</v>
      </c>
      <c r="AW250">
        <v>55.947620718983998</v>
      </c>
      <c r="AX250">
        <v>56.358604423819962</v>
      </c>
      <c r="AY250">
        <v>56.758800358268701</v>
      </c>
      <c r="BA250" s="1">
        <v>-1</v>
      </c>
      <c r="BB250" t="str">
        <f t="shared" si="3"/>
        <v>Ms - Pantanais Sul MT</v>
      </c>
      <c r="BC250" s="3" t="s">
        <v>144</v>
      </c>
      <c r="BD250" s="3" t="s">
        <v>144</v>
      </c>
      <c r="BE250" s="3" t="s">
        <v>144</v>
      </c>
      <c r="BF250" s="3" t="s">
        <v>144</v>
      </c>
      <c r="BG250" s="3" t="s">
        <v>144</v>
      </c>
      <c r="BH250" s="3" t="s">
        <v>144</v>
      </c>
      <c r="BI250" s="3" t="s">
        <v>144</v>
      </c>
      <c r="BJ250" s="3" t="s">
        <v>144</v>
      </c>
      <c r="BK250" s="3" t="s">
        <v>144</v>
      </c>
      <c r="BL250" s="3" t="s">
        <v>144</v>
      </c>
      <c r="BM250" s="3" t="s">
        <v>144</v>
      </c>
      <c r="BN250" s="3" t="s">
        <v>144</v>
      </c>
      <c r="BO250" s="3" t="s">
        <v>144</v>
      </c>
      <c r="BP250" s="3" t="s">
        <v>144</v>
      </c>
      <c r="BQ250" s="3" t="s">
        <v>144</v>
      </c>
      <c r="BR250" s="3" t="s">
        <v>144</v>
      </c>
      <c r="BS250" s="3" t="s">
        <v>144</v>
      </c>
      <c r="BT250" s="3" t="s">
        <v>144</v>
      </c>
      <c r="BU250" s="3" t="s">
        <v>144</v>
      </c>
      <c r="BV250" s="3" t="s">
        <v>144</v>
      </c>
      <c r="BW250" s="3" t="s">
        <v>144</v>
      </c>
      <c r="BX250" s="3" t="s">
        <v>144</v>
      </c>
      <c r="BY250" s="3" t="s">
        <v>144</v>
      </c>
      <c r="BZ250" s="3" t="s">
        <v>144</v>
      </c>
      <c r="CA250" s="3" t="s">
        <v>144</v>
      </c>
      <c r="CB250" s="3" t="s">
        <v>144</v>
      </c>
      <c r="CC250" s="3" t="s">
        <v>144</v>
      </c>
      <c r="CD250" s="3" t="s">
        <v>144</v>
      </c>
      <c r="CE250" s="3" t="s">
        <v>144</v>
      </c>
      <c r="CF250" s="3" t="s">
        <v>144</v>
      </c>
      <c r="CG250" s="3" t="s">
        <v>144</v>
      </c>
      <c r="CH250" s="3" t="s">
        <v>144</v>
      </c>
      <c r="CI250" s="3" t="s">
        <v>144</v>
      </c>
      <c r="CJ250" s="3" t="s">
        <v>144</v>
      </c>
      <c r="CK250" s="3" t="s">
        <v>144</v>
      </c>
      <c r="CL250" s="3" t="s">
        <v>144</v>
      </c>
      <c r="CM250" s="3" t="s">
        <v>144</v>
      </c>
      <c r="CN250" s="3" t="s">
        <v>144</v>
      </c>
      <c r="CO250" s="3" t="s">
        <v>144</v>
      </c>
      <c r="CP250" s="3" t="s">
        <v>144</v>
      </c>
      <c r="CQ250" s="3" t="s">
        <v>144</v>
      </c>
      <c r="CR250" s="3" t="s">
        <v>144</v>
      </c>
      <c r="CS250" s="3" t="s">
        <v>144</v>
      </c>
      <c r="CT250" s="3" t="s">
        <v>144</v>
      </c>
      <c r="CU250" s="3" t="s">
        <v>144</v>
      </c>
      <c r="CV250" s="3" t="s">
        <v>144</v>
      </c>
      <c r="CW250" s="3" t="s">
        <v>144</v>
      </c>
      <c r="CX250" s="3" t="s">
        <v>144</v>
      </c>
      <c r="CY250" s="3" t="s">
        <v>144</v>
      </c>
    </row>
    <row r="251" spans="1:103" x14ac:dyDescent="0.25">
      <c r="A251" t="s">
        <v>128</v>
      </c>
      <c r="B251" t="s">
        <v>4</v>
      </c>
      <c r="C251">
        <v>813.56680167837897</v>
      </c>
      <c r="D251">
        <v>573.82879867759277</v>
      </c>
      <c r="E251">
        <v>419.79299346909932</v>
      </c>
      <c r="F251">
        <v>435.75838633115859</v>
      </c>
      <c r="G251">
        <v>356.11048633324373</v>
      </c>
      <c r="H251">
        <v>591.14540534644971</v>
      </c>
      <c r="I251">
        <v>522.20622651684744</v>
      </c>
      <c r="J251">
        <v>598.41134754680047</v>
      </c>
      <c r="K251">
        <v>597.19563183804951</v>
      </c>
      <c r="L251">
        <v>581.33717304908043</v>
      </c>
      <c r="M251">
        <v>594.70674627470203</v>
      </c>
      <c r="N251">
        <v>525.75697882938096</v>
      </c>
      <c r="O251">
        <v>519.12862289283237</v>
      </c>
      <c r="P251">
        <v>489.95515630834967</v>
      </c>
      <c r="Q251">
        <v>495.65430765352204</v>
      </c>
      <c r="R251">
        <v>517.16313173847266</v>
      </c>
      <c r="S251">
        <v>536.12573707207741</v>
      </c>
      <c r="T251">
        <v>573.83845901235486</v>
      </c>
      <c r="U251">
        <v>595.28933554734624</v>
      </c>
      <c r="V251">
        <v>617.93578859103275</v>
      </c>
      <c r="W251">
        <v>627.5833090884305</v>
      </c>
      <c r="X251">
        <v>628.9938414904218</v>
      </c>
      <c r="Y251">
        <v>628.40032005669002</v>
      </c>
      <c r="Z251">
        <v>622.9181905104042</v>
      </c>
      <c r="AA251">
        <v>621.88582510494416</v>
      </c>
      <c r="AB251">
        <v>622.02943544537231</v>
      </c>
      <c r="AC251">
        <v>626.8167880652619</v>
      </c>
      <c r="AD251">
        <v>635.08013162496411</v>
      </c>
      <c r="AE251">
        <v>644.89248527058146</v>
      </c>
      <c r="AF251">
        <v>656.18400136628327</v>
      </c>
      <c r="AG251">
        <v>666.04640549153203</v>
      </c>
      <c r="AH251">
        <v>674.61319038036004</v>
      </c>
      <c r="AI251">
        <v>680.77586033224065</v>
      </c>
      <c r="AJ251">
        <v>684.78998038119005</v>
      </c>
      <c r="AK251">
        <v>687.38182726429091</v>
      </c>
      <c r="AL251">
        <v>689.02819405287732</v>
      </c>
      <c r="AM251">
        <v>690.88838563557545</v>
      </c>
      <c r="AN251">
        <v>693.31637893785842</v>
      </c>
      <c r="AO251">
        <v>696.74760090621157</v>
      </c>
      <c r="AP251">
        <v>701.09977134924463</v>
      </c>
      <c r="AQ251">
        <v>706.02360470525878</v>
      </c>
      <c r="AR251">
        <v>711.15643553280381</v>
      </c>
      <c r="AS251">
        <v>715.99231537890478</v>
      </c>
      <c r="AT251">
        <v>720.28374345565283</v>
      </c>
      <c r="AU251">
        <v>723.86722994345689</v>
      </c>
      <c r="AV251">
        <v>726.79237085102579</v>
      </c>
      <c r="AW251">
        <v>729.23689994977121</v>
      </c>
      <c r="AX251">
        <v>731.40980078803398</v>
      </c>
      <c r="AY251">
        <v>733.54633541267208</v>
      </c>
      <c r="BA251" s="1">
        <v>1</v>
      </c>
      <c r="BB251" t="str">
        <f t="shared" si="3"/>
        <v>Ms - Centro Norte de MS</v>
      </c>
      <c r="BC251" s="3">
        <v>625.93586459606581</v>
      </c>
      <c r="BD251" s="3">
        <v>317.10957665617246</v>
      </c>
      <c r="BE251" s="3">
        <v>-41.111575905132213</v>
      </c>
      <c r="BF251" s="3">
        <v>250.50415647919581</v>
      </c>
      <c r="BG251" s="3">
        <v>52.651569855777382</v>
      </c>
      <c r="BH251" s="3">
        <v>242.7677395882352</v>
      </c>
      <c r="BI251" s="3">
        <v>142.35198118207262</v>
      </c>
      <c r="BJ251" s="3">
        <v>169.86457665476951</v>
      </c>
      <c r="BK251" s="3">
        <v>227.36427916847072</v>
      </c>
      <c r="BL251" s="3">
        <v>160.76609102077202</v>
      </c>
      <c r="BM251" s="3">
        <v>196.93068544744108</v>
      </c>
      <c r="BN251" s="3">
        <v>126.958573897218</v>
      </c>
      <c r="BO251" s="3">
        <v>123.88434862318559</v>
      </c>
      <c r="BP251" s="3">
        <v>103.65007778043906</v>
      </c>
      <c r="BQ251" s="3">
        <v>82.127186089198858</v>
      </c>
      <c r="BR251" s="3">
        <v>89.899295747803762</v>
      </c>
      <c r="BS251" s="3">
        <v>75.33211543624941</v>
      </c>
      <c r="BT251" s="3">
        <v>87.316595603369251</v>
      </c>
      <c r="BU251" s="3">
        <v>85.65629969184431</v>
      </c>
      <c r="BV251" s="3">
        <v>87.409720945843901</v>
      </c>
      <c r="BW251" s="3">
        <v>88.010343774346666</v>
      </c>
      <c r="BX251" s="3">
        <v>80.232100114920058</v>
      </c>
      <c r="BY251" s="3">
        <v>76.359943708141145</v>
      </c>
      <c r="BZ251" s="3">
        <v>65.710945127000173</v>
      </c>
      <c r="CA251" s="3">
        <v>57.965504576781427</v>
      </c>
      <c r="CB251" s="3">
        <v>49.955450367656908</v>
      </c>
      <c r="CC251" s="3">
        <v>43.237527716031423</v>
      </c>
      <c r="CD251" s="3">
        <v>39.717177806044447</v>
      </c>
      <c r="CE251" s="3">
        <v>36.409778879239411</v>
      </c>
      <c r="CF251" s="3">
        <v>35.356313516281944</v>
      </c>
      <c r="CG251" s="3">
        <v>33.916336011259546</v>
      </c>
      <c r="CH251" s="3">
        <v>32.437816817436101</v>
      </c>
      <c r="CI251" s="3">
        <v>30.355559610955879</v>
      </c>
      <c r="CJ251" s="3">
        <v>27.166696306227777</v>
      </c>
      <c r="CK251" s="3">
        <v>23.642535226079531</v>
      </c>
      <c r="CL251" s="3">
        <v>19.49514783245354</v>
      </c>
      <c r="CM251" s="3">
        <v>15.523129575260327</v>
      </c>
      <c r="CN251" s="3">
        <v>11.812183910147837</v>
      </c>
      <c r="CO251" s="3">
        <v>8.5846431150386024</v>
      </c>
      <c r="CP251" s="3">
        <v>5.9811084326888704</v>
      </c>
      <c r="CQ251" s="3">
        <v>3.7861430548800854</v>
      </c>
      <c r="CR251" s="3">
        <v>1.9839278417838386</v>
      </c>
      <c r="CS251" s="3">
        <v>0.29362234584391445</v>
      </c>
      <c r="CT251" s="3">
        <v>-1.3965045458230634</v>
      </c>
      <c r="CU251" s="3">
        <v>-3.2009943395320306</v>
      </c>
      <c r="CV251" s="3">
        <v>-5.1799404262779944</v>
      </c>
      <c r="CW251" s="3">
        <v>-7.2752505037656192</v>
      </c>
      <c r="CX251" s="3">
        <v>-9.4473807119160256</v>
      </c>
      <c r="CY251" s="3">
        <v>-11.583677932156775</v>
      </c>
    </row>
    <row r="252" spans="1:103" x14ac:dyDescent="0.25">
      <c r="A252" t="s">
        <v>128</v>
      </c>
      <c r="B252" t="s">
        <v>5</v>
      </c>
      <c r="C252">
        <v>187.63093708231315</v>
      </c>
      <c r="D252">
        <v>256.71922202142031</v>
      </c>
      <c r="E252">
        <v>460.90456937423153</v>
      </c>
      <c r="F252">
        <v>185.25422985196278</v>
      </c>
      <c r="G252">
        <v>303.45891647746635</v>
      </c>
      <c r="H252">
        <v>348.3776657582145</v>
      </c>
      <c r="I252">
        <v>379.85424533477482</v>
      </c>
      <c r="J252">
        <v>428.54677089203096</v>
      </c>
      <c r="K252">
        <v>369.83135266957879</v>
      </c>
      <c r="L252">
        <v>420.57108202830841</v>
      </c>
      <c r="M252">
        <v>397.77606082726095</v>
      </c>
      <c r="N252">
        <v>398.79840493216295</v>
      </c>
      <c r="O252">
        <v>395.24427426964678</v>
      </c>
      <c r="P252">
        <v>386.30507852791061</v>
      </c>
      <c r="Q252">
        <v>413.52712156432318</v>
      </c>
      <c r="R252">
        <v>427.26383599066889</v>
      </c>
      <c r="S252">
        <v>460.793621635828</v>
      </c>
      <c r="T252">
        <v>486.52186340898561</v>
      </c>
      <c r="U252">
        <v>509.63303585550193</v>
      </c>
      <c r="V252">
        <v>530.52606764518885</v>
      </c>
      <c r="W252">
        <v>539.57296531408383</v>
      </c>
      <c r="X252">
        <v>548.76174137550174</v>
      </c>
      <c r="Y252">
        <v>552.04037634854888</v>
      </c>
      <c r="Z252">
        <v>557.20724538340403</v>
      </c>
      <c r="AA252">
        <v>563.92032052816273</v>
      </c>
      <c r="AB252">
        <v>572.07398507771541</v>
      </c>
      <c r="AC252">
        <v>583.57926034923048</v>
      </c>
      <c r="AD252">
        <v>595.36295381891966</v>
      </c>
      <c r="AE252">
        <v>608.48270639134205</v>
      </c>
      <c r="AF252">
        <v>620.82768785000133</v>
      </c>
      <c r="AG252">
        <v>632.13006948027248</v>
      </c>
      <c r="AH252">
        <v>642.17537356292394</v>
      </c>
      <c r="AI252">
        <v>650.42030072128478</v>
      </c>
      <c r="AJ252">
        <v>657.62328407496227</v>
      </c>
      <c r="AK252">
        <v>663.73929203821137</v>
      </c>
      <c r="AL252">
        <v>669.53304622042378</v>
      </c>
      <c r="AM252">
        <v>675.36525606031512</v>
      </c>
      <c r="AN252">
        <v>681.50419502771058</v>
      </c>
      <c r="AO252">
        <v>688.16295779117297</v>
      </c>
      <c r="AP252">
        <v>695.11866291655576</v>
      </c>
      <c r="AQ252">
        <v>702.23746165037869</v>
      </c>
      <c r="AR252">
        <v>709.17250769101997</v>
      </c>
      <c r="AS252">
        <v>715.69869303306086</v>
      </c>
      <c r="AT252">
        <v>721.68024800147589</v>
      </c>
      <c r="AU252">
        <v>727.06822428298892</v>
      </c>
      <c r="AV252">
        <v>731.97231127730379</v>
      </c>
      <c r="AW252">
        <v>736.51215045353683</v>
      </c>
      <c r="AX252">
        <v>740.85718149995</v>
      </c>
      <c r="AY252">
        <v>745.13001334482885</v>
      </c>
      <c r="BA252" s="1">
        <v>-1</v>
      </c>
      <c r="BB252" t="str">
        <f t="shared" si="3"/>
        <v>Ms - Centro Norte de MS</v>
      </c>
      <c r="BC252" s="3" t="s">
        <v>144</v>
      </c>
      <c r="BD252" s="3" t="s">
        <v>144</v>
      </c>
      <c r="BE252" s="3" t="s">
        <v>144</v>
      </c>
      <c r="BF252" s="3" t="s">
        <v>144</v>
      </c>
      <c r="BG252" s="3" t="s">
        <v>144</v>
      </c>
      <c r="BH252" s="3" t="s">
        <v>144</v>
      </c>
      <c r="BI252" s="3" t="s">
        <v>144</v>
      </c>
      <c r="BJ252" s="3" t="s">
        <v>144</v>
      </c>
      <c r="BK252" s="3" t="s">
        <v>144</v>
      </c>
      <c r="BL252" s="3" t="s">
        <v>144</v>
      </c>
      <c r="BM252" s="3" t="s">
        <v>144</v>
      </c>
      <c r="BN252" s="3" t="s">
        <v>144</v>
      </c>
      <c r="BO252" s="3" t="s">
        <v>144</v>
      </c>
      <c r="BP252" s="3" t="s">
        <v>144</v>
      </c>
      <c r="BQ252" s="3" t="s">
        <v>144</v>
      </c>
      <c r="BR252" s="3" t="s">
        <v>144</v>
      </c>
      <c r="BS252" s="3" t="s">
        <v>144</v>
      </c>
      <c r="BT252" s="3" t="s">
        <v>144</v>
      </c>
      <c r="BU252" s="3" t="s">
        <v>144</v>
      </c>
      <c r="BV252" s="3" t="s">
        <v>144</v>
      </c>
      <c r="BW252" s="3" t="s">
        <v>144</v>
      </c>
      <c r="BX252" s="3" t="s">
        <v>144</v>
      </c>
      <c r="BY252" s="3" t="s">
        <v>144</v>
      </c>
      <c r="BZ252" s="3" t="s">
        <v>144</v>
      </c>
      <c r="CA252" s="3" t="s">
        <v>144</v>
      </c>
      <c r="CB252" s="3" t="s">
        <v>144</v>
      </c>
      <c r="CC252" s="3" t="s">
        <v>144</v>
      </c>
      <c r="CD252" s="3" t="s">
        <v>144</v>
      </c>
      <c r="CE252" s="3" t="s">
        <v>144</v>
      </c>
      <c r="CF252" s="3" t="s">
        <v>144</v>
      </c>
      <c r="CG252" s="3" t="s">
        <v>144</v>
      </c>
      <c r="CH252" s="3" t="s">
        <v>144</v>
      </c>
      <c r="CI252" s="3" t="s">
        <v>144</v>
      </c>
      <c r="CJ252" s="3" t="s">
        <v>144</v>
      </c>
      <c r="CK252" s="3" t="s">
        <v>144</v>
      </c>
      <c r="CL252" s="3" t="s">
        <v>144</v>
      </c>
      <c r="CM252" s="3" t="s">
        <v>144</v>
      </c>
      <c r="CN252" s="3" t="s">
        <v>144</v>
      </c>
      <c r="CO252" s="3" t="s">
        <v>144</v>
      </c>
      <c r="CP252" s="3" t="s">
        <v>144</v>
      </c>
      <c r="CQ252" s="3" t="s">
        <v>144</v>
      </c>
      <c r="CR252" s="3" t="s">
        <v>144</v>
      </c>
      <c r="CS252" s="3" t="s">
        <v>144</v>
      </c>
      <c r="CT252" s="3" t="s">
        <v>144</v>
      </c>
      <c r="CU252" s="3" t="s">
        <v>144</v>
      </c>
      <c r="CV252" s="3" t="s">
        <v>144</v>
      </c>
      <c r="CW252" s="3" t="s">
        <v>144</v>
      </c>
      <c r="CX252" s="3" t="s">
        <v>144</v>
      </c>
      <c r="CY252" s="3" t="s">
        <v>144</v>
      </c>
    </row>
    <row r="253" spans="1:103" x14ac:dyDescent="0.25">
      <c r="A253" t="s">
        <v>129</v>
      </c>
      <c r="B253" t="s">
        <v>4</v>
      </c>
      <c r="C253">
        <v>416.89562182422083</v>
      </c>
      <c r="D253">
        <v>115.28206462593505</v>
      </c>
      <c r="E253">
        <v>105.89229105270135</v>
      </c>
      <c r="F253">
        <v>153.80842644752767</v>
      </c>
      <c r="G253">
        <v>142.79419895665339</v>
      </c>
      <c r="H253">
        <v>282.07663272440465</v>
      </c>
      <c r="I253">
        <v>235.95241160204145</v>
      </c>
      <c r="J253">
        <v>315.04380531591596</v>
      </c>
      <c r="K253">
        <v>322.68623521998262</v>
      </c>
      <c r="L253">
        <v>330.60325568589894</v>
      </c>
      <c r="M253">
        <v>342.79736014172954</v>
      </c>
      <c r="N253">
        <v>307.484314437286</v>
      </c>
      <c r="O253">
        <v>310.47883675352159</v>
      </c>
      <c r="P253">
        <v>290.08586729310196</v>
      </c>
      <c r="Q253">
        <v>291.56982207972743</v>
      </c>
      <c r="R253">
        <v>296.6959086205149</v>
      </c>
      <c r="S253">
        <v>302.90661897480607</v>
      </c>
      <c r="T253">
        <v>321.59268276208201</v>
      </c>
      <c r="U253">
        <v>331.83011491858878</v>
      </c>
      <c r="V253">
        <v>345.88037744831036</v>
      </c>
      <c r="W253">
        <v>352.30262654786139</v>
      </c>
      <c r="X253">
        <v>355.19690636490253</v>
      </c>
      <c r="Y253">
        <v>356.00146416089444</v>
      </c>
      <c r="Z253">
        <v>352.97786990472514</v>
      </c>
      <c r="AA253">
        <v>351.67634780085513</v>
      </c>
      <c r="AB253">
        <v>349.91505965108854</v>
      </c>
      <c r="AC253">
        <v>350.6941463839002</v>
      </c>
      <c r="AD253">
        <v>353.21458862389738</v>
      </c>
      <c r="AE253">
        <v>356.96189258371021</v>
      </c>
      <c r="AF253">
        <v>361.98837312702761</v>
      </c>
      <c r="AG253">
        <v>366.62210042895805</v>
      </c>
      <c r="AH253">
        <v>371.00907011655772</v>
      </c>
      <c r="AI253">
        <v>374.23262827306598</v>
      </c>
      <c r="AJ253">
        <v>376.38595946175877</v>
      </c>
      <c r="AK253">
        <v>377.66062267762481</v>
      </c>
      <c r="AL253">
        <v>378.23137668215372</v>
      </c>
      <c r="AM253">
        <v>378.71942225705084</v>
      </c>
      <c r="AN253">
        <v>379.30879424860672</v>
      </c>
      <c r="AO253">
        <v>380.35017950350942</v>
      </c>
      <c r="AP253">
        <v>381.86915226553481</v>
      </c>
      <c r="AQ253">
        <v>383.77829212829511</v>
      </c>
      <c r="AR253">
        <v>385.93607301743384</v>
      </c>
      <c r="AS253">
        <v>388.07861824328114</v>
      </c>
      <c r="AT253">
        <v>390.05859413859747</v>
      </c>
      <c r="AU253">
        <v>391.7318147761564</v>
      </c>
      <c r="AV253">
        <v>393.07668183180647</v>
      </c>
      <c r="AW253">
        <v>394.14023542172231</v>
      </c>
      <c r="AX253">
        <v>395.00858568509898</v>
      </c>
      <c r="AY253">
        <v>395.80450170588324</v>
      </c>
      <c r="BA253" s="1">
        <v>1</v>
      </c>
      <c r="BB253" t="str">
        <f t="shared" si="3"/>
        <v>Ms - Leste de MS</v>
      </c>
      <c r="BC253" s="3">
        <v>518.03040224461608</v>
      </c>
      <c r="BD253" s="3">
        <v>2.1593092324642811</v>
      </c>
      <c r="BE253" s="3">
        <v>-165.75819064970409</v>
      </c>
      <c r="BF253" s="3">
        <v>1.8347899404765258</v>
      </c>
      <c r="BG253" s="3">
        <v>-86.998668966674813</v>
      </c>
      <c r="BH253" s="3">
        <v>79.041931320709097</v>
      </c>
      <c r="BI253" s="3">
        <v>-32.291944519394775</v>
      </c>
      <c r="BJ253" s="3">
        <v>34.513797662752836</v>
      </c>
      <c r="BK253" s="3">
        <v>53.624712920339732</v>
      </c>
      <c r="BL253" s="3">
        <v>24.168244938799887</v>
      </c>
      <c r="BM253" s="3">
        <v>45.844600659140326</v>
      </c>
      <c r="BN253" s="3">
        <v>-9.3797338535165409</v>
      </c>
      <c r="BO253" s="3">
        <v>1.2479322068795682</v>
      </c>
      <c r="BP253" s="3">
        <v>-17.281099042206733</v>
      </c>
      <c r="BQ253" s="3">
        <v>-20.94053089614863</v>
      </c>
      <c r="BR253" s="3">
        <v>-14.447652832725112</v>
      </c>
      <c r="BS253" s="3">
        <v>-19.79381770668806</v>
      </c>
      <c r="BT253" s="3">
        <v>-5.5959647394437866</v>
      </c>
      <c r="BU253" s="3">
        <v>-5.052031743005557</v>
      </c>
      <c r="BV253" s="3">
        <v>1.4189431870983071</v>
      </c>
      <c r="BW253" s="3">
        <v>2.7507423089316489</v>
      </c>
      <c r="BX253" s="3">
        <v>-2.7274005565516291E-2</v>
      </c>
      <c r="BY253" s="3">
        <v>-1.2070622388710035</v>
      </c>
      <c r="BZ253" s="3">
        <v>-7.4513274559225238</v>
      </c>
      <c r="CA253" s="3">
        <v>-10.674443429726125</v>
      </c>
      <c r="CB253" s="3">
        <v>-14.747337950494682</v>
      </c>
      <c r="CC253" s="3">
        <v>-16.753430367285318</v>
      </c>
      <c r="CD253" s="3">
        <v>-16.823543838513103</v>
      </c>
      <c r="CE253" s="3">
        <v>-16.544998563923116</v>
      </c>
      <c r="CF253" s="3">
        <v>-14.792959586072641</v>
      </c>
      <c r="CG253" s="3">
        <v>-13.77225679945002</v>
      </c>
      <c r="CH253" s="3">
        <v>-12.846049588296637</v>
      </c>
      <c r="CI253" s="3">
        <v>-12.78125561156611</v>
      </c>
      <c r="CJ253" s="3">
        <v>-13.544617919596192</v>
      </c>
      <c r="CK253" s="3">
        <v>-14.663006760202279</v>
      </c>
      <c r="CL253" s="3">
        <v>-16.238927514804175</v>
      </c>
      <c r="CM253" s="3">
        <v>-17.615201230272987</v>
      </c>
      <c r="CN253" s="3">
        <v>-18.819343836872747</v>
      </c>
      <c r="CO253" s="3">
        <v>-19.615325420117529</v>
      </c>
      <c r="CP253" s="3">
        <v>-20.000249192365004</v>
      </c>
      <c r="CQ253" s="3">
        <v>-20.120739230336085</v>
      </c>
      <c r="CR253" s="3">
        <v>-20.022463648232815</v>
      </c>
      <c r="CS253" s="3">
        <v>-19.936458794439488</v>
      </c>
      <c r="CT253" s="3">
        <v>-19.928261518445993</v>
      </c>
      <c r="CU253" s="3">
        <v>-20.096697323076398</v>
      </c>
      <c r="CV253" s="3">
        <v>-20.454880606470851</v>
      </c>
      <c r="CW253" s="3">
        <v>-20.950416829103915</v>
      </c>
      <c r="CX253" s="3">
        <v>-21.533722732601234</v>
      </c>
      <c r="CY253" s="3">
        <v>-22.10631439224295</v>
      </c>
    </row>
    <row r="254" spans="1:103" x14ac:dyDescent="0.25">
      <c r="A254" t="s">
        <v>129</v>
      </c>
      <c r="B254" t="s">
        <v>5</v>
      </c>
      <c r="C254">
        <v>-101.13478042039529</v>
      </c>
      <c r="D254">
        <v>113.12275539347077</v>
      </c>
      <c r="E254">
        <v>271.65048170240544</v>
      </c>
      <c r="F254">
        <v>151.97363650705114</v>
      </c>
      <c r="G254">
        <v>229.7928679233282</v>
      </c>
      <c r="H254">
        <v>203.03470140369555</v>
      </c>
      <c r="I254">
        <v>268.24435612143623</v>
      </c>
      <c r="J254">
        <v>280.53000765316312</v>
      </c>
      <c r="K254">
        <v>269.06152229964289</v>
      </c>
      <c r="L254">
        <v>306.43501074709906</v>
      </c>
      <c r="M254">
        <v>296.95275948258922</v>
      </c>
      <c r="N254">
        <v>316.86404829080254</v>
      </c>
      <c r="O254">
        <v>309.23090454664202</v>
      </c>
      <c r="P254">
        <v>307.36696633530869</v>
      </c>
      <c r="Q254">
        <v>312.51035297587606</v>
      </c>
      <c r="R254">
        <v>311.14356145324001</v>
      </c>
      <c r="S254">
        <v>322.70043668149412</v>
      </c>
      <c r="T254">
        <v>327.18864750152579</v>
      </c>
      <c r="U254">
        <v>336.88214666159433</v>
      </c>
      <c r="V254">
        <v>344.46143426121205</v>
      </c>
      <c r="W254">
        <v>349.55188423892974</v>
      </c>
      <c r="X254">
        <v>355.22418037046805</v>
      </c>
      <c r="Y254">
        <v>357.20852639976545</v>
      </c>
      <c r="Z254">
        <v>360.42919736064766</v>
      </c>
      <c r="AA254">
        <v>362.35079123058125</v>
      </c>
      <c r="AB254">
        <v>364.66239760158322</v>
      </c>
      <c r="AC254">
        <v>367.44757675118552</v>
      </c>
      <c r="AD254">
        <v>370.03813246241049</v>
      </c>
      <c r="AE254">
        <v>373.50689114763333</v>
      </c>
      <c r="AF254">
        <v>376.78133271310026</v>
      </c>
      <c r="AG254">
        <v>380.39435722840807</v>
      </c>
      <c r="AH254">
        <v>383.85511970485436</v>
      </c>
      <c r="AI254">
        <v>387.01388388463209</v>
      </c>
      <c r="AJ254">
        <v>389.93057738135496</v>
      </c>
      <c r="AK254">
        <v>392.32362943782709</v>
      </c>
      <c r="AL254">
        <v>394.4703041969579</v>
      </c>
      <c r="AM254">
        <v>396.33462348732382</v>
      </c>
      <c r="AN254">
        <v>398.12813808547946</v>
      </c>
      <c r="AO254">
        <v>399.96550492362695</v>
      </c>
      <c r="AP254">
        <v>401.86940145789981</v>
      </c>
      <c r="AQ254">
        <v>403.89903135863119</v>
      </c>
      <c r="AR254">
        <v>405.95853666566666</v>
      </c>
      <c r="AS254">
        <v>408.01507703772063</v>
      </c>
      <c r="AT254">
        <v>409.98685565704346</v>
      </c>
      <c r="AU254">
        <v>411.8285120992328</v>
      </c>
      <c r="AV254">
        <v>413.53156243827732</v>
      </c>
      <c r="AW254">
        <v>415.09065225082622</v>
      </c>
      <c r="AX254">
        <v>416.54230841770021</v>
      </c>
      <c r="AY254">
        <v>417.91081609812619</v>
      </c>
      <c r="BA254" s="1">
        <v>-1</v>
      </c>
      <c r="BB254" t="str">
        <f t="shared" si="3"/>
        <v>Ms - Leste de MS</v>
      </c>
      <c r="BC254" s="3" t="s">
        <v>144</v>
      </c>
      <c r="BD254" s="3" t="s">
        <v>144</v>
      </c>
      <c r="BE254" s="3" t="s">
        <v>144</v>
      </c>
      <c r="BF254" s="3" t="s">
        <v>144</v>
      </c>
      <c r="BG254" s="3" t="s">
        <v>144</v>
      </c>
      <c r="BH254" s="3" t="s">
        <v>144</v>
      </c>
      <c r="BI254" s="3" t="s">
        <v>144</v>
      </c>
      <c r="BJ254" s="3" t="s">
        <v>144</v>
      </c>
      <c r="BK254" s="3" t="s">
        <v>144</v>
      </c>
      <c r="BL254" s="3" t="s">
        <v>144</v>
      </c>
      <c r="BM254" s="3" t="s">
        <v>144</v>
      </c>
      <c r="BN254" s="3" t="s">
        <v>144</v>
      </c>
      <c r="BO254" s="3" t="s">
        <v>144</v>
      </c>
      <c r="BP254" s="3" t="s">
        <v>144</v>
      </c>
      <c r="BQ254" s="3" t="s">
        <v>144</v>
      </c>
      <c r="BR254" s="3" t="s">
        <v>144</v>
      </c>
      <c r="BS254" s="3" t="s">
        <v>144</v>
      </c>
      <c r="BT254" s="3" t="s">
        <v>144</v>
      </c>
      <c r="BU254" s="3" t="s">
        <v>144</v>
      </c>
      <c r="BV254" s="3" t="s">
        <v>144</v>
      </c>
      <c r="BW254" s="3" t="s">
        <v>144</v>
      </c>
      <c r="BX254" s="3" t="s">
        <v>144</v>
      </c>
      <c r="BY254" s="3" t="s">
        <v>144</v>
      </c>
      <c r="BZ254" s="3" t="s">
        <v>144</v>
      </c>
      <c r="CA254" s="3" t="s">
        <v>144</v>
      </c>
      <c r="CB254" s="3" t="s">
        <v>144</v>
      </c>
      <c r="CC254" s="3" t="s">
        <v>144</v>
      </c>
      <c r="CD254" s="3" t="s">
        <v>144</v>
      </c>
      <c r="CE254" s="3" t="s">
        <v>144</v>
      </c>
      <c r="CF254" s="3" t="s">
        <v>144</v>
      </c>
      <c r="CG254" s="3" t="s">
        <v>144</v>
      </c>
      <c r="CH254" s="3" t="s">
        <v>144</v>
      </c>
      <c r="CI254" s="3" t="s">
        <v>144</v>
      </c>
      <c r="CJ254" s="3" t="s">
        <v>144</v>
      </c>
      <c r="CK254" s="3" t="s">
        <v>144</v>
      </c>
      <c r="CL254" s="3" t="s">
        <v>144</v>
      </c>
      <c r="CM254" s="3" t="s">
        <v>144</v>
      </c>
      <c r="CN254" s="3" t="s">
        <v>144</v>
      </c>
      <c r="CO254" s="3" t="s">
        <v>144</v>
      </c>
      <c r="CP254" s="3" t="s">
        <v>144</v>
      </c>
      <c r="CQ254" s="3" t="s">
        <v>144</v>
      </c>
      <c r="CR254" s="3" t="s">
        <v>144</v>
      </c>
      <c r="CS254" s="3" t="s">
        <v>144</v>
      </c>
      <c r="CT254" s="3" t="s">
        <v>144</v>
      </c>
      <c r="CU254" s="3" t="s">
        <v>144</v>
      </c>
      <c r="CV254" s="3" t="s">
        <v>144</v>
      </c>
      <c r="CW254" s="3" t="s">
        <v>144</v>
      </c>
      <c r="CX254" s="3" t="s">
        <v>144</v>
      </c>
      <c r="CY254" s="3" t="s">
        <v>144</v>
      </c>
    </row>
    <row r="255" spans="1:103" x14ac:dyDescent="0.25">
      <c r="A255" t="s">
        <v>130</v>
      </c>
      <c r="B255" t="s">
        <v>4</v>
      </c>
      <c r="C255">
        <v>387.83643128957522</v>
      </c>
      <c r="D255">
        <v>-24.224919123007151</v>
      </c>
      <c r="E255">
        <v>-27.665209186325729</v>
      </c>
      <c r="F255">
        <v>-63.968069762409996</v>
      </c>
      <c r="G255">
        <v>-23.778525847645223</v>
      </c>
      <c r="H255">
        <v>122.32322448537597</v>
      </c>
      <c r="I255">
        <v>70.432308609212811</v>
      </c>
      <c r="J255">
        <v>180.04552343421284</v>
      </c>
      <c r="K255">
        <v>178.98643343598044</v>
      </c>
      <c r="L255">
        <v>202.26830364170982</v>
      </c>
      <c r="M255">
        <v>203.96779372880368</v>
      </c>
      <c r="N255">
        <v>162.68246328014874</v>
      </c>
      <c r="O255">
        <v>162.93065410929154</v>
      </c>
      <c r="P255">
        <v>133.42892198058149</v>
      </c>
      <c r="Q255">
        <v>136.410632030046</v>
      </c>
      <c r="R255">
        <v>138.37172909976854</v>
      </c>
      <c r="S255">
        <v>148.36032410665157</v>
      </c>
      <c r="T255">
        <v>171.38058068722108</v>
      </c>
      <c r="U255">
        <v>186.2402930396994</v>
      </c>
      <c r="V255">
        <v>206.40245002587801</v>
      </c>
      <c r="W255">
        <v>215.75468940642634</v>
      </c>
      <c r="X255">
        <v>221.5924436861763</v>
      </c>
      <c r="Y255">
        <v>222.79828782148664</v>
      </c>
      <c r="Z255">
        <v>219.38060564918001</v>
      </c>
      <c r="AA255">
        <v>217.38255750823629</v>
      </c>
      <c r="AB255">
        <v>214.73028320292653</v>
      </c>
      <c r="AC255">
        <v>215.75142601572981</v>
      </c>
      <c r="AD255">
        <v>218.98366710982228</v>
      </c>
      <c r="AE255">
        <v>224.39590807858488</v>
      </c>
      <c r="AF255">
        <v>231.46822792003709</v>
      </c>
      <c r="AG255">
        <v>238.23085441859388</v>
      </c>
      <c r="AH255">
        <v>244.66616400905397</v>
      </c>
      <c r="AI255">
        <v>249.46667409796214</v>
      </c>
      <c r="AJ255">
        <v>252.84467340996838</v>
      </c>
      <c r="AK255">
        <v>254.89776787694169</v>
      </c>
      <c r="AL255">
        <v>255.9819097265374</v>
      </c>
      <c r="AM255">
        <v>256.85899384781669</v>
      </c>
      <c r="AN255">
        <v>257.82501287673256</v>
      </c>
      <c r="AO255">
        <v>259.38272024967307</v>
      </c>
      <c r="AP255">
        <v>261.56806513456502</v>
      </c>
      <c r="AQ255">
        <v>264.32091392427384</v>
      </c>
      <c r="AR255">
        <v>267.43515595740405</v>
      </c>
      <c r="AS255">
        <v>270.57187493499248</v>
      </c>
      <c r="AT255">
        <v>273.51108737815412</v>
      </c>
      <c r="AU255">
        <v>276.03629474030203</v>
      </c>
      <c r="AV255">
        <v>278.10474228995025</v>
      </c>
      <c r="AW255">
        <v>279.75928246459188</v>
      </c>
      <c r="AX255">
        <v>281.11910450909556</v>
      </c>
      <c r="AY255">
        <v>282.35074828720036</v>
      </c>
      <c r="BA255" s="1">
        <v>1</v>
      </c>
      <c r="BB255" t="str">
        <f t="shared" si="3"/>
        <v>Ms - Sudoeste de MS</v>
      </c>
      <c r="BC255" s="3">
        <v>599.91688699924282</v>
      </c>
      <c r="BD255" s="3">
        <v>-39.748587507700371</v>
      </c>
      <c r="BE255" s="3">
        <v>-230.84688871700951</v>
      </c>
      <c r="BF255" s="3">
        <v>-38.747874098452662</v>
      </c>
      <c r="BG255" s="3">
        <v>-137.54157676285493</v>
      </c>
      <c r="BH255" s="3">
        <v>78.416484263834846</v>
      </c>
      <c r="BI255" s="3">
        <v>-54.955429349520102</v>
      </c>
      <c r="BJ255" s="3">
        <v>50.256474705146758</v>
      </c>
      <c r="BK255" s="3">
        <v>84.526471713698314</v>
      </c>
      <c r="BL255" s="3">
        <v>55.274980179646377</v>
      </c>
      <c r="BM255" s="3">
        <v>83.791568485909522</v>
      </c>
      <c r="BN255" s="3">
        <v>12.286678738458448</v>
      </c>
      <c r="BO255" s="3">
        <v>21.873131787539705</v>
      </c>
      <c r="BP255" s="3">
        <v>-9.3346170351666444</v>
      </c>
      <c r="BQ255" s="3">
        <v>-20.193431799083925</v>
      </c>
      <c r="BR255" s="3">
        <v>-16.997014304982116</v>
      </c>
      <c r="BS255" s="3">
        <v>-25.164828377347305</v>
      </c>
      <c r="BT255" s="3">
        <v>-5.7735488942615802</v>
      </c>
      <c r="BU255" s="3">
        <v>-1.7985608566285123</v>
      </c>
      <c r="BV255" s="3">
        <v>10.944581384768753</v>
      </c>
      <c r="BW255" s="3">
        <v>16.520536689847916</v>
      </c>
      <c r="BX255" s="3">
        <v>15.845768511453883</v>
      </c>
      <c r="BY255" s="3">
        <v>15.379141144210053</v>
      </c>
      <c r="BZ255" s="3">
        <v>6.972272205863959</v>
      </c>
      <c r="CA255" s="3">
        <v>1.4298312715187649</v>
      </c>
      <c r="CB255" s="3">
        <v>-5.614204009873589</v>
      </c>
      <c r="CC255" s="3">
        <v>-9.7241235013773917</v>
      </c>
      <c r="CD255" s="3">
        <v>-10.80776389285802</v>
      </c>
      <c r="CE255" s="3">
        <v>-10.648946829682814</v>
      </c>
      <c r="CF255" s="3">
        <v>-7.9269416606748848</v>
      </c>
      <c r="CG255" s="3">
        <v>-5.6648820350285689</v>
      </c>
      <c r="CH255" s="3">
        <v>-3.3137126763467961</v>
      </c>
      <c r="CI255" s="3">
        <v>-2.1521210975965346</v>
      </c>
      <c r="CJ255" s="3">
        <v>-2.3090588837606845</v>
      </c>
      <c r="CK255" s="3">
        <v>-3.3029066614082296</v>
      </c>
      <c r="CL255" s="3">
        <v>-5.2504956529499225</v>
      </c>
      <c r="CM255" s="3">
        <v>-7.2249459479897951</v>
      </c>
      <c r="CN255" s="3">
        <v>-9.1242466858676039</v>
      </c>
      <c r="CO255" s="3">
        <v>-10.48963235109494</v>
      </c>
      <c r="CP255" s="3">
        <v>-11.203285901806964</v>
      </c>
      <c r="CQ255" s="3">
        <v>-11.382255059180522</v>
      </c>
      <c r="CR255" s="3">
        <v>-11.084712759256774</v>
      </c>
      <c r="CS255" s="3">
        <v>-10.654957295027884</v>
      </c>
      <c r="CT255" s="3">
        <v>-10.25515179828551</v>
      </c>
      <c r="CU255" s="3">
        <v>-10.095863098808422</v>
      </c>
      <c r="CV255" s="3">
        <v>-10.256157541463438</v>
      </c>
      <c r="CW255" s="3">
        <v>-10.702276256532684</v>
      </c>
      <c r="CX255" s="3">
        <v>-11.368853042052422</v>
      </c>
      <c r="CY255" s="3">
        <v>-12.102601570401532</v>
      </c>
    </row>
    <row r="256" spans="1:103" x14ac:dyDescent="0.25">
      <c r="A256" t="s">
        <v>130</v>
      </c>
      <c r="B256" t="s">
        <v>5</v>
      </c>
      <c r="C256">
        <v>-212.08045570966758</v>
      </c>
      <c r="D256">
        <v>15.523668384693218</v>
      </c>
      <c r="E256">
        <v>203.18167953068377</v>
      </c>
      <c r="F256">
        <v>-25.220195663957334</v>
      </c>
      <c r="G256">
        <v>113.7630509152097</v>
      </c>
      <c r="H256">
        <v>43.906740221541128</v>
      </c>
      <c r="I256">
        <v>125.38773795873291</v>
      </c>
      <c r="J256">
        <v>129.78904872906608</v>
      </c>
      <c r="K256">
        <v>94.459961722282131</v>
      </c>
      <c r="L256">
        <v>146.99332346206344</v>
      </c>
      <c r="M256">
        <v>120.17622524289416</v>
      </c>
      <c r="N256">
        <v>150.39578454169029</v>
      </c>
      <c r="O256">
        <v>141.05752232175183</v>
      </c>
      <c r="P256">
        <v>142.76353901574814</v>
      </c>
      <c r="Q256">
        <v>156.60406382912993</v>
      </c>
      <c r="R256">
        <v>155.36874340475066</v>
      </c>
      <c r="S256">
        <v>173.52515248399888</v>
      </c>
      <c r="T256">
        <v>177.15412958148266</v>
      </c>
      <c r="U256">
        <v>188.03885389632791</v>
      </c>
      <c r="V256">
        <v>195.45786864110926</v>
      </c>
      <c r="W256">
        <v>199.23415271657842</v>
      </c>
      <c r="X256">
        <v>205.74667517472241</v>
      </c>
      <c r="Y256">
        <v>207.41914667727659</v>
      </c>
      <c r="Z256">
        <v>212.40833344331605</v>
      </c>
      <c r="AA256">
        <v>215.95272623671752</v>
      </c>
      <c r="AB256">
        <v>220.34448721280012</v>
      </c>
      <c r="AC256">
        <v>225.4755495171072</v>
      </c>
      <c r="AD256">
        <v>229.7914310026803</v>
      </c>
      <c r="AE256">
        <v>235.04485490826769</v>
      </c>
      <c r="AF256">
        <v>239.39516958071198</v>
      </c>
      <c r="AG256">
        <v>243.89573645362245</v>
      </c>
      <c r="AH256">
        <v>247.97987668540077</v>
      </c>
      <c r="AI256">
        <v>251.61879519555868</v>
      </c>
      <c r="AJ256">
        <v>255.15373229372906</v>
      </c>
      <c r="AK256">
        <v>258.20067453834992</v>
      </c>
      <c r="AL256">
        <v>261.23240537948732</v>
      </c>
      <c r="AM256">
        <v>264.08393979580649</v>
      </c>
      <c r="AN256">
        <v>266.94925956260016</v>
      </c>
      <c r="AO256">
        <v>269.87235260076801</v>
      </c>
      <c r="AP256">
        <v>272.77135103637198</v>
      </c>
      <c r="AQ256">
        <v>275.70316898345436</v>
      </c>
      <c r="AR256">
        <v>278.51986871666082</v>
      </c>
      <c r="AS256">
        <v>281.22683223002036</v>
      </c>
      <c r="AT256">
        <v>283.76623917643963</v>
      </c>
      <c r="AU256">
        <v>286.13215783911045</v>
      </c>
      <c r="AV256">
        <v>288.36089983141369</v>
      </c>
      <c r="AW256">
        <v>290.46155872112456</v>
      </c>
      <c r="AX256">
        <v>292.48795755114799</v>
      </c>
      <c r="AY256">
        <v>294.45334985760189</v>
      </c>
      <c r="BA256" s="1">
        <v>-1</v>
      </c>
      <c r="BB256" t="str">
        <f t="shared" si="3"/>
        <v>Ms - Sudoeste de MS</v>
      </c>
      <c r="BC256" s="3" t="s">
        <v>144</v>
      </c>
      <c r="BD256" s="3" t="s">
        <v>144</v>
      </c>
      <c r="BE256" s="3" t="s">
        <v>144</v>
      </c>
      <c r="BF256" s="3" t="s">
        <v>144</v>
      </c>
      <c r="BG256" s="3" t="s">
        <v>144</v>
      </c>
      <c r="BH256" s="3" t="s">
        <v>144</v>
      </c>
      <c r="BI256" s="3" t="s">
        <v>144</v>
      </c>
      <c r="BJ256" s="3" t="s">
        <v>144</v>
      </c>
      <c r="BK256" s="3" t="s">
        <v>144</v>
      </c>
      <c r="BL256" s="3" t="s">
        <v>144</v>
      </c>
      <c r="BM256" s="3" t="s">
        <v>144</v>
      </c>
      <c r="BN256" s="3" t="s">
        <v>144</v>
      </c>
      <c r="BO256" s="3" t="s">
        <v>144</v>
      </c>
      <c r="BP256" s="3" t="s">
        <v>144</v>
      </c>
      <c r="BQ256" s="3" t="s">
        <v>144</v>
      </c>
      <c r="BR256" s="3" t="s">
        <v>144</v>
      </c>
      <c r="BS256" s="3" t="s">
        <v>144</v>
      </c>
      <c r="BT256" s="3" t="s">
        <v>144</v>
      </c>
      <c r="BU256" s="3" t="s">
        <v>144</v>
      </c>
      <c r="BV256" s="3" t="s">
        <v>144</v>
      </c>
      <c r="BW256" s="3" t="s">
        <v>144</v>
      </c>
      <c r="BX256" s="3" t="s">
        <v>144</v>
      </c>
      <c r="BY256" s="3" t="s">
        <v>144</v>
      </c>
      <c r="BZ256" s="3" t="s">
        <v>144</v>
      </c>
      <c r="CA256" s="3" t="s">
        <v>144</v>
      </c>
      <c r="CB256" s="3" t="s">
        <v>144</v>
      </c>
      <c r="CC256" s="3" t="s">
        <v>144</v>
      </c>
      <c r="CD256" s="3" t="s">
        <v>144</v>
      </c>
      <c r="CE256" s="3" t="s">
        <v>144</v>
      </c>
      <c r="CF256" s="3" t="s">
        <v>144</v>
      </c>
      <c r="CG256" s="3" t="s">
        <v>144</v>
      </c>
      <c r="CH256" s="3" t="s">
        <v>144</v>
      </c>
      <c r="CI256" s="3" t="s">
        <v>144</v>
      </c>
      <c r="CJ256" s="3" t="s">
        <v>144</v>
      </c>
      <c r="CK256" s="3" t="s">
        <v>144</v>
      </c>
      <c r="CL256" s="3" t="s">
        <v>144</v>
      </c>
      <c r="CM256" s="3" t="s">
        <v>144</v>
      </c>
      <c r="CN256" s="3" t="s">
        <v>144</v>
      </c>
      <c r="CO256" s="3" t="s">
        <v>144</v>
      </c>
      <c r="CP256" s="3" t="s">
        <v>144</v>
      </c>
      <c r="CQ256" s="3" t="s">
        <v>144</v>
      </c>
      <c r="CR256" s="3" t="s">
        <v>144</v>
      </c>
      <c r="CS256" s="3" t="s">
        <v>144</v>
      </c>
      <c r="CT256" s="3" t="s">
        <v>144</v>
      </c>
      <c r="CU256" s="3" t="s">
        <v>144</v>
      </c>
      <c r="CV256" s="3" t="s">
        <v>144</v>
      </c>
      <c r="CW256" s="3" t="s">
        <v>144</v>
      </c>
      <c r="CX256" s="3" t="s">
        <v>144</v>
      </c>
      <c r="CY256" s="3" t="s">
        <v>144</v>
      </c>
    </row>
    <row r="257" spans="1:103" x14ac:dyDescent="0.25">
      <c r="A257" t="s">
        <v>131</v>
      </c>
      <c r="B257" t="s">
        <v>4</v>
      </c>
      <c r="C257">
        <v>1037.2431954821977</v>
      </c>
      <c r="D257">
        <v>261.43765131124184</v>
      </c>
      <c r="E257">
        <v>54.043683929184652</v>
      </c>
      <c r="F257">
        <v>425.49071344113526</v>
      </c>
      <c r="G257">
        <v>431.73925052240435</v>
      </c>
      <c r="H257">
        <v>661.22199452967857</v>
      </c>
      <c r="I257">
        <v>421.25544823698471</v>
      </c>
      <c r="J257">
        <v>569.23067539403598</v>
      </c>
      <c r="K257">
        <v>639.29895177776507</v>
      </c>
      <c r="L257">
        <v>628.14040021660298</v>
      </c>
      <c r="M257">
        <v>624.96161737195064</v>
      </c>
      <c r="N257">
        <v>520.84939205258968</v>
      </c>
      <c r="O257">
        <v>542.15056008034821</v>
      </c>
      <c r="P257">
        <v>514.46268159506099</v>
      </c>
      <c r="Q257">
        <v>510.45260377620718</v>
      </c>
      <c r="R257">
        <v>514.5072539222582</v>
      </c>
      <c r="S257">
        <v>516.97752765526798</v>
      </c>
      <c r="T257">
        <v>553.80572207403691</v>
      </c>
      <c r="U257">
        <v>566.8270880185114</v>
      </c>
      <c r="V257">
        <v>584.76737157996695</v>
      </c>
      <c r="W257">
        <v>589.1129914471328</v>
      </c>
      <c r="X257">
        <v>587.8336746412491</v>
      </c>
      <c r="Y257">
        <v>586.48059002052128</v>
      </c>
      <c r="Z257">
        <v>576.62788211496638</v>
      </c>
      <c r="AA257">
        <v>571.36827925244984</v>
      </c>
      <c r="AB257">
        <v>565.60007040231824</v>
      </c>
      <c r="AC257">
        <v>565.0067385105533</v>
      </c>
      <c r="AD257">
        <v>567.927583118303</v>
      </c>
      <c r="AE257">
        <v>572.14741581400926</v>
      </c>
      <c r="AF257">
        <v>578.71584200821451</v>
      </c>
      <c r="AG257">
        <v>584.11290564205217</v>
      </c>
      <c r="AH257">
        <v>589.08166106442809</v>
      </c>
      <c r="AI257">
        <v>591.94248997170189</v>
      </c>
      <c r="AJ257">
        <v>592.89036396300992</v>
      </c>
      <c r="AK257">
        <v>592.62240621921387</v>
      </c>
      <c r="AL257">
        <v>591.31774942840343</v>
      </c>
      <c r="AM257">
        <v>590.22295124823404</v>
      </c>
      <c r="AN257">
        <v>589.49938021236323</v>
      </c>
      <c r="AO257">
        <v>589.70971958709288</v>
      </c>
      <c r="AP257">
        <v>590.84517061103213</v>
      </c>
      <c r="AQ257">
        <v>592.63966991709697</v>
      </c>
      <c r="AR257">
        <v>594.85245973244537</v>
      </c>
      <c r="AS257">
        <v>596.9761540080143</v>
      </c>
      <c r="AT257">
        <v>598.79840825239864</v>
      </c>
      <c r="AU257">
        <v>600.10054623117207</v>
      </c>
      <c r="AV257">
        <v>600.8791677239808</v>
      </c>
      <c r="AW257">
        <v>601.25733909008079</v>
      </c>
      <c r="AX257">
        <v>601.39014518677607</v>
      </c>
      <c r="AY257">
        <v>601.50121473435627</v>
      </c>
      <c r="BA257" s="1">
        <v>1</v>
      </c>
      <c r="BB257" t="str">
        <f t="shared" si="3"/>
        <v>Mt - Norte MT</v>
      </c>
      <c r="BC257" s="3">
        <v>1083.6019504450892</v>
      </c>
      <c r="BD257" s="3">
        <v>-9.1543162654422758</v>
      </c>
      <c r="BE257" s="3">
        <v>-522.21220270100855</v>
      </c>
      <c r="BF257" s="3">
        <v>256.12679848547975</v>
      </c>
      <c r="BG257" s="3">
        <v>242.43539394515702</v>
      </c>
      <c r="BH257" s="3">
        <v>365.12531575671085</v>
      </c>
      <c r="BI257" s="3">
        <v>-34.713882355719988</v>
      </c>
      <c r="BJ257" s="3">
        <v>63.279942850956445</v>
      </c>
      <c r="BK257" s="3">
        <v>232.31042289370873</v>
      </c>
      <c r="BL257" s="3">
        <v>173.67996221187741</v>
      </c>
      <c r="BM257" s="3">
        <v>164.72336715087465</v>
      </c>
      <c r="BN257" s="3">
        <v>44.915662329228667</v>
      </c>
      <c r="BO257" s="3">
        <v>97.804646176926099</v>
      </c>
      <c r="BP257" s="3">
        <v>105.88020559370574</v>
      </c>
      <c r="BQ257" s="3">
        <v>89.528445170341797</v>
      </c>
      <c r="BR257" s="3">
        <v>86.334485798883861</v>
      </c>
      <c r="BS257" s="3">
        <v>64.16733929591112</v>
      </c>
      <c r="BT257" s="3">
        <v>87.188916419649786</v>
      </c>
      <c r="BU257" s="3">
        <v>82.055581442396203</v>
      </c>
      <c r="BV257" s="3">
        <v>80.060566291425232</v>
      </c>
      <c r="BW257" s="3">
        <v>75.215479944757931</v>
      </c>
      <c r="BX257" s="3">
        <v>67.555087052669137</v>
      </c>
      <c r="BY257" s="3">
        <v>68.226354953354871</v>
      </c>
      <c r="BZ257" s="3">
        <v>59.10854143078916</v>
      </c>
      <c r="CA257" s="3">
        <v>54.206328064143122</v>
      </c>
      <c r="CB257" s="3">
        <v>47.924158289938987</v>
      </c>
      <c r="CC257" s="3">
        <v>43.897309505357839</v>
      </c>
      <c r="CD257" s="3">
        <v>42.340693442690849</v>
      </c>
      <c r="CE257" s="3">
        <v>39.410918933625567</v>
      </c>
      <c r="CF257" s="3">
        <v>38.484497653861354</v>
      </c>
      <c r="CG257" s="3">
        <v>36.472429787587885</v>
      </c>
      <c r="CH257" s="3">
        <v>34.810541261290609</v>
      </c>
      <c r="CI257" s="3">
        <v>32.548552435038687</v>
      </c>
      <c r="CJ257" s="3">
        <v>29.474620094686429</v>
      </c>
      <c r="CK257" s="3">
        <v>26.578824323594517</v>
      </c>
      <c r="CL257" s="3">
        <v>23.32427713601885</v>
      </c>
      <c r="CM257" s="3">
        <v>20.550110600361677</v>
      </c>
      <c r="CN257" s="3">
        <v>17.933816652407813</v>
      </c>
      <c r="CO257" s="3">
        <v>15.656933995955569</v>
      </c>
      <c r="CP257" s="3">
        <v>13.762542214648647</v>
      </c>
      <c r="CQ257" s="3">
        <v>12.012234157464718</v>
      </c>
      <c r="CR257" s="3">
        <v>10.48729289179164</v>
      </c>
      <c r="CS257" s="3">
        <v>8.9380367240680698</v>
      </c>
      <c r="CT257" s="3">
        <v>7.3904141126657805</v>
      </c>
      <c r="CU257" s="3">
        <v>5.7801425814213871</v>
      </c>
      <c r="CV257" s="3">
        <v>4.0917185677121779</v>
      </c>
      <c r="CW257" s="3">
        <v>2.389283288369711</v>
      </c>
      <c r="CX257" s="3">
        <v>0.67627282842113345</v>
      </c>
      <c r="CY257" s="3">
        <v>-0.96124918405791959</v>
      </c>
    </row>
    <row r="258" spans="1:103" x14ac:dyDescent="0.25">
      <c r="A258" t="s">
        <v>131</v>
      </c>
      <c r="B258" t="s">
        <v>5</v>
      </c>
      <c r="C258">
        <v>-46.358754962891432</v>
      </c>
      <c r="D258">
        <v>270.59196757668411</v>
      </c>
      <c r="E258">
        <v>576.25588663019323</v>
      </c>
      <c r="F258">
        <v>169.36391495565553</v>
      </c>
      <c r="G258">
        <v>189.30385657724733</v>
      </c>
      <c r="H258">
        <v>296.09667877296772</v>
      </c>
      <c r="I258">
        <v>455.96933059270469</v>
      </c>
      <c r="J258">
        <v>505.95073254307954</v>
      </c>
      <c r="K258">
        <v>406.98852888405634</v>
      </c>
      <c r="L258">
        <v>454.46043800472557</v>
      </c>
      <c r="M258">
        <v>460.23825022107599</v>
      </c>
      <c r="N258">
        <v>475.93372972336101</v>
      </c>
      <c r="O258">
        <v>444.34591390342212</v>
      </c>
      <c r="P258">
        <v>408.58247600135525</v>
      </c>
      <c r="Q258">
        <v>420.92415860586539</v>
      </c>
      <c r="R258">
        <v>428.17276812337434</v>
      </c>
      <c r="S258">
        <v>452.81018835935686</v>
      </c>
      <c r="T258">
        <v>466.61680565438712</v>
      </c>
      <c r="U258">
        <v>484.7715065761152</v>
      </c>
      <c r="V258">
        <v>504.70680528854172</v>
      </c>
      <c r="W258">
        <v>513.89751150237487</v>
      </c>
      <c r="X258">
        <v>520.27858758857997</v>
      </c>
      <c r="Y258">
        <v>518.25423506716641</v>
      </c>
      <c r="Z258">
        <v>517.51934068417722</v>
      </c>
      <c r="AA258">
        <v>517.16195118830672</v>
      </c>
      <c r="AB258">
        <v>517.67591211237925</v>
      </c>
      <c r="AC258">
        <v>521.10942900519547</v>
      </c>
      <c r="AD258">
        <v>525.58688967561216</v>
      </c>
      <c r="AE258">
        <v>532.7364968803837</v>
      </c>
      <c r="AF258">
        <v>540.23134435435315</v>
      </c>
      <c r="AG258">
        <v>547.64047585446428</v>
      </c>
      <c r="AH258">
        <v>554.27111980313748</v>
      </c>
      <c r="AI258">
        <v>559.3939375366632</v>
      </c>
      <c r="AJ258">
        <v>563.41574386832349</v>
      </c>
      <c r="AK258">
        <v>566.04358189561935</v>
      </c>
      <c r="AL258">
        <v>567.99347229238458</v>
      </c>
      <c r="AM258">
        <v>569.67284064787236</v>
      </c>
      <c r="AN258">
        <v>571.56556355995542</v>
      </c>
      <c r="AO258">
        <v>574.05278559113731</v>
      </c>
      <c r="AP258">
        <v>577.08262839638348</v>
      </c>
      <c r="AQ258">
        <v>580.62743575963225</v>
      </c>
      <c r="AR258">
        <v>584.36516684065373</v>
      </c>
      <c r="AS258">
        <v>588.03811728394624</v>
      </c>
      <c r="AT258">
        <v>591.40799413973286</v>
      </c>
      <c r="AU258">
        <v>594.32040364975069</v>
      </c>
      <c r="AV258">
        <v>596.78744915626862</v>
      </c>
      <c r="AW258">
        <v>598.86805580171108</v>
      </c>
      <c r="AX258">
        <v>600.71387235835493</v>
      </c>
      <c r="AY258">
        <v>602.46246391841419</v>
      </c>
      <c r="BA258" s="1">
        <v>-1</v>
      </c>
      <c r="BB258" t="str">
        <f t="shared" si="3"/>
        <v>Mt - Norte MT</v>
      </c>
      <c r="BC258" s="3" t="s">
        <v>144</v>
      </c>
      <c r="BD258" s="3" t="s">
        <v>144</v>
      </c>
      <c r="BE258" s="3" t="s">
        <v>144</v>
      </c>
      <c r="BF258" s="3" t="s">
        <v>144</v>
      </c>
      <c r="BG258" s="3" t="s">
        <v>144</v>
      </c>
      <c r="BH258" s="3" t="s">
        <v>144</v>
      </c>
      <c r="BI258" s="3" t="s">
        <v>144</v>
      </c>
      <c r="BJ258" s="3" t="s">
        <v>144</v>
      </c>
      <c r="BK258" s="3" t="s">
        <v>144</v>
      </c>
      <c r="BL258" s="3" t="s">
        <v>144</v>
      </c>
      <c r="BM258" s="3" t="s">
        <v>144</v>
      </c>
      <c r="BN258" s="3" t="s">
        <v>144</v>
      </c>
      <c r="BO258" s="3" t="s">
        <v>144</v>
      </c>
      <c r="BP258" s="3" t="s">
        <v>144</v>
      </c>
      <c r="BQ258" s="3" t="s">
        <v>144</v>
      </c>
      <c r="BR258" s="3" t="s">
        <v>144</v>
      </c>
      <c r="BS258" s="3" t="s">
        <v>144</v>
      </c>
      <c r="BT258" s="3" t="s">
        <v>144</v>
      </c>
      <c r="BU258" s="3" t="s">
        <v>144</v>
      </c>
      <c r="BV258" s="3" t="s">
        <v>144</v>
      </c>
      <c r="BW258" s="3" t="s">
        <v>144</v>
      </c>
      <c r="BX258" s="3" t="s">
        <v>144</v>
      </c>
      <c r="BY258" s="3" t="s">
        <v>144</v>
      </c>
      <c r="BZ258" s="3" t="s">
        <v>144</v>
      </c>
      <c r="CA258" s="3" t="s">
        <v>144</v>
      </c>
      <c r="CB258" s="3" t="s">
        <v>144</v>
      </c>
      <c r="CC258" s="3" t="s">
        <v>144</v>
      </c>
      <c r="CD258" s="3" t="s">
        <v>144</v>
      </c>
      <c r="CE258" s="3" t="s">
        <v>144</v>
      </c>
      <c r="CF258" s="3" t="s">
        <v>144</v>
      </c>
      <c r="CG258" s="3" t="s">
        <v>144</v>
      </c>
      <c r="CH258" s="3" t="s">
        <v>144</v>
      </c>
      <c r="CI258" s="3" t="s">
        <v>144</v>
      </c>
      <c r="CJ258" s="3" t="s">
        <v>144</v>
      </c>
      <c r="CK258" s="3" t="s">
        <v>144</v>
      </c>
      <c r="CL258" s="3" t="s">
        <v>144</v>
      </c>
      <c r="CM258" s="3" t="s">
        <v>144</v>
      </c>
      <c r="CN258" s="3" t="s">
        <v>144</v>
      </c>
      <c r="CO258" s="3" t="s">
        <v>144</v>
      </c>
      <c r="CP258" s="3" t="s">
        <v>144</v>
      </c>
      <c r="CQ258" s="3" t="s">
        <v>144</v>
      </c>
      <c r="CR258" s="3" t="s">
        <v>144</v>
      </c>
      <c r="CS258" s="3" t="s">
        <v>144</v>
      </c>
      <c r="CT258" s="3" t="s">
        <v>144</v>
      </c>
      <c r="CU258" s="3" t="s">
        <v>144</v>
      </c>
      <c r="CV258" s="3" t="s">
        <v>144</v>
      </c>
      <c r="CW258" s="3" t="s">
        <v>144</v>
      </c>
      <c r="CX258" s="3" t="s">
        <v>144</v>
      </c>
      <c r="CY258" s="3" t="s">
        <v>144</v>
      </c>
    </row>
    <row r="259" spans="1:103" x14ac:dyDescent="0.25">
      <c r="A259" t="s">
        <v>132</v>
      </c>
      <c r="B259" t="s">
        <v>4</v>
      </c>
      <c r="C259">
        <v>217.38600576904139</v>
      </c>
      <c r="D259">
        <v>31.459452071848958</v>
      </c>
      <c r="E259">
        <v>-14.36067949107019</v>
      </c>
      <c r="F259">
        <v>33.847246939132141</v>
      </c>
      <c r="G259">
        <v>45.197995006546897</v>
      </c>
      <c r="H259">
        <v>91.607371291741259</v>
      </c>
      <c r="I259">
        <v>34.054316403660252</v>
      </c>
      <c r="J259">
        <v>57.818451347095461</v>
      </c>
      <c r="K259">
        <v>67.223025588172234</v>
      </c>
      <c r="L259">
        <v>68.195733949518484</v>
      </c>
      <c r="M259">
        <v>70.050087192049872</v>
      </c>
      <c r="N259">
        <v>54.921748711767357</v>
      </c>
      <c r="O259">
        <v>65.581738870632876</v>
      </c>
      <c r="P259">
        <v>64.624378382453699</v>
      </c>
      <c r="Q259">
        <v>68.697538991904793</v>
      </c>
      <c r="R259">
        <v>72.510397065267668</v>
      </c>
      <c r="S259">
        <v>74.990483953200552</v>
      </c>
      <c r="T259">
        <v>82.422062820753098</v>
      </c>
      <c r="U259">
        <v>84.662163576060323</v>
      </c>
      <c r="V259">
        <v>88.858069584550762</v>
      </c>
      <c r="W259">
        <v>90.984560992543678</v>
      </c>
      <c r="X259">
        <v>92.812392570314685</v>
      </c>
      <c r="Y259">
        <v>94.956352634218391</v>
      </c>
      <c r="Z259">
        <v>95.87301282080432</v>
      </c>
      <c r="AA259">
        <v>97.844235290104535</v>
      </c>
      <c r="AB259">
        <v>99.404498368400681</v>
      </c>
      <c r="AC259">
        <v>101.59555612638249</v>
      </c>
      <c r="AD259">
        <v>103.99434685007911</v>
      </c>
      <c r="AE259">
        <v>106.34112084241262</v>
      </c>
      <c r="AF259">
        <v>108.89417542880292</v>
      </c>
      <c r="AG259">
        <v>111.06828178386236</v>
      </c>
      <c r="AH259">
        <v>113.1567923055144</v>
      </c>
      <c r="AI259">
        <v>114.91017630680666</v>
      </c>
      <c r="AJ259">
        <v>116.44191032383715</v>
      </c>
      <c r="AK259">
        <v>117.85708530330209</v>
      </c>
      <c r="AL259">
        <v>119.14601081569351</v>
      </c>
      <c r="AM259">
        <v>120.48213506498678</v>
      </c>
      <c r="AN259">
        <v>121.82079062183163</v>
      </c>
      <c r="AO259">
        <v>123.22333720874445</v>
      </c>
      <c r="AP259">
        <v>124.65627158432321</v>
      </c>
      <c r="AQ259">
        <v>126.079387048077</v>
      </c>
      <c r="AR259">
        <v>127.47689535414652</v>
      </c>
      <c r="AS259">
        <v>128.79355943039158</v>
      </c>
      <c r="AT259">
        <v>130.03011622957018</v>
      </c>
      <c r="AU259">
        <v>131.17096525500634</v>
      </c>
      <c r="AV259">
        <v>132.22897213252406</v>
      </c>
      <c r="AW259">
        <v>133.22364647237112</v>
      </c>
      <c r="AX259">
        <v>134.17089395094615</v>
      </c>
      <c r="AY259">
        <v>135.09491558646326</v>
      </c>
      <c r="BA259" s="1">
        <v>1</v>
      </c>
      <c r="BB259" t="str">
        <f t="shared" si="3"/>
        <v>Mt - Nordeste MT</v>
      </c>
      <c r="BC259" s="3">
        <v>254.37844157936405</v>
      </c>
      <c r="BD259" s="3">
        <v>43.840935953413563</v>
      </c>
      <c r="BE259" s="3">
        <v>-80.240927738166803</v>
      </c>
      <c r="BF259" s="3">
        <v>35.691241088050482</v>
      </c>
      <c r="BG259" s="3">
        <v>47.827610926199718</v>
      </c>
      <c r="BH259" s="3">
        <v>91.773553468889958</v>
      </c>
      <c r="BI259" s="3">
        <v>6.6415994635178492</v>
      </c>
      <c r="BJ259" s="3">
        <v>15.268066986063857</v>
      </c>
      <c r="BK259" s="3">
        <v>40.887202511745535</v>
      </c>
      <c r="BL259" s="3">
        <v>31.92384099260601</v>
      </c>
      <c r="BM259" s="3">
        <v>32.870897126500722</v>
      </c>
      <c r="BN259" s="3">
        <v>11.045281431554372</v>
      </c>
      <c r="BO259" s="3">
        <v>22.777762128214164</v>
      </c>
      <c r="BP259" s="3">
        <v>24.145564125162707</v>
      </c>
      <c r="BQ259" s="3">
        <v>22.819365015746648</v>
      </c>
      <c r="BR259" s="3">
        <v>23.980041211354603</v>
      </c>
      <c r="BS259" s="3">
        <v>20.323536315961</v>
      </c>
      <c r="BT259" s="3">
        <v>23.698936280811822</v>
      </c>
      <c r="BU259" s="3">
        <v>21.004996610651489</v>
      </c>
      <c r="BV259" s="3">
        <v>20.07531375495482</v>
      </c>
      <c r="BW259" s="3">
        <v>18.923602546059442</v>
      </c>
      <c r="BX259" s="3">
        <v>17.358389775650437</v>
      </c>
      <c r="BY259" s="3">
        <v>17.474549722884177</v>
      </c>
      <c r="BZ259" s="3">
        <v>16.122787908628595</v>
      </c>
      <c r="CA259" s="3">
        <v>15.986621742386475</v>
      </c>
      <c r="CB259" s="3">
        <v>15.436566158535925</v>
      </c>
      <c r="CC259" s="3">
        <v>15.096215649954559</v>
      </c>
      <c r="CD259" s="3">
        <v>14.989551984780135</v>
      </c>
      <c r="CE259" s="3">
        <v>14.507936040565568</v>
      </c>
      <c r="CF259" s="3">
        <v>14.310988076498575</v>
      </c>
      <c r="CG259" s="3">
        <v>13.790370892159544</v>
      </c>
      <c r="CH259" s="3">
        <v>13.32922368065492</v>
      </c>
      <c r="CI259" s="3">
        <v>12.802578885453528</v>
      </c>
      <c r="CJ259" s="3">
        <v>12.228084904453354</v>
      </c>
      <c r="CK259" s="3">
        <v>11.778938409931413</v>
      </c>
      <c r="CL259" s="3">
        <v>11.325433247497926</v>
      </c>
      <c r="CM259" s="3">
        <v>11.005999183868013</v>
      </c>
      <c r="CN259" s="3">
        <v>10.717644324294042</v>
      </c>
      <c r="CO259" s="3">
        <v>10.467586804290363</v>
      </c>
      <c r="CP259" s="3">
        <v>10.236380850688661</v>
      </c>
      <c r="CQ259" s="3">
        <v>9.9756940464902328</v>
      </c>
      <c r="CR259" s="3">
        <v>9.7134238617587414</v>
      </c>
      <c r="CS259" s="3">
        <v>9.4206112534244824</v>
      </c>
      <c r="CT259" s="3">
        <v>9.1252497868068048</v>
      </c>
      <c r="CU259" s="3">
        <v>8.8306851497646193</v>
      </c>
      <c r="CV259" s="3">
        <v>8.5449974612089648</v>
      </c>
      <c r="CW259" s="3">
        <v>8.2816791110507211</v>
      </c>
      <c r="CX259" s="3">
        <v>8.0355215193139031</v>
      </c>
      <c r="CY259" s="3">
        <v>7.8132696421754844</v>
      </c>
    </row>
    <row r="260" spans="1:103" x14ac:dyDescent="0.25">
      <c r="A260" t="s">
        <v>132</v>
      </c>
      <c r="B260" t="s">
        <v>5</v>
      </c>
      <c r="C260">
        <v>-36.992435810322675</v>
      </c>
      <c r="D260">
        <v>-12.381483881564606</v>
      </c>
      <c r="E260">
        <v>65.880248247096617</v>
      </c>
      <c r="F260">
        <v>-1.8439941489183418</v>
      </c>
      <c r="G260">
        <v>-2.6296159196528222</v>
      </c>
      <c r="H260">
        <v>-0.16618217714869873</v>
      </c>
      <c r="I260">
        <v>27.412716940142403</v>
      </c>
      <c r="J260">
        <v>42.550384361031604</v>
      </c>
      <c r="K260">
        <v>26.335823076426699</v>
      </c>
      <c r="L260">
        <v>36.271892956912474</v>
      </c>
      <c r="M260">
        <v>37.17919006554915</v>
      </c>
      <c r="N260">
        <v>43.876467280212985</v>
      </c>
      <c r="O260">
        <v>42.803976742418712</v>
      </c>
      <c r="P260">
        <v>40.478814257290992</v>
      </c>
      <c r="Q260">
        <v>45.878173976158145</v>
      </c>
      <c r="R260">
        <v>48.530355853913065</v>
      </c>
      <c r="S260">
        <v>54.666947637239552</v>
      </c>
      <c r="T260">
        <v>58.723126539941276</v>
      </c>
      <c r="U260">
        <v>63.657166965408834</v>
      </c>
      <c r="V260">
        <v>68.782755829595942</v>
      </c>
      <c r="W260">
        <v>72.060958446484236</v>
      </c>
      <c r="X260">
        <v>75.454002794664248</v>
      </c>
      <c r="Y260">
        <v>77.481802911334213</v>
      </c>
      <c r="Z260">
        <v>79.750224912175725</v>
      </c>
      <c r="AA260">
        <v>81.85761354771806</v>
      </c>
      <c r="AB260">
        <v>83.967932209864756</v>
      </c>
      <c r="AC260">
        <v>86.499340476427932</v>
      </c>
      <c r="AD260">
        <v>89.004794865298976</v>
      </c>
      <c r="AE260">
        <v>91.833184801847054</v>
      </c>
      <c r="AF260">
        <v>94.58318735230435</v>
      </c>
      <c r="AG260">
        <v>97.277910891702817</v>
      </c>
      <c r="AH260">
        <v>99.827568624859481</v>
      </c>
      <c r="AI260">
        <v>102.10759742135313</v>
      </c>
      <c r="AJ260">
        <v>104.2138254193838</v>
      </c>
      <c r="AK260">
        <v>106.07814689337067</v>
      </c>
      <c r="AL260">
        <v>107.82057756819559</v>
      </c>
      <c r="AM260">
        <v>109.47613588111876</v>
      </c>
      <c r="AN260">
        <v>111.10314629753759</v>
      </c>
      <c r="AO260">
        <v>112.75575040445409</v>
      </c>
      <c r="AP260">
        <v>114.41989073363455</v>
      </c>
      <c r="AQ260">
        <v>116.10369300158676</v>
      </c>
      <c r="AR260">
        <v>117.76347149238778</v>
      </c>
      <c r="AS260">
        <v>119.3729481769671</v>
      </c>
      <c r="AT260">
        <v>120.90486644276338</v>
      </c>
      <c r="AU260">
        <v>122.34028010524172</v>
      </c>
      <c r="AV260">
        <v>123.6839746713151</v>
      </c>
      <c r="AW260">
        <v>124.94196736132039</v>
      </c>
      <c r="AX260">
        <v>126.13537243163225</v>
      </c>
      <c r="AY260">
        <v>127.28164594428777</v>
      </c>
      <c r="BA260" s="1">
        <v>-1</v>
      </c>
      <c r="BB260" t="str">
        <f t="shared" si="3"/>
        <v>Mt - Nordeste MT</v>
      </c>
      <c r="BC260" s="3" t="s">
        <v>144</v>
      </c>
      <c r="BD260" s="3" t="s">
        <v>144</v>
      </c>
      <c r="BE260" s="3" t="s">
        <v>144</v>
      </c>
      <c r="BF260" s="3" t="s">
        <v>144</v>
      </c>
      <c r="BG260" s="3" t="s">
        <v>144</v>
      </c>
      <c r="BH260" s="3" t="s">
        <v>144</v>
      </c>
      <c r="BI260" s="3" t="s">
        <v>144</v>
      </c>
      <c r="BJ260" s="3" t="s">
        <v>144</v>
      </c>
      <c r="BK260" s="3" t="s">
        <v>144</v>
      </c>
      <c r="BL260" s="3" t="s">
        <v>144</v>
      </c>
      <c r="BM260" s="3" t="s">
        <v>144</v>
      </c>
      <c r="BN260" s="3" t="s">
        <v>144</v>
      </c>
      <c r="BO260" s="3" t="s">
        <v>144</v>
      </c>
      <c r="BP260" s="3" t="s">
        <v>144</v>
      </c>
      <c r="BQ260" s="3" t="s">
        <v>144</v>
      </c>
      <c r="BR260" s="3" t="s">
        <v>144</v>
      </c>
      <c r="BS260" s="3" t="s">
        <v>144</v>
      </c>
      <c r="BT260" s="3" t="s">
        <v>144</v>
      </c>
      <c r="BU260" s="3" t="s">
        <v>144</v>
      </c>
      <c r="BV260" s="3" t="s">
        <v>144</v>
      </c>
      <c r="BW260" s="3" t="s">
        <v>144</v>
      </c>
      <c r="BX260" s="3" t="s">
        <v>144</v>
      </c>
      <c r="BY260" s="3" t="s">
        <v>144</v>
      </c>
      <c r="BZ260" s="3" t="s">
        <v>144</v>
      </c>
      <c r="CA260" s="3" t="s">
        <v>144</v>
      </c>
      <c r="CB260" s="3" t="s">
        <v>144</v>
      </c>
      <c r="CC260" s="3" t="s">
        <v>144</v>
      </c>
      <c r="CD260" s="3" t="s">
        <v>144</v>
      </c>
      <c r="CE260" s="3" t="s">
        <v>144</v>
      </c>
      <c r="CF260" s="3" t="s">
        <v>144</v>
      </c>
      <c r="CG260" s="3" t="s">
        <v>144</v>
      </c>
      <c r="CH260" s="3" t="s">
        <v>144</v>
      </c>
      <c r="CI260" s="3" t="s">
        <v>144</v>
      </c>
      <c r="CJ260" s="3" t="s">
        <v>144</v>
      </c>
      <c r="CK260" s="3" t="s">
        <v>144</v>
      </c>
      <c r="CL260" s="3" t="s">
        <v>144</v>
      </c>
      <c r="CM260" s="3" t="s">
        <v>144</v>
      </c>
      <c r="CN260" s="3" t="s">
        <v>144</v>
      </c>
      <c r="CO260" s="3" t="s">
        <v>144</v>
      </c>
      <c r="CP260" s="3" t="s">
        <v>144</v>
      </c>
      <c r="CQ260" s="3" t="s">
        <v>144</v>
      </c>
      <c r="CR260" s="3" t="s">
        <v>144</v>
      </c>
      <c r="CS260" s="3" t="s">
        <v>144</v>
      </c>
      <c r="CT260" s="3" t="s">
        <v>144</v>
      </c>
      <c r="CU260" s="3" t="s">
        <v>144</v>
      </c>
      <c r="CV260" s="3" t="s">
        <v>144</v>
      </c>
      <c r="CW260" s="3" t="s">
        <v>144</v>
      </c>
      <c r="CX260" s="3" t="s">
        <v>144</v>
      </c>
      <c r="CY260" s="3" t="s">
        <v>144</v>
      </c>
    </row>
    <row r="261" spans="1:103" x14ac:dyDescent="0.25">
      <c r="A261" t="s">
        <v>133</v>
      </c>
      <c r="B261" t="s">
        <v>4</v>
      </c>
      <c r="C261">
        <v>127.0474289245943</v>
      </c>
      <c r="D261">
        <v>32.383357691126989</v>
      </c>
      <c r="E261">
        <v>-84.896336703554894</v>
      </c>
      <c r="F261">
        <v>-32.611691409191181</v>
      </c>
      <c r="G261">
        <v>-98.488656139052026</v>
      </c>
      <c r="H261">
        <v>-2.5059655764333679</v>
      </c>
      <c r="I261">
        <v>9.3009010492847928</v>
      </c>
      <c r="J261">
        <v>51.36465275093078</v>
      </c>
      <c r="K261">
        <v>92.414281034261933</v>
      </c>
      <c r="L261">
        <v>90.080701941623218</v>
      </c>
      <c r="M261">
        <v>105.8960967597482</v>
      </c>
      <c r="N261">
        <v>79.059923380413338</v>
      </c>
      <c r="O261">
        <v>67.708283389428146</v>
      </c>
      <c r="P261">
        <v>50.525961892408787</v>
      </c>
      <c r="Q261">
        <v>36.477706027014499</v>
      </c>
      <c r="R261">
        <v>35.518937869831134</v>
      </c>
      <c r="S261">
        <v>33.539593520707896</v>
      </c>
      <c r="T261">
        <v>44.684079082092538</v>
      </c>
      <c r="U261">
        <v>54.993643083648152</v>
      </c>
      <c r="V261">
        <v>67.252312959668274</v>
      </c>
      <c r="W261">
        <v>77.348037701482824</v>
      </c>
      <c r="X261">
        <v>81.791761637708532</v>
      </c>
      <c r="Y261">
        <v>83.779788734387466</v>
      </c>
      <c r="Z261">
        <v>80.752027988655612</v>
      </c>
      <c r="AA261">
        <v>76.870998891581223</v>
      </c>
      <c r="AB261">
        <v>72.538727649848909</v>
      </c>
      <c r="AC261">
        <v>69.480867825058894</v>
      </c>
      <c r="AD261">
        <v>68.909271499928423</v>
      </c>
      <c r="AE261">
        <v>70.062305908222669</v>
      </c>
      <c r="AF261">
        <v>73.186299855019541</v>
      </c>
      <c r="AG261">
        <v>76.870112785843219</v>
      </c>
      <c r="AH261">
        <v>80.581059170031068</v>
      </c>
      <c r="AI261">
        <v>83.604090900072578</v>
      </c>
      <c r="AJ261">
        <v>85.482211419494746</v>
      </c>
      <c r="AK261">
        <v>86.363527286421672</v>
      </c>
      <c r="AL261">
        <v>86.294929146097516</v>
      </c>
      <c r="AM261">
        <v>85.787625705474326</v>
      </c>
      <c r="AN261">
        <v>85.184510220007894</v>
      </c>
      <c r="AO261">
        <v>84.844131293984447</v>
      </c>
      <c r="AP261">
        <v>85.001305745119154</v>
      </c>
      <c r="AQ261">
        <v>85.664171267638835</v>
      </c>
      <c r="AR261">
        <v>86.778814068610274</v>
      </c>
      <c r="AS261">
        <v>88.124240601853217</v>
      </c>
      <c r="AT261">
        <v>89.493864171031291</v>
      </c>
      <c r="AU261">
        <v>90.692849059773536</v>
      </c>
      <c r="AV261">
        <v>91.597170862293112</v>
      </c>
      <c r="AW261">
        <v>92.188509312096954</v>
      </c>
      <c r="AX261">
        <v>92.510354392446899</v>
      </c>
      <c r="AY261">
        <v>92.67416634088238</v>
      </c>
      <c r="BA261" s="1">
        <v>1</v>
      </c>
      <c r="BB261" t="str">
        <f t="shared" si="3"/>
        <v>Mt - Sudoeste MT</v>
      </c>
      <c r="BC261" s="3">
        <v>298.22130016985477</v>
      </c>
      <c r="BD261" s="3">
        <v>8.9605130351837268</v>
      </c>
      <c r="BE261" s="3">
        <v>-293.67428459028821</v>
      </c>
      <c r="BF261" s="3">
        <v>-158.07400280974815</v>
      </c>
      <c r="BG261" s="3">
        <v>-274.23494730471305</v>
      </c>
      <c r="BH261" s="3">
        <v>-72.355951118989935</v>
      </c>
      <c r="BI261" s="3">
        <v>-109.88209372576068</v>
      </c>
      <c r="BJ261" s="3">
        <v>-64.27984677366959</v>
      </c>
      <c r="BK261" s="3">
        <v>-1.1541681386977132</v>
      </c>
      <c r="BL261" s="3">
        <v>-20.079037818600767</v>
      </c>
      <c r="BM261" s="3">
        <v>15.011601114132802</v>
      </c>
      <c r="BN261" s="3">
        <v>-38.261345004751504</v>
      </c>
      <c r="BO261" s="3">
        <v>-45.312028117127625</v>
      </c>
      <c r="BP261" s="3">
        <v>-65.55361631877949</v>
      </c>
      <c r="BQ261" s="3">
        <v>-83.062966710862128</v>
      </c>
      <c r="BR261" s="3">
        <v>-79.407572743430364</v>
      </c>
      <c r="BS261" s="3">
        <v>-87.053087370164548</v>
      </c>
      <c r="BT261" s="3">
        <v>-71.115905091633522</v>
      </c>
      <c r="BU261" s="3">
        <v>-61.588102947458395</v>
      </c>
      <c r="BV261" s="3">
        <v>-47.758283087132654</v>
      </c>
      <c r="BW261" s="3">
        <v>-36.309478794840473</v>
      </c>
      <c r="BX261" s="3">
        <v>-33.036000365953456</v>
      </c>
      <c r="BY261" s="3">
        <v>-30.322517623897738</v>
      </c>
      <c r="BZ261" s="3">
        <v>-35.306645235018976</v>
      </c>
      <c r="CA261" s="3">
        <v>-40.080078863497434</v>
      </c>
      <c r="CB261" s="3">
        <v>-45.829498433440691</v>
      </c>
      <c r="CC261" s="3">
        <v>-50.017802540194495</v>
      </c>
      <c r="CD261" s="3">
        <v>-50.768960700897807</v>
      </c>
      <c r="CE261" s="3">
        <v>-49.923157207217216</v>
      </c>
      <c r="CF261" s="3">
        <v>-46.350458951690726</v>
      </c>
      <c r="CG261" s="3">
        <v>-42.460602900109848</v>
      </c>
      <c r="CH261" s="3">
        <v>-38.511930830770126</v>
      </c>
      <c r="CI261" s="3">
        <v>-35.42614723463825</v>
      </c>
      <c r="CJ261" s="3">
        <v>-33.804573648182398</v>
      </c>
      <c r="CK261" s="3">
        <v>-33.218527865889641</v>
      </c>
      <c r="CL261" s="3">
        <v>-33.782681914603913</v>
      </c>
      <c r="CM261" s="3">
        <v>-34.724403910508101</v>
      </c>
      <c r="CN261" s="3">
        <v>-35.739816687015548</v>
      </c>
      <c r="CO261" s="3">
        <v>-36.411550259491122</v>
      </c>
      <c r="CP261" s="3">
        <v>-36.464092482448322</v>
      </c>
      <c r="CQ261" s="3">
        <v>-35.952313155650714</v>
      </c>
      <c r="CR261" s="3">
        <v>-34.899629150236692</v>
      </c>
      <c r="CS261" s="3">
        <v>-33.60121060243705</v>
      </c>
      <c r="CT261" s="3">
        <v>-32.274617422357025</v>
      </c>
      <c r="CU261" s="3">
        <v>-31.146479068288158</v>
      </c>
      <c r="CV261" s="3">
        <v>-30.362316661858728</v>
      </c>
      <c r="CW261" s="3">
        <v>-29.928361837283518</v>
      </c>
      <c r="CX261" s="3">
        <v>-29.801227963990982</v>
      </c>
      <c r="CY261" s="3">
        <v>-29.83991583667364</v>
      </c>
    </row>
    <row r="262" spans="1:103" x14ac:dyDescent="0.25">
      <c r="A262" t="s">
        <v>133</v>
      </c>
      <c r="B262" t="s">
        <v>5</v>
      </c>
      <c r="C262">
        <v>-171.17387124526047</v>
      </c>
      <c r="D262">
        <v>23.422844655943262</v>
      </c>
      <c r="E262">
        <v>208.7779478867333</v>
      </c>
      <c r="F262">
        <v>125.46231140055696</v>
      </c>
      <c r="G262">
        <v>175.74629116566103</v>
      </c>
      <c r="H262">
        <v>69.849985542556567</v>
      </c>
      <c r="I262">
        <v>119.18299477504547</v>
      </c>
      <c r="J262">
        <v>115.64449952460036</v>
      </c>
      <c r="K262">
        <v>93.568449172959646</v>
      </c>
      <c r="L262">
        <v>110.15973976022399</v>
      </c>
      <c r="M262">
        <v>90.884495645615402</v>
      </c>
      <c r="N262">
        <v>117.32126838516484</v>
      </c>
      <c r="O262">
        <v>113.02031150655577</v>
      </c>
      <c r="P262">
        <v>116.07957821118828</v>
      </c>
      <c r="Q262">
        <v>119.54067273787662</v>
      </c>
      <c r="R262">
        <v>114.9265106132615</v>
      </c>
      <c r="S262">
        <v>120.59268089087244</v>
      </c>
      <c r="T262">
        <v>115.79998417372606</v>
      </c>
      <c r="U262">
        <v>116.58174603110655</v>
      </c>
      <c r="V262">
        <v>115.01059604680093</v>
      </c>
      <c r="W262">
        <v>113.6575164963233</v>
      </c>
      <c r="X262">
        <v>114.82776200366199</v>
      </c>
      <c r="Y262">
        <v>114.1023063582852</v>
      </c>
      <c r="Z262">
        <v>116.05867322367459</v>
      </c>
      <c r="AA262">
        <v>116.95107775507866</v>
      </c>
      <c r="AB262">
        <v>118.3682260832896</v>
      </c>
      <c r="AC262">
        <v>119.49867036525339</v>
      </c>
      <c r="AD262">
        <v>119.67823220082623</v>
      </c>
      <c r="AE262">
        <v>119.98546311543988</v>
      </c>
      <c r="AF262">
        <v>119.53675880671027</v>
      </c>
      <c r="AG262">
        <v>119.33071568595307</v>
      </c>
      <c r="AH262">
        <v>119.09299000080119</v>
      </c>
      <c r="AI262">
        <v>119.03023813471083</v>
      </c>
      <c r="AJ262">
        <v>119.28678506767714</v>
      </c>
      <c r="AK262">
        <v>119.58205515231131</v>
      </c>
      <c r="AL262">
        <v>120.07761106070143</v>
      </c>
      <c r="AM262">
        <v>120.51202961598243</v>
      </c>
      <c r="AN262">
        <v>120.92432690702344</v>
      </c>
      <c r="AO262">
        <v>121.25568155347557</v>
      </c>
      <c r="AP262">
        <v>121.46539822756748</v>
      </c>
      <c r="AQ262">
        <v>121.61648442328955</v>
      </c>
      <c r="AR262">
        <v>121.67844321884697</v>
      </c>
      <c r="AS262">
        <v>121.72545120429027</v>
      </c>
      <c r="AT262">
        <v>121.76848159338832</v>
      </c>
      <c r="AU262">
        <v>121.83932812806169</v>
      </c>
      <c r="AV262">
        <v>121.95948752415184</v>
      </c>
      <c r="AW262">
        <v>122.11687114938047</v>
      </c>
      <c r="AX262">
        <v>122.31158235643788</v>
      </c>
      <c r="AY262">
        <v>122.51408217755602</v>
      </c>
      <c r="BA262" s="1">
        <v>-1</v>
      </c>
      <c r="BB262" t="str">
        <f t="shared" ref="BB262:BB278" si="4">A262</f>
        <v>Mt - Sudoeste MT</v>
      </c>
      <c r="BC262" s="3" t="s">
        <v>144</v>
      </c>
      <c r="BD262" s="3" t="s">
        <v>144</v>
      </c>
      <c r="BE262" s="3" t="s">
        <v>144</v>
      </c>
      <c r="BF262" s="3" t="s">
        <v>144</v>
      </c>
      <c r="BG262" s="3" t="s">
        <v>144</v>
      </c>
      <c r="BH262" s="3" t="s">
        <v>144</v>
      </c>
      <c r="BI262" s="3" t="s">
        <v>144</v>
      </c>
      <c r="BJ262" s="3" t="s">
        <v>144</v>
      </c>
      <c r="BK262" s="3" t="s">
        <v>144</v>
      </c>
      <c r="BL262" s="3" t="s">
        <v>144</v>
      </c>
      <c r="BM262" s="3" t="s">
        <v>144</v>
      </c>
      <c r="BN262" s="3" t="s">
        <v>144</v>
      </c>
      <c r="BO262" s="3" t="s">
        <v>144</v>
      </c>
      <c r="BP262" s="3" t="s">
        <v>144</v>
      </c>
      <c r="BQ262" s="3" t="s">
        <v>144</v>
      </c>
      <c r="BR262" s="3" t="s">
        <v>144</v>
      </c>
      <c r="BS262" s="3" t="s">
        <v>144</v>
      </c>
      <c r="BT262" s="3" t="s">
        <v>144</v>
      </c>
      <c r="BU262" s="3" t="s">
        <v>144</v>
      </c>
      <c r="BV262" s="3" t="s">
        <v>144</v>
      </c>
      <c r="BW262" s="3" t="s">
        <v>144</v>
      </c>
      <c r="BX262" s="3" t="s">
        <v>144</v>
      </c>
      <c r="BY262" s="3" t="s">
        <v>144</v>
      </c>
      <c r="BZ262" s="3" t="s">
        <v>144</v>
      </c>
      <c r="CA262" s="3" t="s">
        <v>144</v>
      </c>
      <c r="CB262" s="3" t="s">
        <v>144</v>
      </c>
      <c r="CC262" s="3" t="s">
        <v>144</v>
      </c>
      <c r="CD262" s="3" t="s">
        <v>144</v>
      </c>
      <c r="CE262" s="3" t="s">
        <v>144</v>
      </c>
      <c r="CF262" s="3" t="s">
        <v>144</v>
      </c>
      <c r="CG262" s="3" t="s">
        <v>144</v>
      </c>
      <c r="CH262" s="3" t="s">
        <v>144</v>
      </c>
      <c r="CI262" s="3" t="s">
        <v>144</v>
      </c>
      <c r="CJ262" s="3" t="s">
        <v>144</v>
      </c>
      <c r="CK262" s="3" t="s">
        <v>144</v>
      </c>
      <c r="CL262" s="3" t="s">
        <v>144</v>
      </c>
      <c r="CM262" s="3" t="s">
        <v>144</v>
      </c>
      <c r="CN262" s="3" t="s">
        <v>144</v>
      </c>
      <c r="CO262" s="3" t="s">
        <v>144</v>
      </c>
      <c r="CP262" s="3" t="s">
        <v>144</v>
      </c>
      <c r="CQ262" s="3" t="s">
        <v>144</v>
      </c>
      <c r="CR262" s="3" t="s">
        <v>144</v>
      </c>
      <c r="CS262" s="3" t="s">
        <v>144</v>
      </c>
      <c r="CT262" s="3" t="s">
        <v>144</v>
      </c>
      <c r="CU262" s="3" t="s">
        <v>144</v>
      </c>
      <c r="CV262" s="3" t="s">
        <v>144</v>
      </c>
      <c r="CW262" s="3" t="s">
        <v>144</v>
      </c>
      <c r="CX262" s="3" t="s">
        <v>144</v>
      </c>
      <c r="CY262" s="3" t="s">
        <v>144</v>
      </c>
    </row>
    <row r="263" spans="1:103" x14ac:dyDescent="0.25">
      <c r="A263" t="s">
        <v>134</v>
      </c>
      <c r="B263" t="s">
        <v>4</v>
      </c>
      <c r="C263">
        <v>787.69850854777349</v>
      </c>
      <c r="D263">
        <v>541.20535440129811</v>
      </c>
      <c r="E263">
        <v>448.0208980440384</v>
      </c>
      <c r="F263">
        <v>404.9367261380749</v>
      </c>
      <c r="G263">
        <v>429.54308096836331</v>
      </c>
      <c r="H263">
        <v>614.59985214679455</v>
      </c>
      <c r="I263">
        <v>563.12718021203307</v>
      </c>
      <c r="J263">
        <v>657.42423349695173</v>
      </c>
      <c r="K263">
        <v>672.04017548862646</v>
      </c>
      <c r="L263">
        <v>698.922764651546</v>
      </c>
      <c r="M263">
        <v>705.90443040637672</v>
      </c>
      <c r="N263">
        <v>656.44581473361177</v>
      </c>
      <c r="O263">
        <v>650.25234251402173</v>
      </c>
      <c r="P263">
        <v>620.69127011530793</v>
      </c>
      <c r="Q263">
        <v>623.1183064217081</v>
      </c>
      <c r="R263">
        <v>630.53047719610015</v>
      </c>
      <c r="S263">
        <v>645.45788283511934</v>
      </c>
      <c r="T263">
        <v>675.84109219270488</v>
      </c>
      <c r="U263">
        <v>697.33672650210201</v>
      </c>
      <c r="V263">
        <v>721.99875758773362</v>
      </c>
      <c r="W263">
        <v>735.03050418758528</v>
      </c>
      <c r="X263">
        <v>742.55527330905591</v>
      </c>
      <c r="Y263">
        <v>745.40035726825386</v>
      </c>
      <c r="Z263">
        <v>743.04874742308368</v>
      </c>
      <c r="AA263">
        <v>742.17050478617364</v>
      </c>
      <c r="AB263">
        <v>741.0106967766028</v>
      </c>
      <c r="AC263">
        <v>743.72208053671375</v>
      </c>
      <c r="AD263">
        <v>749.25062870827605</v>
      </c>
      <c r="AE263">
        <v>757.16994493656478</v>
      </c>
      <c r="AF263">
        <v>767.02433236678519</v>
      </c>
      <c r="AG263">
        <v>776.5811555224293</v>
      </c>
      <c r="AH263">
        <v>785.59982109101918</v>
      </c>
      <c r="AI263">
        <v>792.68445532183125</v>
      </c>
      <c r="AJ263">
        <v>797.89181108293974</v>
      </c>
      <c r="AK263">
        <v>801.43591559818708</v>
      </c>
      <c r="AL263">
        <v>803.75250753670298</v>
      </c>
      <c r="AM263">
        <v>805.77674701350759</v>
      </c>
      <c r="AN263">
        <v>807.94458036044603</v>
      </c>
      <c r="AO263">
        <v>810.82058975883035</v>
      </c>
      <c r="AP263">
        <v>814.47243416720357</v>
      </c>
      <c r="AQ263">
        <v>818.77934217835536</v>
      </c>
      <c r="AR263">
        <v>823.47234572581374</v>
      </c>
      <c r="AS263">
        <v>828.13473571677071</v>
      </c>
      <c r="AT263">
        <v>832.49139101988828</v>
      </c>
      <c r="AU263">
        <v>836.30478807160944</v>
      </c>
      <c r="AV263">
        <v>839.5301037841889</v>
      </c>
      <c r="AW263">
        <v>842.23625132343386</v>
      </c>
      <c r="AX263">
        <v>844.57218232092396</v>
      </c>
      <c r="AY263">
        <v>846.73815663788696</v>
      </c>
      <c r="BA263" s="1">
        <v>1</v>
      </c>
      <c r="BB263" t="str">
        <f t="shared" si="4"/>
        <v>Mt - Centro-Sul MT</v>
      </c>
      <c r="BC263" s="3">
        <v>453.92556366102724</v>
      </c>
      <c r="BD263" s="3">
        <v>414.70609004518826</v>
      </c>
      <c r="BE263" s="3">
        <v>-6.7876797252800429</v>
      </c>
      <c r="BF263" s="3">
        <v>250.58427801268536</v>
      </c>
      <c r="BG263" s="3">
        <v>-44.112303274890564</v>
      </c>
      <c r="BH263" s="3">
        <v>210.82357330815222</v>
      </c>
      <c r="BI263" s="3">
        <v>139.17478116040303</v>
      </c>
      <c r="BJ263" s="3">
        <v>140.50602393668908</v>
      </c>
      <c r="BK263" s="3">
        <v>215.44242279838511</v>
      </c>
      <c r="BL263" s="3">
        <v>142.22514816903902</v>
      </c>
      <c r="BM263" s="3">
        <v>199.70296839857366</v>
      </c>
      <c r="BN263" s="3">
        <v>123.19727891774016</v>
      </c>
      <c r="BO263" s="3">
        <v>114.3090432735064</v>
      </c>
      <c r="BP263" s="3">
        <v>93.926850186211368</v>
      </c>
      <c r="BQ263" s="3">
        <v>64.817198682270941</v>
      </c>
      <c r="BR263" s="3">
        <v>74.163527760411398</v>
      </c>
      <c r="BS263" s="3">
        <v>54.418361536956581</v>
      </c>
      <c r="BT263" s="3">
        <v>65.857431376605859</v>
      </c>
      <c r="BU263" s="3">
        <v>63.408912961434339</v>
      </c>
      <c r="BV263" s="3">
        <v>63.811997136745504</v>
      </c>
      <c r="BW263" s="3">
        <v>65.250307096221263</v>
      </c>
      <c r="BX263" s="3">
        <v>56.308304192873265</v>
      </c>
      <c r="BY263" s="3">
        <v>52.797892748820914</v>
      </c>
      <c r="BZ263" s="3">
        <v>41.375556497155912</v>
      </c>
      <c r="CA263" s="3">
        <v>32.663954559966328</v>
      </c>
      <c r="CB263" s="3">
        <v>23.505647309880374</v>
      </c>
      <c r="CC263" s="3">
        <v>14.915279454589268</v>
      </c>
      <c r="CD263" s="3">
        <v>9.9607433201631466</v>
      </c>
      <c r="CE263" s="3">
        <v>5.0352404737578809</v>
      </c>
      <c r="CF263" s="3">
        <v>2.8700400863614277</v>
      </c>
      <c r="CG263" s="3">
        <v>0.60459917954017328</v>
      </c>
      <c r="CH263" s="3">
        <v>-1.4908424182405042</v>
      </c>
      <c r="CI263" s="3">
        <v>-3.947216776245341</v>
      </c>
      <c r="CJ263" s="3">
        <v>-7.6109642013578878</v>
      </c>
      <c r="CK263" s="3">
        <v>-11.61190517184059</v>
      </c>
      <c r="CL263" s="3">
        <v>-16.4005931281215</v>
      </c>
      <c r="CM263" s="3">
        <v>-21.110782651467957</v>
      </c>
      <c r="CN263" s="3">
        <v>-25.612006404896988</v>
      </c>
      <c r="CO263" s="3">
        <v>-29.667428737371552</v>
      </c>
      <c r="CP263" s="3">
        <v>-33.04152821388152</v>
      </c>
      <c r="CQ263" s="3">
        <v>-35.961417746204461</v>
      </c>
      <c r="CR263" s="3">
        <v>-38.399375085331144</v>
      </c>
      <c r="CS263" s="3">
        <v>-40.648962998754769</v>
      </c>
      <c r="CT263" s="3">
        <v>-42.834836541763366</v>
      </c>
      <c r="CU263" s="3">
        <v>-45.082696947917725</v>
      </c>
      <c r="CV263" s="3">
        <v>-47.486635336900122</v>
      </c>
      <c r="CW263" s="3">
        <v>-49.999540862171671</v>
      </c>
      <c r="CX263" s="3">
        <v>-52.602851145464115</v>
      </c>
      <c r="CY263" s="3">
        <v>-55.186530718054655</v>
      </c>
    </row>
    <row r="264" spans="1:103" x14ac:dyDescent="0.25">
      <c r="A264" t="s">
        <v>134</v>
      </c>
      <c r="B264" t="s">
        <v>5</v>
      </c>
      <c r="C264">
        <v>333.77294488674625</v>
      </c>
      <c r="D264">
        <v>126.49926435610986</v>
      </c>
      <c r="E264">
        <v>454.80857776931845</v>
      </c>
      <c r="F264">
        <v>154.35244812538954</v>
      </c>
      <c r="G264">
        <v>473.65538424325388</v>
      </c>
      <c r="H264">
        <v>403.77627883864233</v>
      </c>
      <c r="I264">
        <v>423.95239905163004</v>
      </c>
      <c r="J264">
        <v>516.91820956026265</v>
      </c>
      <c r="K264">
        <v>456.59775269024135</v>
      </c>
      <c r="L264">
        <v>556.69761648250699</v>
      </c>
      <c r="M264">
        <v>506.20146200780306</v>
      </c>
      <c r="N264">
        <v>533.24853581587161</v>
      </c>
      <c r="O264">
        <v>535.94329924051533</v>
      </c>
      <c r="P264">
        <v>526.76441992909656</v>
      </c>
      <c r="Q264">
        <v>558.30110773943716</v>
      </c>
      <c r="R264">
        <v>556.36694943568875</v>
      </c>
      <c r="S264">
        <v>591.03952129816275</v>
      </c>
      <c r="T264">
        <v>609.98366081609902</v>
      </c>
      <c r="U264">
        <v>633.92781354066767</v>
      </c>
      <c r="V264">
        <v>658.18676045098812</v>
      </c>
      <c r="W264">
        <v>669.78019709136402</v>
      </c>
      <c r="X264">
        <v>686.24696911618264</v>
      </c>
      <c r="Y264">
        <v>692.60246451943294</v>
      </c>
      <c r="Z264">
        <v>701.67319092592777</v>
      </c>
      <c r="AA264">
        <v>709.50655022620731</v>
      </c>
      <c r="AB264">
        <v>717.50504946672243</v>
      </c>
      <c r="AC264">
        <v>728.80680108212448</v>
      </c>
      <c r="AD264">
        <v>739.28988538811291</v>
      </c>
      <c r="AE264">
        <v>752.13470446280689</v>
      </c>
      <c r="AF264">
        <v>764.15429228042376</v>
      </c>
      <c r="AG264">
        <v>775.97655634288913</v>
      </c>
      <c r="AH264">
        <v>787.09066350925968</v>
      </c>
      <c r="AI264">
        <v>796.63167209807659</v>
      </c>
      <c r="AJ264">
        <v>805.50277528429763</v>
      </c>
      <c r="AK264">
        <v>813.04782077002767</v>
      </c>
      <c r="AL264">
        <v>820.15310066482448</v>
      </c>
      <c r="AM264">
        <v>826.88752966497555</v>
      </c>
      <c r="AN264">
        <v>833.55658676534301</v>
      </c>
      <c r="AO264">
        <v>840.4880184962019</v>
      </c>
      <c r="AP264">
        <v>847.51396238108509</v>
      </c>
      <c r="AQ264">
        <v>854.74075992455982</v>
      </c>
      <c r="AR264">
        <v>861.87172081114488</v>
      </c>
      <c r="AS264">
        <v>868.78369871552547</v>
      </c>
      <c r="AT264">
        <v>875.32622756165165</v>
      </c>
      <c r="AU264">
        <v>881.38748501952716</v>
      </c>
      <c r="AV264">
        <v>887.01673912108902</v>
      </c>
      <c r="AW264">
        <v>892.23579218560553</v>
      </c>
      <c r="AX264">
        <v>897.17503346638807</v>
      </c>
      <c r="AY264">
        <v>901.92468735594161</v>
      </c>
      <c r="BA264" s="1">
        <v>-1</v>
      </c>
      <c r="BB264" t="str">
        <f t="shared" si="4"/>
        <v>Mt - Centro-Sul MT</v>
      </c>
      <c r="BC264" s="3" t="s">
        <v>144</v>
      </c>
      <c r="BD264" s="3" t="s">
        <v>144</v>
      </c>
      <c r="BE264" s="3" t="s">
        <v>144</v>
      </c>
      <c r="BF264" s="3" t="s">
        <v>144</v>
      </c>
      <c r="BG264" s="3" t="s">
        <v>144</v>
      </c>
      <c r="BH264" s="3" t="s">
        <v>144</v>
      </c>
      <c r="BI264" s="3" t="s">
        <v>144</v>
      </c>
      <c r="BJ264" s="3" t="s">
        <v>144</v>
      </c>
      <c r="BK264" s="3" t="s">
        <v>144</v>
      </c>
      <c r="BL264" s="3" t="s">
        <v>144</v>
      </c>
      <c r="BM264" s="3" t="s">
        <v>144</v>
      </c>
      <c r="BN264" s="3" t="s">
        <v>144</v>
      </c>
      <c r="BO264" s="3" t="s">
        <v>144</v>
      </c>
      <c r="BP264" s="3" t="s">
        <v>144</v>
      </c>
      <c r="BQ264" s="3" t="s">
        <v>144</v>
      </c>
      <c r="BR264" s="3" t="s">
        <v>144</v>
      </c>
      <c r="BS264" s="3" t="s">
        <v>144</v>
      </c>
      <c r="BT264" s="3" t="s">
        <v>144</v>
      </c>
      <c r="BU264" s="3" t="s">
        <v>144</v>
      </c>
      <c r="BV264" s="3" t="s">
        <v>144</v>
      </c>
      <c r="BW264" s="3" t="s">
        <v>144</v>
      </c>
      <c r="BX264" s="3" t="s">
        <v>144</v>
      </c>
      <c r="BY264" s="3" t="s">
        <v>144</v>
      </c>
      <c r="BZ264" s="3" t="s">
        <v>144</v>
      </c>
      <c r="CA264" s="3" t="s">
        <v>144</v>
      </c>
      <c r="CB264" s="3" t="s">
        <v>144</v>
      </c>
      <c r="CC264" s="3" t="s">
        <v>144</v>
      </c>
      <c r="CD264" s="3" t="s">
        <v>144</v>
      </c>
      <c r="CE264" s="3" t="s">
        <v>144</v>
      </c>
      <c r="CF264" s="3" t="s">
        <v>144</v>
      </c>
      <c r="CG264" s="3" t="s">
        <v>144</v>
      </c>
      <c r="CH264" s="3" t="s">
        <v>144</v>
      </c>
      <c r="CI264" s="3" t="s">
        <v>144</v>
      </c>
      <c r="CJ264" s="3" t="s">
        <v>144</v>
      </c>
      <c r="CK264" s="3" t="s">
        <v>144</v>
      </c>
      <c r="CL264" s="3" t="s">
        <v>144</v>
      </c>
      <c r="CM264" s="3" t="s">
        <v>144</v>
      </c>
      <c r="CN264" s="3" t="s">
        <v>144</v>
      </c>
      <c r="CO264" s="3" t="s">
        <v>144</v>
      </c>
      <c r="CP264" s="3" t="s">
        <v>144</v>
      </c>
      <c r="CQ264" s="3" t="s">
        <v>144</v>
      </c>
      <c r="CR264" s="3" t="s">
        <v>144</v>
      </c>
      <c r="CS264" s="3" t="s">
        <v>144</v>
      </c>
      <c r="CT264" s="3" t="s">
        <v>144</v>
      </c>
      <c r="CU264" s="3" t="s">
        <v>144</v>
      </c>
      <c r="CV264" s="3" t="s">
        <v>144</v>
      </c>
      <c r="CW264" s="3" t="s">
        <v>144</v>
      </c>
      <c r="CX264" s="3" t="s">
        <v>144</v>
      </c>
      <c r="CY264" s="3" t="s">
        <v>144</v>
      </c>
    </row>
    <row r="265" spans="1:103" x14ac:dyDescent="0.25">
      <c r="A265" t="s">
        <v>135</v>
      </c>
      <c r="B265" t="s">
        <v>4</v>
      </c>
      <c r="C265">
        <v>524.20030557834457</v>
      </c>
      <c r="D265">
        <v>48.018486546784125</v>
      </c>
      <c r="E265">
        <v>-134.01556979500398</v>
      </c>
      <c r="F265">
        <v>88.185421324000899</v>
      </c>
      <c r="G265">
        <v>110.63907685926642</v>
      </c>
      <c r="H265">
        <v>236.58493279950829</v>
      </c>
      <c r="I265">
        <v>108.80120351260668</v>
      </c>
      <c r="J265">
        <v>172.4024334527773</v>
      </c>
      <c r="K265">
        <v>217.92187567921991</v>
      </c>
      <c r="L265">
        <v>210.90848171683388</v>
      </c>
      <c r="M265">
        <v>222.57120190596771</v>
      </c>
      <c r="N265">
        <v>178.79050555734162</v>
      </c>
      <c r="O265">
        <v>197.58968615477858</v>
      </c>
      <c r="P265">
        <v>193.04099159668695</v>
      </c>
      <c r="Q265">
        <v>197.43082681975233</v>
      </c>
      <c r="R265">
        <v>207.94740575345151</v>
      </c>
      <c r="S265">
        <v>212.16522107860337</v>
      </c>
      <c r="T265">
        <v>232.94251336435426</v>
      </c>
      <c r="U265">
        <v>241.80159359092286</v>
      </c>
      <c r="V265">
        <v>253.89457705313012</v>
      </c>
      <c r="W265">
        <v>260.62654532352371</v>
      </c>
      <c r="X265">
        <v>263.95832552572807</v>
      </c>
      <c r="Y265">
        <v>268.08578708638407</v>
      </c>
      <c r="Z265">
        <v>267.98516036252983</v>
      </c>
      <c r="AA265">
        <v>270.25736691721926</v>
      </c>
      <c r="AB265">
        <v>271.98341195666961</v>
      </c>
      <c r="AC265">
        <v>275.59446891443213</v>
      </c>
      <c r="AD265">
        <v>280.6987957664237</v>
      </c>
      <c r="AE265">
        <v>285.9808788982678</v>
      </c>
      <c r="AF265">
        <v>292.2111291175874</v>
      </c>
      <c r="AG265">
        <v>297.61996184840086</v>
      </c>
      <c r="AH265">
        <v>302.7025394315063</v>
      </c>
      <c r="AI265">
        <v>306.81162505698813</v>
      </c>
      <c r="AJ265">
        <v>310.02336998885738</v>
      </c>
      <c r="AK265">
        <v>312.73956705985228</v>
      </c>
      <c r="AL265">
        <v>314.94574475648443</v>
      </c>
      <c r="AM265">
        <v>317.21011821783338</v>
      </c>
      <c r="AN265">
        <v>319.54355540240584</v>
      </c>
      <c r="AO265">
        <v>322.15835663389845</v>
      </c>
      <c r="AP265">
        <v>325.04771467589489</v>
      </c>
      <c r="AQ265">
        <v>328.07903367121406</v>
      </c>
      <c r="AR265">
        <v>331.18357175332682</v>
      </c>
      <c r="AS265">
        <v>334.15174013628706</v>
      </c>
      <c r="AT265">
        <v>336.91737135986637</v>
      </c>
      <c r="AU265">
        <v>339.40021339616129</v>
      </c>
      <c r="AV265">
        <v>341.6035151697231</v>
      </c>
      <c r="AW265">
        <v>343.58728700433636</v>
      </c>
      <c r="AX265">
        <v>345.41230642771393</v>
      </c>
      <c r="AY265">
        <v>347.17370775151153</v>
      </c>
      <c r="BA265" s="1">
        <v>1</v>
      </c>
      <c r="BB265" t="str">
        <f t="shared" si="4"/>
        <v>Mt - Sudeste MT</v>
      </c>
      <c r="BC265" s="3">
        <v>554.54355023404185</v>
      </c>
      <c r="BD265" s="3">
        <v>-8.9964511122825996</v>
      </c>
      <c r="BE265" s="3">
        <v>-385.68122685594108</v>
      </c>
      <c r="BF265" s="3">
        <v>57.41516305148032</v>
      </c>
      <c r="BG265" s="3">
        <v>89.771562200683277</v>
      </c>
      <c r="BH265" s="3">
        <v>190.64028483097138</v>
      </c>
      <c r="BI265" s="3">
        <v>-4.898205084384287</v>
      </c>
      <c r="BJ265" s="3">
        <v>15.917390300527472</v>
      </c>
      <c r="BK265" s="3">
        <v>97.852475562463567</v>
      </c>
      <c r="BL265" s="3">
        <v>54.12225308248577</v>
      </c>
      <c r="BM265" s="3">
        <v>58.488966448205559</v>
      </c>
      <c r="BN265" s="3">
        <v>-1.7416659142523088</v>
      </c>
      <c r="BO265" s="3">
        <v>19.20120607604224</v>
      </c>
      <c r="BP265" s="3">
        <v>24.903949174387265</v>
      </c>
      <c r="BQ265" s="3">
        <v>20.445825823643503</v>
      </c>
      <c r="BR265" s="3">
        <v>30.106008518806931</v>
      </c>
      <c r="BS265" s="3">
        <v>23.166401493326845</v>
      </c>
      <c r="BT265" s="3">
        <v>36.665523813486573</v>
      </c>
      <c r="BU265" s="3">
        <v>35.559536005210617</v>
      </c>
      <c r="BV265" s="3">
        <v>35.191809120309074</v>
      </c>
      <c r="BW265" s="3">
        <v>33.406891253946384</v>
      </c>
      <c r="BX265" s="3">
        <v>27.49366133650642</v>
      </c>
      <c r="BY265" s="3">
        <v>26.422672188916522</v>
      </c>
      <c r="BZ265" s="3">
        <v>21.377655108206</v>
      </c>
      <c r="CA265" s="3">
        <v>19.749488407905233</v>
      </c>
      <c r="CB265" s="3">
        <v>18.366663327987283</v>
      </c>
      <c r="CC265" s="3">
        <v>18.117547637285668</v>
      </c>
      <c r="CD265" s="3">
        <v>19.505709793585254</v>
      </c>
      <c r="CE265" s="3">
        <v>19.936784688854175</v>
      </c>
      <c r="CF265" s="3">
        <v>21.024950230450145</v>
      </c>
      <c r="CG265" s="3">
        <v>20.988339120839214</v>
      </c>
      <c r="CH265" s="3">
        <v>20.582555949490711</v>
      </c>
      <c r="CI265" s="3">
        <v>19.672904250624924</v>
      </c>
      <c r="CJ265" s="3">
        <v>18.221752505992413</v>
      </c>
      <c r="CK265" s="3">
        <v>16.955985371345832</v>
      </c>
      <c r="CL265" s="3">
        <v>15.643897380902786</v>
      </c>
      <c r="CM265" s="3">
        <v>14.77413250834968</v>
      </c>
      <c r="CN265" s="3">
        <v>14.191206388631542</v>
      </c>
      <c r="CO265" s="3">
        <v>13.892096310403019</v>
      </c>
      <c r="CP265" s="3">
        <v>13.83371763562053</v>
      </c>
      <c r="CQ265" s="3">
        <v>13.787703973645193</v>
      </c>
      <c r="CR265" s="3">
        <v>13.746696865283184</v>
      </c>
      <c r="CS265" s="3">
        <v>13.553729295365656</v>
      </c>
      <c r="CT265" s="3">
        <v>13.22307592203191</v>
      </c>
      <c r="CU265" s="3">
        <v>12.762024010904327</v>
      </c>
      <c r="CV265" s="3">
        <v>12.206056014760009</v>
      </c>
      <c r="CW265" s="3">
        <v>11.642675850961098</v>
      </c>
      <c r="CX265" s="3">
        <v>11.107585000660322</v>
      </c>
      <c r="CY265" s="3">
        <v>10.661099624860128</v>
      </c>
    </row>
    <row r="266" spans="1:103" x14ac:dyDescent="0.25">
      <c r="A266" t="s">
        <v>135</v>
      </c>
      <c r="B266" t="s">
        <v>5</v>
      </c>
      <c r="C266">
        <v>-30.343244655697262</v>
      </c>
      <c r="D266">
        <v>57.014937659066725</v>
      </c>
      <c r="E266">
        <v>251.66565706093706</v>
      </c>
      <c r="F266">
        <v>30.770258272520582</v>
      </c>
      <c r="G266">
        <v>20.867514658583143</v>
      </c>
      <c r="H266">
        <v>45.94464796853692</v>
      </c>
      <c r="I266">
        <v>113.69940859699096</v>
      </c>
      <c r="J266">
        <v>156.48504315224983</v>
      </c>
      <c r="K266">
        <v>120.06940011675634</v>
      </c>
      <c r="L266">
        <v>156.78622863434811</v>
      </c>
      <c r="M266">
        <v>164.08223545776215</v>
      </c>
      <c r="N266">
        <v>180.53217147159393</v>
      </c>
      <c r="O266">
        <v>178.38848007873634</v>
      </c>
      <c r="P266">
        <v>168.13704242229969</v>
      </c>
      <c r="Q266">
        <v>176.98500099610882</v>
      </c>
      <c r="R266">
        <v>177.84139723464457</v>
      </c>
      <c r="S266">
        <v>188.99881958527652</v>
      </c>
      <c r="T266">
        <v>196.27698955086768</v>
      </c>
      <c r="U266">
        <v>206.24205758571225</v>
      </c>
      <c r="V266">
        <v>218.70276793282105</v>
      </c>
      <c r="W266">
        <v>227.21965406957733</v>
      </c>
      <c r="X266">
        <v>236.46466418922165</v>
      </c>
      <c r="Y266">
        <v>241.66311489746755</v>
      </c>
      <c r="Z266">
        <v>246.60750525432383</v>
      </c>
      <c r="AA266">
        <v>250.50787850931403</v>
      </c>
      <c r="AB266">
        <v>253.61674862868233</v>
      </c>
      <c r="AC266">
        <v>257.47692127714646</v>
      </c>
      <c r="AD266">
        <v>261.19308597283845</v>
      </c>
      <c r="AE266">
        <v>266.04409420941363</v>
      </c>
      <c r="AF266">
        <v>271.18617888713726</v>
      </c>
      <c r="AG266">
        <v>276.63162272756165</v>
      </c>
      <c r="AH266">
        <v>282.11998348201558</v>
      </c>
      <c r="AI266">
        <v>287.13872080636321</v>
      </c>
      <c r="AJ266">
        <v>291.80161748286497</v>
      </c>
      <c r="AK266">
        <v>295.78358168850644</v>
      </c>
      <c r="AL266">
        <v>299.30184737558164</v>
      </c>
      <c r="AM266">
        <v>302.4359857094837</v>
      </c>
      <c r="AN266">
        <v>305.3523490137743</v>
      </c>
      <c r="AO266">
        <v>308.26626032349543</v>
      </c>
      <c r="AP266">
        <v>311.21399704027436</v>
      </c>
      <c r="AQ266">
        <v>314.29132969756887</v>
      </c>
      <c r="AR266">
        <v>317.43687488804363</v>
      </c>
      <c r="AS266">
        <v>320.5980108409214</v>
      </c>
      <c r="AT266">
        <v>323.69429543783446</v>
      </c>
      <c r="AU266">
        <v>326.63818938525696</v>
      </c>
      <c r="AV266">
        <v>329.39745915496309</v>
      </c>
      <c r="AW266">
        <v>331.94461115337526</v>
      </c>
      <c r="AX266">
        <v>334.30472142705361</v>
      </c>
      <c r="AY266">
        <v>336.5126081266514</v>
      </c>
      <c r="BA266" s="1">
        <v>-1</v>
      </c>
      <c r="BB266" t="str">
        <f t="shared" si="4"/>
        <v>Mt - Sudeste MT</v>
      </c>
      <c r="BC266" s="3" t="s">
        <v>144</v>
      </c>
      <c r="BD266" s="3" t="s">
        <v>144</v>
      </c>
      <c r="BE266" s="3" t="s">
        <v>144</v>
      </c>
      <c r="BF266" s="3" t="s">
        <v>144</v>
      </c>
      <c r="BG266" s="3" t="s">
        <v>144</v>
      </c>
      <c r="BH266" s="3" t="s">
        <v>144</v>
      </c>
      <c r="BI266" s="3" t="s">
        <v>144</v>
      </c>
      <c r="BJ266" s="3" t="s">
        <v>144</v>
      </c>
      <c r="BK266" s="3" t="s">
        <v>144</v>
      </c>
      <c r="BL266" s="3" t="s">
        <v>144</v>
      </c>
      <c r="BM266" s="3" t="s">
        <v>144</v>
      </c>
      <c r="BN266" s="3" t="s">
        <v>144</v>
      </c>
      <c r="BO266" s="3" t="s">
        <v>144</v>
      </c>
      <c r="BP266" s="3" t="s">
        <v>144</v>
      </c>
      <c r="BQ266" s="3" t="s">
        <v>144</v>
      </c>
      <c r="BR266" s="3" t="s">
        <v>144</v>
      </c>
      <c r="BS266" s="3" t="s">
        <v>144</v>
      </c>
      <c r="BT266" s="3" t="s">
        <v>144</v>
      </c>
      <c r="BU266" s="3" t="s">
        <v>144</v>
      </c>
      <c r="BV266" s="3" t="s">
        <v>144</v>
      </c>
      <c r="BW266" s="3" t="s">
        <v>144</v>
      </c>
      <c r="BX266" s="3" t="s">
        <v>144</v>
      </c>
      <c r="BY266" s="3" t="s">
        <v>144</v>
      </c>
      <c r="BZ266" s="3" t="s">
        <v>144</v>
      </c>
      <c r="CA266" s="3" t="s">
        <v>144</v>
      </c>
      <c r="CB266" s="3" t="s">
        <v>144</v>
      </c>
      <c r="CC266" s="3" t="s">
        <v>144</v>
      </c>
      <c r="CD266" s="3" t="s">
        <v>144</v>
      </c>
      <c r="CE266" s="3" t="s">
        <v>144</v>
      </c>
      <c r="CF266" s="3" t="s">
        <v>144</v>
      </c>
      <c r="CG266" s="3" t="s">
        <v>144</v>
      </c>
      <c r="CH266" s="3" t="s">
        <v>144</v>
      </c>
      <c r="CI266" s="3" t="s">
        <v>144</v>
      </c>
      <c r="CJ266" s="3" t="s">
        <v>144</v>
      </c>
      <c r="CK266" s="3" t="s">
        <v>144</v>
      </c>
      <c r="CL266" s="3" t="s">
        <v>144</v>
      </c>
      <c r="CM266" s="3" t="s">
        <v>144</v>
      </c>
      <c r="CN266" s="3" t="s">
        <v>144</v>
      </c>
      <c r="CO266" s="3" t="s">
        <v>144</v>
      </c>
      <c r="CP266" s="3" t="s">
        <v>144</v>
      </c>
      <c r="CQ266" s="3" t="s">
        <v>144</v>
      </c>
      <c r="CR266" s="3" t="s">
        <v>144</v>
      </c>
      <c r="CS266" s="3" t="s">
        <v>144</v>
      </c>
      <c r="CT266" s="3" t="s">
        <v>144</v>
      </c>
      <c r="CU266" s="3" t="s">
        <v>144</v>
      </c>
      <c r="CV266" s="3" t="s">
        <v>144</v>
      </c>
      <c r="CW266" s="3" t="s">
        <v>144</v>
      </c>
      <c r="CX266" s="3" t="s">
        <v>144</v>
      </c>
      <c r="CY266" s="3" t="s">
        <v>144</v>
      </c>
    </row>
    <row r="267" spans="1:103" x14ac:dyDescent="0.25">
      <c r="A267" t="s">
        <v>136</v>
      </c>
      <c r="B267" t="s">
        <v>4</v>
      </c>
      <c r="C267">
        <v>77.39166687948196</v>
      </c>
      <c r="D267">
        <v>26.731686395340159</v>
      </c>
      <c r="E267">
        <v>11.689175569494132</v>
      </c>
      <c r="F267">
        <v>10.538289462259085</v>
      </c>
      <c r="G267">
        <v>5.2240729114495101</v>
      </c>
      <c r="H267">
        <v>31.645651642231424</v>
      </c>
      <c r="I267">
        <v>23.745824261161161</v>
      </c>
      <c r="J267">
        <v>33.787955573653505</v>
      </c>
      <c r="K267">
        <v>34.505518846154601</v>
      </c>
      <c r="L267">
        <v>35.162979579746157</v>
      </c>
      <c r="M267">
        <v>38.068380239457575</v>
      </c>
      <c r="N267">
        <v>32.597448575138614</v>
      </c>
      <c r="O267">
        <v>34.12784038909043</v>
      </c>
      <c r="P267">
        <v>32.39857426109733</v>
      </c>
      <c r="Q267">
        <v>33.984999090067781</v>
      </c>
      <c r="R267">
        <v>36.126983717106114</v>
      </c>
      <c r="S267">
        <v>37.672625911442786</v>
      </c>
      <c r="T267">
        <v>41.047004155216584</v>
      </c>
      <c r="U267">
        <v>42.808311015893551</v>
      </c>
      <c r="V267">
        <v>45.163632397078487</v>
      </c>
      <c r="W267">
        <v>46.447275465408801</v>
      </c>
      <c r="X267">
        <v>47.245175337829743</v>
      </c>
      <c r="Y267">
        <v>47.93523275776284</v>
      </c>
      <c r="Z267">
        <v>48.083929376393414</v>
      </c>
      <c r="AA267">
        <v>48.575483452980649</v>
      </c>
      <c r="AB267">
        <v>48.98177989480579</v>
      </c>
      <c r="AC267">
        <v>49.731182877880258</v>
      </c>
      <c r="AD267">
        <v>50.706105218157617</v>
      </c>
      <c r="AE267">
        <v>51.784525789580741</v>
      </c>
      <c r="AF267">
        <v>53.00374855223005</v>
      </c>
      <c r="AG267">
        <v>54.096791649882583</v>
      </c>
      <c r="AH267">
        <v>55.11479124835428</v>
      </c>
      <c r="AI267">
        <v>55.940468211526422</v>
      </c>
      <c r="AJ267">
        <v>56.603995502148557</v>
      </c>
      <c r="AK267">
        <v>57.15632945915592</v>
      </c>
      <c r="AL267">
        <v>57.620831293112737</v>
      </c>
      <c r="AM267">
        <v>58.090393615469161</v>
      </c>
      <c r="AN267">
        <v>58.577000812139772</v>
      </c>
      <c r="AO267">
        <v>59.118647077091723</v>
      </c>
      <c r="AP267">
        <v>59.708242561367811</v>
      </c>
      <c r="AQ267">
        <v>60.324941314141455</v>
      </c>
      <c r="AR267">
        <v>60.949849939395641</v>
      </c>
      <c r="AS267">
        <v>61.547785630334253</v>
      </c>
      <c r="AT267">
        <v>62.105182953278529</v>
      </c>
      <c r="AU267">
        <v>62.607925249799358</v>
      </c>
      <c r="AV267">
        <v>63.057956617793415</v>
      </c>
      <c r="AW267">
        <v>63.465308491245828</v>
      </c>
      <c r="AX267">
        <v>63.842425149558466</v>
      </c>
      <c r="AY267">
        <v>64.206054542957247</v>
      </c>
      <c r="BA267" s="1">
        <v>1</v>
      </c>
      <c r="BB267" t="str">
        <f t="shared" si="4"/>
        <v>Go - Noroeste Goiano</v>
      </c>
      <c r="BC267" s="3">
        <v>52.871855794475159</v>
      </c>
      <c r="BD267" s="3">
        <v>15.458087150061033</v>
      </c>
      <c r="BE267" s="3">
        <v>-10.346379183886768</v>
      </c>
      <c r="BF267" s="3">
        <v>-6.2865867750276418</v>
      </c>
      <c r="BG267" s="3">
        <v>-15.056460234420317</v>
      </c>
      <c r="BH267" s="3">
        <v>1.279830573613399</v>
      </c>
      <c r="BI267" s="3">
        <v>-3.9710043100341679</v>
      </c>
      <c r="BJ267" s="3">
        <v>1.7078587872824684</v>
      </c>
      <c r="BK267" s="3">
        <v>5.1456606141940924</v>
      </c>
      <c r="BL267" s="3">
        <v>4.1870004936006211</v>
      </c>
      <c r="BM267" s="3">
        <v>6.4020604760091757</v>
      </c>
      <c r="BN267" s="3">
        <v>1.4451786957267316</v>
      </c>
      <c r="BO267" s="3">
        <v>0.7679822501233744</v>
      </c>
      <c r="BP267" s="3">
        <v>-1.7702130457291929</v>
      </c>
      <c r="BQ267" s="3">
        <v>-3.0892539380261965</v>
      </c>
      <c r="BR267" s="3">
        <v>-3.0873479804999633</v>
      </c>
      <c r="BS267" s="3">
        <v>-3.6989252425878334</v>
      </c>
      <c r="BT267" s="3">
        <v>-2.4629848428880265</v>
      </c>
      <c r="BU267" s="3">
        <v>-1.9788856089255731</v>
      </c>
      <c r="BV267" s="3">
        <v>-1.0298036935966763</v>
      </c>
      <c r="BW267" s="3">
        <v>-0.5048083702496271</v>
      </c>
      <c r="BX267" s="3">
        <v>-0.52217700818424362</v>
      </c>
      <c r="BY267" s="3">
        <v>-0.61461412679228999</v>
      </c>
      <c r="BZ267" s="3">
        <v>-1.2851648283842749</v>
      </c>
      <c r="CA267" s="3">
        <v>-1.8650975128707046</v>
      </c>
      <c r="CB267" s="3">
        <v>-2.5423578850048401</v>
      </c>
      <c r="CC267" s="3">
        <v>-3.037244277402074</v>
      </c>
      <c r="CD267" s="3">
        <v>-3.2758077895454178</v>
      </c>
      <c r="CE267" s="3">
        <v>-3.3683911875066244</v>
      </c>
      <c r="CF267" s="3">
        <v>-3.2375317666816841</v>
      </c>
      <c r="CG267" s="3">
        <v>-3.0872483898937304</v>
      </c>
      <c r="CH267" s="3">
        <v>-2.9225837307506808</v>
      </c>
      <c r="CI267" s="3">
        <v>-2.8399446663506893</v>
      </c>
      <c r="CJ267" s="3">
        <v>-2.8718173466955008</v>
      </c>
      <c r="CK267" s="3">
        <v>-2.9899724845353148</v>
      </c>
      <c r="CL267" s="3">
        <v>-3.196101198195521</v>
      </c>
      <c r="CM267" s="3">
        <v>-3.4212107972315167</v>
      </c>
      <c r="CN267" s="3">
        <v>-3.6421039861022422</v>
      </c>
      <c r="CO267" s="3">
        <v>-3.8204983649658786</v>
      </c>
      <c r="CP267" s="3">
        <v>-3.9403464003758941</v>
      </c>
      <c r="CQ267" s="3">
        <v>-4.0078888542474971</v>
      </c>
      <c r="CR267" s="3">
        <v>-4.0293150603974865</v>
      </c>
      <c r="CS267" s="3">
        <v>-4.0312026024811942</v>
      </c>
      <c r="CT267" s="3">
        <v>-4.0307003030490165</v>
      </c>
      <c r="CU267" s="3">
        <v>-4.0462777886711834</v>
      </c>
      <c r="CV267" s="3">
        <v>-4.0872763169595672</v>
      </c>
      <c r="CW267" s="3">
        <v>-4.1531045572302574</v>
      </c>
      <c r="CX267" s="3">
        <v>-4.2390552826473709</v>
      </c>
      <c r="CY267" s="3">
        <v>-4.3332283325079004</v>
      </c>
    </row>
    <row r="268" spans="1:103" x14ac:dyDescent="0.25">
      <c r="A268" t="s">
        <v>136</v>
      </c>
      <c r="B268" t="s">
        <v>5</v>
      </c>
      <c r="C268">
        <v>24.519811085006801</v>
      </c>
      <c r="D268">
        <v>11.273599245279126</v>
      </c>
      <c r="E268">
        <v>22.0355547533809</v>
      </c>
      <c r="F268">
        <v>16.824876237286727</v>
      </c>
      <c r="G268">
        <v>20.280533145869828</v>
      </c>
      <c r="H268">
        <v>30.365821068618025</v>
      </c>
      <c r="I268">
        <v>27.716828571195329</v>
      </c>
      <c r="J268">
        <v>32.080096786371037</v>
      </c>
      <c r="K268">
        <v>29.359858231960509</v>
      </c>
      <c r="L268">
        <v>30.975979086145536</v>
      </c>
      <c r="M268">
        <v>31.666319763448399</v>
      </c>
      <c r="N268">
        <v>31.152269879411882</v>
      </c>
      <c r="O268">
        <v>33.359858138967056</v>
      </c>
      <c r="P268">
        <v>34.168787306826523</v>
      </c>
      <c r="Q268">
        <v>37.074253028093977</v>
      </c>
      <c r="R268">
        <v>39.214331697606077</v>
      </c>
      <c r="S268">
        <v>41.37155115403062</v>
      </c>
      <c r="T268">
        <v>43.50998899810461</v>
      </c>
      <c r="U268">
        <v>44.787196624819124</v>
      </c>
      <c r="V268">
        <v>46.193436090675164</v>
      </c>
      <c r="W268">
        <v>46.952083835658428</v>
      </c>
      <c r="X268">
        <v>47.767352346013986</v>
      </c>
      <c r="Y268">
        <v>48.54984688455513</v>
      </c>
      <c r="Z268">
        <v>49.369094204777689</v>
      </c>
      <c r="AA268">
        <v>50.440580965851353</v>
      </c>
      <c r="AB268">
        <v>51.52413777981063</v>
      </c>
      <c r="AC268">
        <v>52.768427155282332</v>
      </c>
      <c r="AD268">
        <v>53.981913007703035</v>
      </c>
      <c r="AE268">
        <v>55.152916977087365</v>
      </c>
      <c r="AF268">
        <v>56.241280318911734</v>
      </c>
      <c r="AG268">
        <v>57.184040039776313</v>
      </c>
      <c r="AH268">
        <v>58.03737497910496</v>
      </c>
      <c r="AI268">
        <v>58.780412877877112</v>
      </c>
      <c r="AJ268">
        <v>59.475812848844058</v>
      </c>
      <c r="AK268">
        <v>60.146301943691235</v>
      </c>
      <c r="AL268">
        <v>60.816932491308258</v>
      </c>
      <c r="AM268">
        <v>61.511604412700677</v>
      </c>
      <c r="AN268">
        <v>62.219104798242014</v>
      </c>
      <c r="AO268">
        <v>62.939145442057601</v>
      </c>
      <c r="AP268">
        <v>63.648588961743705</v>
      </c>
      <c r="AQ268">
        <v>64.332830168388952</v>
      </c>
      <c r="AR268">
        <v>64.979164999793127</v>
      </c>
      <c r="AS268">
        <v>65.578988232815448</v>
      </c>
      <c r="AT268">
        <v>66.135883256327546</v>
      </c>
      <c r="AU268">
        <v>66.654203038470541</v>
      </c>
      <c r="AV268">
        <v>67.145232934752983</v>
      </c>
      <c r="AW268">
        <v>67.618413048476086</v>
      </c>
      <c r="AX268">
        <v>68.081480432205836</v>
      </c>
      <c r="AY268">
        <v>68.539282875465148</v>
      </c>
      <c r="BA268" s="1">
        <v>-1</v>
      </c>
      <c r="BB268" t="str">
        <f t="shared" si="4"/>
        <v>Go - Noroeste Goiano</v>
      </c>
      <c r="BC268" s="3" t="s">
        <v>144</v>
      </c>
      <c r="BD268" s="3" t="s">
        <v>144</v>
      </c>
      <c r="BE268" s="3" t="s">
        <v>144</v>
      </c>
      <c r="BF268" s="3" t="s">
        <v>144</v>
      </c>
      <c r="BG268" s="3" t="s">
        <v>144</v>
      </c>
      <c r="BH268" s="3" t="s">
        <v>144</v>
      </c>
      <c r="BI268" s="3" t="s">
        <v>144</v>
      </c>
      <c r="BJ268" s="3" t="s">
        <v>144</v>
      </c>
      <c r="BK268" s="3" t="s">
        <v>144</v>
      </c>
      <c r="BL268" s="3" t="s">
        <v>144</v>
      </c>
      <c r="BM268" s="3" t="s">
        <v>144</v>
      </c>
      <c r="BN268" s="3" t="s">
        <v>144</v>
      </c>
      <c r="BO268" s="3" t="s">
        <v>144</v>
      </c>
      <c r="BP268" s="3" t="s">
        <v>144</v>
      </c>
      <c r="BQ268" s="3" t="s">
        <v>144</v>
      </c>
      <c r="BR268" s="3" t="s">
        <v>144</v>
      </c>
      <c r="BS268" s="3" t="s">
        <v>144</v>
      </c>
      <c r="BT268" s="3" t="s">
        <v>144</v>
      </c>
      <c r="BU268" s="3" t="s">
        <v>144</v>
      </c>
      <c r="BV268" s="3" t="s">
        <v>144</v>
      </c>
      <c r="BW268" s="3" t="s">
        <v>144</v>
      </c>
      <c r="BX268" s="3" t="s">
        <v>144</v>
      </c>
      <c r="BY268" s="3" t="s">
        <v>144</v>
      </c>
      <c r="BZ268" s="3" t="s">
        <v>144</v>
      </c>
      <c r="CA268" s="3" t="s">
        <v>144</v>
      </c>
      <c r="CB268" s="3" t="s">
        <v>144</v>
      </c>
      <c r="CC268" s="3" t="s">
        <v>144</v>
      </c>
      <c r="CD268" s="3" t="s">
        <v>144</v>
      </c>
      <c r="CE268" s="3" t="s">
        <v>144</v>
      </c>
      <c r="CF268" s="3" t="s">
        <v>144</v>
      </c>
      <c r="CG268" s="3" t="s">
        <v>144</v>
      </c>
      <c r="CH268" s="3" t="s">
        <v>144</v>
      </c>
      <c r="CI268" s="3" t="s">
        <v>144</v>
      </c>
      <c r="CJ268" s="3" t="s">
        <v>144</v>
      </c>
      <c r="CK268" s="3" t="s">
        <v>144</v>
      </c>
      <c r="CL268" s="3" t="s">
        <v>144</v>
      </c>
      <c r="CM268" s="3" t="s">
        <v>144</v>
      </c>
      <c r="CN268" s="3" t="s">
        <v>144</v>
      </c>
      <c r="CO268" s="3" t="s">
        <v>144</v>
      </c>
      <c r="CP268" s="3" t="s">
        <v>144</v>
      </c>
      <c r="CQ268" s="3" t="s">
        <v>144</v>
      </c>
      <c r="CR268" s="3" t="s">
        <v>144</v>
      </c>
      <c r="CS268" s="3" t="s">
        <v>144</v>
      </c>
      <c r="CT268" s="3" t="s">
        <v>144</v>
      </c>
      <c r="CU268" s="3" t="s">
        <v>144</v>
      </c>
      <c r="CV268" s="3" t="s">
        <v>144</v>
      </c>
      <c r="CW268" s="3" t="s">
        <v>144</v>
      </c>
      <c r="CX268" s="3" t="s">
        <v>144</v>
      </c>
      <c r="CY268" s="3" t="s">
        <v>144</v>
      </c>
    </row>
    <row r="269" spans="1:103" x14ac:dyDescent="0.25">
      <c r="A269" t="s">
        <v>137</v>
      </c>
      <c r="B269" t="s">
        <v>4</v>
      </c>
      <c r="C269">
        <v>98.733135411675335</v>
      </c>
      <c r="D269">
        <v>46.112458111328266</v>
      </c>
      <c r="E269">
        <v>40.658787742720669</v>
      </c>
      <c r="F269">
        <v>25.094680360490869</v>
      </c>
      <c r="G269">
        <v>24.010540321278807</v>
      </c>
      <c r="H269">
        <v>49.779575244144503</v>
      </c>
      <c r="I269">
        <v>42.52402613908847</v>
      </c>
      <c r="J269">
        <v>58.511807358480191</v>
      </c>
      <c r="K269">
        <v>59.568069162776808</v>
      </c>
      <c r="L269">
        <v>65.412019809990198</v>
      </c>
      <c r="M269">
        <v>67.913008903377602</v>
      </c>
      <c r="N269">
        <v>62.073378228050487</v>
      </c>
      <c r="O269">
        <v>61.832764912373747</v>
      </c>
      <c r="P269">
        <v>56.882983374730451</v>
      </c>
      <c r="Q269">
        <v>56.861943807854551</v>
      </c>
      <c r="R269">
        <v>56.838705568346462</v>
      </c>
      <c r="S269">
        <v>58.013700020177673</v>
      </c>
      <c r="T269">
        <v>61.45324952007136</v>
      </c>
      <c r="U269">
        <v>63.877468230816461</v>
      </c>
      <c r="V269">
        <v>67.326761929319048</v>
      </c>
      <c r="W269">
        <v>69.260795265786783</v>
      </c>
      <c r="X269">
        <v>70.65406188444436</v>
      </c>
      <c r="Y269">
        <v>71.313569918415283</v>
      </c>
      <c r="Z269">
        <v>71.133836349067153</v>
      </c>
      <c r="AA269">
        <v>71.018814361933707</v>
      </c>
      <c r="AB269">
        <v>70.648479330412258</v>
      </c>
      <c r="AC269">
        <v>70.730213519210125</v>
      </c>
      <c r="AD269">
        <v>71.125820585874621</v>
      </c>
      <c r="AE269">
        <v>71.88540985778846</v>
      </c>
      <c r="AF269">
        <v>72.979762312913323</v>
      </c>
      <c r="AG269">
        <v>74.112500628365652</v>
      </c>
      <c r="AH269">
        <v>75.265515283464069</v>
      </c>
      <c r="AI269">
        <v>76.206732741562888</v>
      </c>
      <c r="AJ269">
        <v>76.928947909843799</v>
      </c>
      <c r="AK269">
        <v>77.420622981614386</v>
      </c>
      <c r="AL269">
        <v>77.718883177034883</v>
      </c>
      <c r="AM269">
        <v>77.940376550965894</v>
      </c>
      <c r="AN269">
        <v>78.139430386837859</v>
      </c>
      <c r="AO269">
        <v>78.407325611836569</v>
      </c>
      <c r="AP269">
        <v>78.765605668035633</v>
      </c>
      <c r="AQ269">
        <v>79.217202860043045</v>
      </c>
      <c r="AR269">
        <v>79.739083110787703</v>
      </c>
      <c r="AS269">
        <v>80.281708978486137</v>
      </c>
      <c r="AT269">
        <v>80.809092156264455</v>
      </c>
      <c r="AU269">
        <v>81.282199690335332</v>
      </c>
      <c r="AV269">
        <v>81.686698938532643</v>
      </c>
      <c r="AW269">
        <v>82.022022300060058</v>
      </c>
      <c r="AX269">
        <v>82.30114150008869</v>
      </c>
      <c r="AY269">
        <v>82.547554135334821</v>
      </c>
      <c r="BA269" s="1">
        <v>1</v>
      </c>
      <c r="BB269" t="str">
        <f t="shared" si="4"/>
        <v>Go - Norte Goiano</v>
      </c>
      <c r="BC269" s="3">
        <v>103.88283208687011</v>
      </c>
      <c r="BD269" s="3">
        <v>28.356809785099777</v>
      </c>
      <c r="BE269" s="3">
        <v>-16.022658199141858</v>
      </c>
      <c r="BF269" s="3">
        <v>-9.2325824381406605</v>
      </c>
      <c r="BG269" s="3">
        <v>-24.601919049732128</v>
      </c>
      <c r="BH269" s="3">
        <v>6.5346126015583508</v>
      </c>
      <c r="BI269" s="3">
        <v>-6.5211183678810798</v>
      </c>
      <c r="BJ269" s="3">
        <v>6.8364612563508658</v>
      </c>
      <c r="BK269" s="3">
        <v>12.66565786425793</v>
      </c>
      <c r="BL269" s="3">
        <v>11.379695570655343</v>
      </c>
      <c r="BM269" s="3">
        <v>14.83840042355105</v>
      </c>
      <c r="BN269" s="3">
        <v>4.4602306691645666</v>
      </c>
      <c r="BO269" s="3">
        <v>3.0369777457796872</v>
      </c>
      <c r="BP269" s="3">
        <v>-2.8124585503194908</v>
      </c>
      <c r="BQ269" s="3">
        <v>-5.5226680827993633</v>
      </c>
      <c r="BR269" s="3">
        <v>-6.0530796070944106</v>
      </c>
      <c r="BS269" s="3">
        <v>-7.413324677162386</v>
      </c>
      <c r="BT269" s="3">
        <v>-5.0938722722921952</v>
      </c>
      <c r="BU269" s="3">
        <v>-4.3273077385705534</v>
      </c>
      <c r="BV269" s="3">
        <v>-2.4726081146719423</v>
      </c>
      <c r="BW269" s="3">
        <v>-1.6311368826370369</v>
      </c>
      <c r="BX269" s="3">
        <v>-1.7656485869653977</v>
      </c>
      <c r="BY269" s="3">
        <v>-2.1415348472082343</v>
      </c>
      <c r="BZ269" s="3">
        <v>-3.6809218542931887</v>
      </c>
      <c r="CA269" s="3">
        <v>-5.0366002899051807</v>
      </c>
      <c r="CB269" s="3">
        <v>-6.6224378099633583</v>
      </c>
      <c r="CC269" s="3">
        <v>-7.7935869196653726</v>
      </c>
      <c r="CD269" s="3">
        <v>-8.4580468872586749</v>
      </c>
      <c r="CE269" s="3">
        <v>-8.7902841674866181</v>
      </c>
      <c r="CF269" s="3">
        <v>-8.6568563129851981</v>
      </c>
      <c r="CG269" s="3">
        <v>-8.4727107878465802</v>
      </c>
      <c r="CH269" s="3">
        <v>-8.2441104312778748</v>
      </c>
      <c r="CI269" s="3">
        <v>-8.1878893858402364</v>
      </c>
      <c r="CJ269" s="3">
        <v>-8.358931443052299</v>
      </c>
      <c r="CK269" s="3">
        <v>-8.7116712800087015</v>
      </c>
      <c r="CL269" s="3">
        <v>-9.2434658704233215</v>
      </c>
      <c r="CM269" s="3">
        <v>-9.8128719489261584</v>
      </c>
      <c r="CN269" s="3">
        <v>-10.372686732926468</v>
      </c>
      <c r="CO269" s="3">
        <v>-10.839540023526581</v>
      </c>
      <c r="CP269" s="3">
        <v>-11.182874287633723</v>
      </c>
      <c r="CQ269" s="3">
        <v>-11.412552091464036</v>
      </c>
      <c r="CR269" s="3">
        <v>-11.5427344822007</v>
      </c>
      <c r="CS269" s="3">
        <v>-11.628231500588058</v>
      </c>
      <c r="CT269" s="3">
        <v>-11.704578308179734</v>
      </c>
      <c r="CU269" s="3">
        <v>-11.811319272479324</v>
      </c>
      <c r="CV269" s="3">
        <v>-11.967621755437705</v>
      </c>
      <c r="CW269" s="3">
        <v>-12.173375102849988</v>
      </c>
      <c r="CX269" s="3">
        <v>-12.418837103331313</v>
      </c>
      <c r="CY269" s="3">
        <v>-12.679564953383149</v>
      </c>
    </row>
    <row r="270" spans="1:103" x14ac:dyDescent="0.25">
      <c r="A270" t="s">
        <v>137</v>
      </c>
      <c r="B270" t="s">
        <v>5</v>
      </c>
      <c r="C270">
        <v>-5.1496966751947788</v>
      </c>
      <c r="D270">
        <v>17.755648326228489</v>
      </c>
      <c r="E270">
        <v>56.681445941862528</v>
      </c>
      <c r="F270">
        <v>34.32726279863153</v>
      </c>
      <c r="G270">
        <v>48.612459371010935</v>
      </c>
      <c r="H270">
        <v>43.244962642586152</v>
      </c>
      <c r="I270">
        <v>49.04514450696955</v>
      </c>
      <c r="J270">
        <v>51.675346102129325</v>
      </c>
      <c r="K270">
        <v>46.902411298518878</v>
      </c>
      <c r="L270">
        <v>54.032324239334855</v>
      </c>
      <c r="M270">
        <v>53.074608479826551</v>
      </c>
      <c r="N270">
        <v>57.61314755888592</v>
      </c>
      <c r="O270">
        <v>58.79578716659406</v>
      </c>
      <c r="P270">
        <v>59.695441925049941</v>
      </c>
      <c r="Q270">
        <v>62.384611890653915</v>
      </c>
      <c r="R270">
        <v>62.891785175440873</v>
      </c>
      <c r="S270">
        <v>65.427024697340059</v>
      </c>
      <c r="T270">
        <v>66.547121792363555</v>
      </c>
      <c r="U270">
        <v>68.204775969387015</v>
      </c>
      <c r="V270">
        <v>69.79937004399099</v>
      </c>
      <c r="W270">
        <v>70.89193214842382</v>
      </c>
      <c r="X270">
        <v>72.419710471409758</v>
      </c>
      <c r="Y270">
        <v>73.455104765623517</v>
      </c>
      <c r="Z270">
        <v>74.814758203360341</v>
      </c>
      <c r="AA270">
        <v>76.055414651838888</v>
      </c>
      <c r="AB270">
        <v>77.270917140375616</v>
      </c>
      <c r="AC270">
        <v>78.523800438875497</v>
      </c>
      <c r="AD270">
        <v>79.583867473133296</v>
      </c>
      <c r="AE270">
        <v>80.675694025275078</v>
      </c>
      <c r="AF270">
        <v>81.636618625898521</v>
      </c>
      <c r="AG270">
        <v>82.585211416212232</v>
      </c>
      <c r="AH270">
        <v>83.509625714741944</v>
      </c>
      <c r="AI270">
        <v>84.394622127403125</v>
      </c>
      <c r="AJ270">
        <v>85.287879352896098</v>
      </c>
      <c r="AK270">
        <v>86.132294261623088</v>
      </c>
      <c r="AL270">
        <v>86.962349047458204</v>
      </c>
      <c r="AM270">
        <v>87.753248499892052</v>
      </c>
      <c r="AN270">
        <v>88.512117119764326</v>
      </c>
      <c r="AO270">
        <v>89.24686563536315</v>
      </c>
      <c r="AP270">
        <v>89.948479955669356</v>
      </c>
      <c r="AQ270">
        <v>90.629754951507081</v>
      </c>
      <c r="AR270">
        <v>91.281817592988403</v>
      </c>
      <c r="AS270">
        <v>91.909940479074194</v>
      </c>
      <c r="AT270">
        <v>92.513670464444189</v>
      </c>
      <c r="AU270">
        <v>93.093518962814656</v>
      </c>
      <c r="AV270">
        <v>93.654320693970348</v>
      </c>
      <c r="AW270">
        <v>94.195397402910046</v>
      </c>
      <c r="AX270">
        <v>94.719978603420003</v>
      </c>
      <c r="AY270">
        <v>95.22711908871797</v>
      </c>
      <c r="BA270" s="1">
        <v>-1</v>
      </c>
      <c r="BB270" t="str">
        <f t="shared" si="4"/>
        <v>Go - Norte Goiano</v>
      </c>
      <c r="BC270" s="3" t="s">
        <v>144</v>
      </c>
      <c r="BD270" s="3" t="s">
        <v>144</v>
      </c>
      <c r="BE270" s="3" t="s">
        <v>144</v>
      </c>
      <c r="BF270" s="3" t="s">
        <v>144</v>
      </c>
      <c r="BG270" s="3" t="s">
        <v>144</v>
      </c>
      <c r="BH270" s="3" t="s">
        <v>144</v>
      </c>
      <c r="BI270" s="3" t="s">
        <v>144</v>
      </c>
      <c r="BJ270" s="3" t="s">
        <v>144</v>
      </c>
      <c r="BK270" s="3" t="s">
        <v>144</v>
      </c>
      <c r="BL270" s="3" t="s">
        <v>144</v>
      </c>
      <c r="BM270" s="3" t="s">
        <v>144</v>
      </c>
      <c r="BN270" s="3" t="s">
        <v>144</v>
      </c>
      <c r="BO270" s="3" t="s">
        <v>144</v>
      </c>
      <c r="BP270" s="3" t="s">
        <v>144</v>
      </c>
      <c r="BQ270" s="3" t="s">
        <v>144</v>
      </c>
      <c r="BR270" s="3" t="s">
        <v>144</v>
      </c>
      <c r="BS270" s="3" t="s">
        <v>144</v>
      </c>
      <c r="BT270" s="3" t="s">
        <v>144</v>
      </c>
      <c r="BU270" s="3" t="s">
        <v>144</v>
      </c>
      <c r="BV270" s="3" t="s">
        <v>144</v>
      </c>
      <c r="BW270" s="3" t="s">
        <v>144</v>
      </c>
      <c r="BX270" s="3" t="s">
        <v>144</v>
      </c>
      <c r="BY270" s="3" t="s">
        <v>144</v>
      </c>
      <c r="BZ270" s="3" t="s">
        <v>144</v>
      </c>
      <c r="CA270" s="3" t="s">
        <v>144</v>
      </c>
      <c r="CB270" s="3" t="s">
        <v>144</v>
      </c>
      <c r="CC270" s="3" t="s">
        <v>144</v>
      </c>
      <c r="CD270" s="3" t="s">
        <v>144</v>
      </c>
      <c r="CE270" s="3" t="s">
        <v>144</v>
      </c>
      <c r="CF270" s="3" t="s">
        <v>144</v>
      </c>
      <c r="CG270" s="3" t="s">
        <v>144</v>
      </c>
      <c r="CH270" s="3" t="s">
        <v>144</v>
      </c>
      <c r="CI270" s="3" t="s">
        <v>144</v>
      </c>
      <c r="CJ270" s="3" t="s">
        <v>144</v>
      </c>
      <c r="CK270" s="3" t="s">
        <v>144</v>
      </c>
      <c r="CL270" s="3" t="s">
        <v>144</v>
      </c>
      <c r="CM270" s="3" t="s">
        <v>144</v>
      </c>
      <c r="CN270" s="3" t="s">
        <v>144</v>
      </c>
      <c r="CO270" s="3" t="s">
        <v>144</v>
      </c>
      <c r="CP270" s="3" t="s">
        <v>144</v>
      </c>
      <c r="CQ270" s="3" t="s">
        <v>144</v>
      </c>
      <c r="CR270" s="3" t="s">
        <v>144</v>
      </c>
      <c r="CS270" s="3" t="s">
        <v>144</v>
      </c>
      <c r="CT270" s="3" t="s">
        <v>144</v>
      </c>
      <c r="CU270" s="3" t="s">
        <v>144</v>
      </c>
      <c r="CV270" s="3" t="s">
        <v>144</v>
      </c>
      <c r="CW270" s="3" t="s">
        <v>144</v>
      </c>
      <c r="CX270" s="3" t="s">
        <v>144</v>
      </c>
      <c r="CY270" s="3" t="s">
        <v>144</v>
      </c>
    </row>
    <row r="271" spans="1:103" x14ac:dyDescent="0.25">
      <c r="A271" t="s">
        <v>138</v>
      </c>
      <c r="B271" t="s">
        <v>4</v>
      </c>
      <c r="C271">
        <v>2404.7655351086187</v>
      </c>
      <c r="D271">
        <v>1683.4033665044014</v>
      </c>
      <c r="E271">
        <v>1255.34368560907</v>
      </c>
      <c r="F271">
        <v>1409.9424221407876</v>
      </c>
      <c r="G271">
        <v>899.17470408354006</v>
      </c>
      <c r="H271">
        <v>1923.0201459076904</v>
      </c>
      <c r="I271">
        <v>1812.9200726551264</v>
      </c>
      <c r="J271">
        <v>2147.1509491843526</v>
      </c>
      <c r="K271">
        <v>2273.5683297202158</v>
      </c>
      <c r="L271">
        <v>2271.842669353704</v>
      </c>
      <c r="M271">
        <v>2440.8788627348827</v>
      </c>
      <c r="N271">
        <v>2231.8502296250408</v>
      </c>
      <c r="O271">
        <v>2227.4802206650784</v>
      </c>
      <c r="P271">
        <v>2120.9000554523914</v>
      </c>
      <c r="Q271">
        <v>2102.6877028026988</v>
      </c>
      <c r="R271">
        <v>2152.7748538466567</v>
      </c>
      <c r="S271">
        <v>2177.3923463851679</v>
      </c>
      <c r="T271">
        <v>2290.9631671284665</v>
      </c>
      <c r="U271">
        <v>2359.1235003294773</v>
      </c>
      <c r="V271">
        <v>2446.4644994093551</v>
      </c>
      <c r="W271">
        <v>2502.1026839845599</v>
      </c>
      <c r="X271">
        <v>2526.583228383904</v>
      </c>
      <c r="Y271">
        <v>2544.3671032826624</v>
      </c>
      <c r="Z271">
        <v>2534.4508761049706</v>
      </c>
      <c r="AA271">
        <v>2532.2294236006583</v>
      </c>
      <c r="AB271">
        <v>2526.7239799794324</v>
      </c>
      <c r="AC271">
        <v>2532.121553682719</v>
      </c>
      <c r="AD271">
        <v>2549.8818015161969</v>
      </c>
      <c r="AE271">
        <v>2574.0970999354677</v>
      </c>
      <c r="AF271">
        <v>2607.7940100869973</v>
      </c>
      <c r="AG271">
        <v>2640.3498324448892</v>
      </c>
      <c r="AH271">
        <v>2671.8308259224873</v>
      </c>
      <c r="AI271">
        <v>2697.3405074252923</v>
      </c>
      <c r="AJ271">
        <v>2715.804327193498</v>
      </c>
      <c r="AK271">
        <v>2728.8584097897697</v>
      </c>
      <c r="AL271">
        <v>2736.8453462463831</v>
      </c>
      <c r="AM271">
        <v>2743.6052231807585</v>
      </c>
      <c r="AN271">
        <v>2750.4765604283984</v>
      </c>
      <c r="AO271">
        <v>2759.5050050531272</v>
      </c>
      <c r="AP271">
        <v>2771.3152789883211</v>
      </c>
      <c r="AQ271">
        <v>2785.3758240732723</v>
      </c>
      <c r="AR271">
        <v>2801.0879261017676</v>
      </c>
      <c r="AS271">
        <v>2816.8988097869042</v>
      </c>
      <c r="AT271">
        <v>2831.8750033462384</v>
      </c>
      <c r="AU271">
        <v>2845.1233665030754</v>
      </c>
      <c r="AV271">
        <v>2856.3378235599216</v>
      </c>
      <c r="AW271">
        <v>2865.731910594222</v>
      </c>
      <c r="AX271">
        <v>2873.7160102911921</v>
      </c>
      <c r="AY271">
        <v>2881.0026442053113</v>
      </c>
      <c r="BA271" s="1">
        <v>1</v>
      </c>
      <c r="BB271" t="str">
        <f t="shared" si="4"/>
        <v>Go - Centro Goiano</v>
      </c>
      <c r="BC271" s="3">
        <v>2271.4711137421496</v>
      </c>
      <c r="BD271" s="3">
        <v>762.98741390891098</v>
      </c>
      <c r="BE271" s="3">
        <v>-463.80130803211205</v>
      </c>
      <c r="BF271" s="3">
        <v>295.02162149507581</v>
      </c>
      <c r="BG271" s="3">
        <v>-671.68111882195808</v>
      </c>
      <c r="BH271" s="3">
        <v>462.54657788070153</v>
      </c>
      <c r="BI271" s="3">
        <v>104.61092005558839</v>
      </c>
      <c r="BJ271" s="3">
        <v>356.51253593856995</v>
      </c>
      <c r="BK271" s="3">
        <v>548.38131156017698</v>
      </c>
      <c r="BL271" s="3">
        <v>349.13857051761556</v>
      </c>
      <c r="BM271" s="3">
        <v>546.64458726441376</v>
      </c>
      <c r="BN271" s="3">
        <v>223.36364160608946</v>
      </c>
      <c r="BO271" s="3">
        <v>214.87749907605621</v>
      </c>
      <c r="BP271" s="3">
        <v>92.671340261262685</v>
      </c>
      <c r="BQ271" s="3">
        <v>20.152756374447563</v>
      </c>
      <c r="BR271" s="3">
        <v>61.156970086123238</v>
      </c>
      <c r="BS271" s="3">
        <v>19.026819539782991</v>
      </c>
      <c r="BT271" s="3">
        <v>100.44593123961022</v>
      </c>
      <c r="BU271" s="3">
        <v>115.13082034536546</v>
      </c>
      <c r="BV271" s="3">
        <v>154.16263985534397</v>
      </c>
      <c r="BW271" s="3">
        <v>173.7780789027579</v>
      </c>
      <c r="BX271" s="3">
        <v>155.85316002309173</v>
      </c>
      <c r="BY271" s="3">
        <v>147.82675688104337</v>
      </c>
      <c r="BZ271" s="3">
        <v>106.25043956969739</v>
      </c>
      <c r="CA271" s="3">
        <v>78.212995311460872</v>
      </c>
      <c r="CB271" s="3">
        <v>46.701560398922993</v>
      </c>
      <c r="CC271" s="3">
        <v>24.370711064808802</v>
      </c>
      <c r="CD271" s="3">
        <v>16.939913449611595</v>
      </c>
      <c r="CE271" s="3">
        <v>12.973714648721398</v>
      </c>
      <c r="CF271" s="3">
        <v>20.417483516186621</v>
      </c>
      <c r="CG271" s="3">
        <v>26.045137365551909</v>
      </c>
      <c r="CH271" s="3">
        <v>31.502878378308196</v>
      </c>
      <c r="CI271" s="3">
        <v>32.561550010396786</v>
      </c>
      <c r="CJ271" s="3">
        <v>27.420652539869934</v>
      </c>
      <c r="CK271" s="3">
        <v>19.112313202596397</v>
      </c>
      <c r="CL271" s="3">
        <v>6.8049393363467061</v>
      </c>
      <c r="CM271" s="3">
        <v>-5.2969656854356799</v>
      </c>
      <c r="CN271" s="3">
        <v>-16.512759248619204</v>
      </c>
      <c r="CO271" s="3">
        <v>-25.221814048589295</v>
      </c>
      <c r="CP271" s="3">
        <v>-30.786997958488882</v>
      </c>
      <c r="CQ271" s="3">
        <v>-34.089134692874268</v>
      </c>
      <c r="CR271" s="3">
        <v>-35.397988069813437</v>
      </c>
      <c r="CS271" s="3">
        <v>-36.249368998170667</v>
      </c>
      <c r="CT271" s="3">
        <v>-37.340480670594843</v>
      </c>
      <c r="CU271" s="3">
        <v>-39.41938478093698</v>
      </c>
      <c r="CV271" s="3">
        <v>-42.795768854597554</v>
      </c>
      <c r="CW271" s="3">
        <v>-47.213566616459957</v>
      </c>
      <c r="CX271" s="3">
        <v>-52.39526775696595</v>
      </c>
      <c r="CY271" s="3">
        <v>-57.6963207068261</v>
      </c>
    </row>
    <row r="272" spans="1:103" x14ac:dyDescent="0.25">
      <c r="A272" t="s">
        <v>138</v>
      </c>
      <c r="B272" t="s">
        <v>5</v>
      </c>
      <c r="C272">
        <v>133.29442136646912</v>
      </c>
      <c r="D272">
        <v>920.41595259549047</v>
      </c>
      <c r="E272">
        <v>1719.1449936411821</v>
      </c>
      <c r="F272">
        <v>1114.9208006457118</v>
      </c>
      <c r="G272">
        <v>1570.8558229054981</v>
      </c>
      <c r="H272">
        <v>1460.4735680269889</v>
      </c>
      <c r="I272">
        <v>1708.309152599538</v>
      </c>
      <c r="J272">
        <v>1790.6384132457827</v>
      </c>
      <c r="K272">
        <v>1725.1870181600389</v>
      </c>
      <c r="L272">
        <v>1922.7040988360884</v>
      </c>
      <c r="M272">
        <v>1894.2342754704689</v>
      </c>
      <c r="N272">
        <v>2008.4865880189514</v>
      </c>
      <c r="O272">
        <v>2012.6027215890222</v>
      </c>
      <c r="P272">
        <v>2028.2287151911287</v>
      </c>
      <c r="Q272">
        <v>2082.5349464282513</v>
      </c>
      <c r="R272">
        <v>2091.6178837605335</v>
      </c>
      <c r="S272">
        <v>2158.3655268453849</v>
      </c>
      <c r="T272">
        <v>2190.5172358888562</v>
      </c>
      <c r="U272">
        <v>2243.9926799841119</v>
      </c>
      <c r="V272">
        <v>2292.3018595540111</v>
      </c>
      <c r="W272">
        <v>2328.324605081802</v>
      </c>
      <c r="X272">
        <v>2370.7300683608123</v>
      </c>
      <c r="Y272">
        <v>2396.540346401619</v>
      </c>
      <c r="Z272">
        <v>2428.2004365352732</v>
      </c>
      <c r="AA272">
        <v>2454.0164282891974</v>
      </c>
      <c r="AB272">
        <v>2480.0224195805094</v>
      </c>
      <c r="AC272">
        <v>2507.7508426179102</v>
      </c>
      <c r="AD272">
        <v>2532.9418880665853</v>
      </c>
      <c r="AE272">
        <v>2561.1233852867463</v>
      </c>
      <c r="AF272">
        <v>2587.3765265708107</v>
      </c>
      <c r="AG272">
        <v>2614.3046950793373</v>
      </c>
      <c r="AH272">
        <v>2640.3279475441791</v>
      </c>
      <c r="AI272">
        <v>2664.7789574148956</v>
      </c>
      <c r="AJ272">
        <v>2688.3836746536281</v>
      </c>
      <c r="AK272">
        <v>2709.7460965871733</v>
      </c>
      <c r="AL272">
        <v>2730.0404069100364</v>
      </c>
      <c r="AM272">
        <v>2748.9021888661941</v>
      </c>
      <c r="AN272">
        <v>2766.9893196770176</v>
      </c>
      <c r="AO272">
        <v>2784.7268191017165</v>
      </c>
      <c r="AP272">
        <v>2802.10227694681</v>
      </c>
      <c r="AQ272">
        <v>2819.4649587661465</v>
      </c>
      <c r="AR272">
        <v>2836.485914171581</v>
      </c>
      <c r="AS272">
        <v>2853.1481787850748</v>
      </c>
      <c r="AT272">
        <v>2869.2154840168332</v>
      </c>
      <c r="AU272">
        <v>2884.5427512840124</v>
      </c>
      <c r="AV272">
        <v>2899.1335924145192</v>
      </c>
      <c r="AW272">
        <v>2912.9454772106819</v>
      </c>
      <c r="AX272">
        <v>2926.1112780481581</v>
      </c>
      <c r="AY272">
        <v>2938.6989649121374</v>
      </c>
      <c r="BA272" s="1">
        <v>-1</v>
      </c>
      <c r="BB272" t="str">
        <f t="shared" si="4"/>
        <v>Go - Centro Goiano</v>
      </c>
      <c r="BC272" s="3" t="s">
        <v>144</v>
      </c>
      <c r="BD272" s="3" t="s">
        <v>144</v>
      </c>
      <c r="BE272" s="3" t="s">
        <v>144</v>
      </c>
      <c r="BF272" s="3" t="s">
        <v>144</v>
      </c>
      <c r="BG272" s="3" t="s">
        <v>144</v>
      </c>
      <c r="BH272" s="3" t="s">
        <v>144</v>
      </c>
      <c r="BI272" s="3" t="s">
        <v>144</v>
      </c>
      <c r="BJ272" s="3" t="s">
        <v>144</v>
      </c>
      <c r="BK272" s="3" t="s">
        <v>144</v>
      </c>
      <c r="BL272" s="3" t="s">
        <v>144</v>
      </c>
      <c r="BM272" s="3" t="s">
        <v>144</v>
      </c>
      <c r="BN272" s="3" t="s">
        <v>144</v>
      </c>
      <c r="BO272" s="3" t="s">
        <v>144</v>
      </c>
      <c r="BP272" s="3" t="s">
        <v>144</v>
      </c>
      <c r="BQ272" s="3" t="s">
        <v>144</v>
      </c>
      <c r="BR272" s="3" t="s">
        <v>144</v>
      </c>
      <c r="BS272" s="3" t="s">
        <v>144</v>
      </c>
      <c r="BT272" s="3" t="s">
        <v>144</v>
      </c>
      <c r="BU272" s="3" t="s">
        <v>144</v>
      </c>
      <c r="BV272" s="3" t="s">
        <v>144</v>
      </c>
      <c r="BW272" s="3" t="s">
        <v>144</v>
      </c>
      <c r="BX272" s="3" t="s">
        <v>144</v>
      </c>
      <c r="BY272" s="3" t="s">
        <v>144</v>
      </c>
      <c r="BZ272" s="3" t="s">
        <v>144</v>
      </c>
      <c r="CA272" s="3" t="s">
        <v>144</v>
      </c>
      <c r="CB272" s="3" t="s">
        <v>144</v>
      </c>
      <c r="CC272" s="3" t="s">
        <v>144</v>
      </c>
      <c r="CD272" s="3" t="s">
        <v>144</v>
      </c>
      <c r="CE272" s="3" t="s">
        <v>144</v>
      </c>
      <c r="CF272" s="3" t="s">
        <v>144</v>
      </c>
      <c r="CG272" s="3" t="s">
        <v>144</v>
      </c>
      <c r="CH272" s="3" t="s">
        <v>144</v>
      </c>
      <c r="CI272" s="3" t="s">
        <v>144</v>
      </c>
      <c r="CJ272" s="3" t="s">
        <v>144</v>
      </c>
      <c r="CK272" s="3" t="s">
        <v>144</v>
      </c>
      <c r="CL272" s="3" t="s">
        <v>144</v>
      </c>
      <c r="CM272" s="3" t="s">
        <v>144</v>
      </c>
      <c r="CN272" s="3" t="s">
        <v>144</v>
      </c>
      <c r="CO272" s="3" t="s">
        <v>144</v>
      </c>
      <c r="CP272" s="3" t="s">
        <v>144</v>
      </c>
      <c r="CQ272" s="3" t="s">
        <v>144</v>
      </c>
      <c r="CR272" s="3" t="s">
        <v>144</v>
      </c>
      <c r="CS272" s="3" t="s">
        <v>144</v>
      </c>
      <c r="CT272" s="3" t="s">
        <v>144</v>
      </c>
      <c r="CU272" s="3" t="s">
        <v>144</v>
      </c>
      <c r="CV272" s="3" t="s">
        <v>144</v>
      </c>
      <c r="CW272" s="3" t="s">
        <v>144</v>
      </c>
      <c r="CX272" s="3" t="s">
        <v>144</v>
      </c>
      <c r="CY272" s="3" t="s">
        <v>144</v>
      </c>
    </row>
    <row r="273" spans="1:103" x14ac:dyDescent="0.25">
      <c r="A273" t="s">
        <v>139</v>
      </c>
      <c r="B273" t="s">
        <v>4</v>
      </c>
      <c r="C273">
        <v>311.87595160619929</v>
      </c>
      <c r="D273">
        <v>93.560498438653681</v>
      </c>
      <c r="E273">
        <v>102.64104904605882</v>
      </c>
      <c r="F273">
        <v>12.998794943737673</v>
      </c>
      <c r="G273">
        <v>-16.637195743972239</v>
      </c>
      <c r="H273">
        <v>125.34418037501943</v>
      </c>
      <c r="I273">
        <v>78.69592709113121</v>
      </c>
      <c r="J273">
        <v>156.88712535080248</v>
      </c>
      <c r="K273">
        <v>157.68504971230993</v>
      </c>
      <c r="L273">
        <v>187.67425850354292</v>
      </c>
      <c r="M273">
        <v>212.50894776292699</v>
      </c>
      <c r="N273">
        <v>192.09345328420363</v>
      </c>
      <c r="O273">
        <v>205.78361492344453</v>
      </c>
      <c r="P273">
        <v>191.00588957061984</v>
      </c>
      <c r="Q273">
        <v>198.73114892047636</v>
      </c>
      <c r="R273">
        <v>202.88901352330132</v>
      </c>
      <c r="S273">
        <v>208.30566753703923</v>
      </c>
      <c r="T273">
        <v>224.57529957590546</v>
      </c>
      <c r="U273">
        <v>234.28454390933743</v>
      </c>
      <c r="V273">
        <v>250.95171619479359</v>
      </c>
      <c r="W273">
        <v>261.485946656328</v>
      </c>
      <c r="X273">
        <v>270.90315324796859</v>
      </c>
      <c r="Y273">
        <v>278.20093185848759</v>
      </c>
      <c r="Z273">
        <v>281.57106797845699</v>
      </c>
      <c r="AA273">
        <v>285.51930964676581</v>
      </c>
      <c r="AB273">
        <v>287.49684799427291</v>
      </c>
      <c r="AC273">
        <v>290.99008948873171</v>
      </c>
      <c r="AD273">
        <v>295.21748849639027</v>
      </c>
      <c r="AE273">
        <v>300.45812887067416</v>
      </c>
      <c r="AF273">
        <v>306.95540448738905</v>
      </c>
      <c r="AG273">
        <v>313.38016707460531</v>
      </c>
      <c r="AH273">
        <v>320.02540694545763</v>
      </c>
      <c r="AI273">
        <v>325.88452684661803</v>
      </c>
      <c r="AJ273">
        <v>331.01767617692224</v>
      </c>
      <c r="AK273">
        <v>335.35479050800467</v>
      </c>
      <c r="AL273">
        <v>338.91642916018338</v>
      </c>
      <c r="AM273">
        <v>342.14011333003725</v>
      </c>
      <c r="AN273">
        <v>345.10468992762918</v>
      </c>
      <c r="AO273">
        <v>348.16211501079306</v>
      </c>
      <c r="AP273">
        <v>351.37838157752361</v>
      </c>
      <c r="AQ273">
        <v>354.79541110785658</v>
      </c>
      <c r="AR273">
        <v>358.38783602795814</v>
      </c>
      <c r="AS273">
        <v>362.00024834993218</v>
      </c>
      <c r="AT273">
        <v>365.54563300924747</v>
      </c>
      <c r="AU273">
        <v>368.88220121634959</v>
      </c>
      <c r="AV273">
        <v>371.95625145979278</v>
      </c>
      <c r="AW273">
        <v>374.75020991859094</v>
      </c>
      <c r="AX273">
        <v>377.28956652520685</v>
      </c>
      <c r="AY273">
        <v>379.64853074512234</v>
      </c>
      <c r="BA273" s="1">
        <v>1</v>
      </c>
      <c r="BB273" t="str">
        <f t="shared" si="4"/>
        <v>Go - Leste Goiano</v>
      </c>
      <c r="BC273" s="3">
        <v>395.85399904803353</v>
      </c>
      <c r="BD273" s="3">
        <v>60.654911411591719</v>
      </c>
      <c r="BE273" s="3">
        <v>-75.00901828209804</v>
      </c>
      <c r="BF273" s="3">
        <v>-83.339817733193428</v>
      </c>
      <c r="BG273" s="3">
        <v>-167.04295265344439</v>
      </c>
      <c r="BH273" s="3">
        <v>23.049739188356028</v>
      </c>
      <c r="BI273" s="3">
        <v>-55.703889892601694</v>
      </c>
      <c r="BJ273" s="3">
        <v>15.3735091243461</v>
      </c>
      <c r="BK273" s="3">
        <v>22.288047718263584</v>
      </c>
      <c r="BL273" s="3">
        <v>17.660620112055909</v>
      </c>
      <c r="BM273" s="3">
        <v>40.023316218377232</v>
      </c>
      <c r="BN273" s="3">
        <v>-10.030464775142065</v>
      </c>
      <c r="BO273" s="3">
        <v>-5.2734408319910244</v>
      </c>
      <c r="BP273" s="3">
        <v>-29.654251824113089</v>
      </c>
      <c r="BQ273" s="3">
        <v>-32.241770451106817</v>
      </c>
      <c r="BR273" s="3">
        <v>-28.795782740917389</v>
      </c>
      <c r="BS273" s="3">
        <v>-31.287172364268287</v>
      </c>
      <c r="BT273" s="3">
        <v>-16.309771137032754</v>
      </c>
      <c r="BU273" s="3">
        <v>-12.44117892227942</v>
      </c>
      <c r="BV273" s="3">
        <v>-1.8984464329667219</v>
      </c>
      <c r="BW273" s="3">
        <v>2.1241333537085438</v>
      </c>
      <c r="BX273" s="3">
        <v>2.4913368312229522</v>
      </c>
      <c r="BY273" s="3">
        <v>2.434100471241436</v>
      </c>
      <c r="BZ273" s="3">
        <v>-2.7064702437716051</v>
      </c>
      <c r="CA273" s="3">
        <v>-5.6932517661370525</v>
      </c>
      <c r="CB273" s="3">
        <v>-9.9039826733462633</v>
      </c>
      <c r="CC273" s="3">
        <v>-11.8173984682889</v>
      </c>
      <c r="CD273" s="3">
        <v>-11.816769133973196</v>
      </c>
      <c r="CE273" s="3">
        <v>-10.786784195923872</v>
      </c>
      <c r="CF273" s="3">
        <v>-8.0385252816420802</v>
      </c>
      <c r="CG273" s="3">
        <v>-5.6695444641047175</v>
      </c>
      <c r="CH273" s="3">
        <v>-3.2716232301499417</v>
      </c>
      <c r="CI273" s="3">
        <v>-1.8545923615868674</v>
      </c>
      <c r="CJ273" s="3">
        <v>-1.3977361783531137</v>
      </c>
      <c r="CK273" s="3">
        <v>-1.6227130509083167</v>
      </c>
      <c r="CL273" s="3">
        <v>-2.5274008962394419</v>
      </c>
      <c r="CM273" s="3">
        <v>-3.43894170560867</v>
      </c>
      <c r="CN273" s="3">
        <v>-4.2775035553883072</v>
      </c>
      <c r="CO273" s="3">
        <v>-4.6990713389665189</v>
      </c>
      <c r="CP273" s="3">
        <v>-4.6618909845353187</v>
      </c>
      <c r="CQ273" s="3">
        <v>-4.2513966189176813</v>
      </c>
      <c r="CR273" s="3">
        <v>-3.5381026212377833</v>
      </c>
      <c r="CS273" s="3">
        <v>-2.771419144679669</v>
      </c>
      <c r="CT273" s="3">
        <v>-2.063627086018414</v>
      </c>
      <c r="CU273" s="3">
        <v>-1.5617016392141068</v>
      </c>
      <c r="CV273" s="3">
        <v>-1.3060820629410728</v>
      </c>
      <c r="CW273" s="3">
        <v>-1.2682008033266357</v>
      </c>
      <c r="CX273" s="3">
        <v>-1.3930460796017883</v>
      </c>
      <c r="CY273" s="3">
        <v>-1.5699080497776094</v>
      </c>
    </row>
    <row r="274" spans="1:103" x14ac:dyDescent="0.25">
      <c r="A274" t="s">
        <v>139</v>
      </c>
      <c r="B274" t="s">
        <v>5</v>
      </c>
      <c r="C274">
        <v>-83.978047441834235</v>
      </c>
      <c r="D274">
        <v>32.905587027061962</v>
      </c>
      <c r="E274">
        <v>177.65006732815687</v>
      </c>
      <c r="F274">
        <v>96.338612676931106</v>
      </c>
      <c r="G274">
        <v>150.40575690947216</v>
      </c>
      <c r="H274">
        <v>102.29444118666341</v>
      </c>
      <c r="I274">
        <v>134.3998169837329</v>
      </c>
      <c r="J274">
        <v>141.51361622645638</v>
      </c>
      <c r="K274">
        <v>135.39700199404635</v>
      </c>
      <c r="L274">
        <v>170.01363839148701</v>
      </c>
      <c r="M274">
        <v>172.48563154454976</v>
      </c>
      <c r="N274">
        <v>202.1239180593457</v>
      </c>
      <c r="O274">
        <v>211.05705575543556</v>
      </c>
      <c r="P274">
        <v>220.66014139473293</v>
      </c>
      <c r="Q274">
        <v>230.97291937158317</v>
      </c>
      <c r="R274">
        <v>231.6847962642187</v>
      </c>
      <c r="S274">
        <v>239.59283990130751</v>
      </c>
      <c r="T274">
        <v>240.88507071293822</v>
      </c>
      <c r="U274">
        <v>246.72572283161685</v>
      </c>
      <c r="V274">
        <v>252.85016262776031</v>
      </c>
      <c r="W274">
        <v>259.36181330261945</v>
      </c>
      <c r="X274">
        <v>268.41181641674564</v>
      </c>
      <c r="Y274">
        <v>275.76683138724616</v>
      </c>
      <c r="Z274">
        <v>284.2775382222286</v>
      </c>
      <c r="AA274">
        <v>291.21256141290286</v>
      </c>
      <c r="AB274">
        <v>297.40083066761918</v>
      </c>
      <c r="AC274">
        <v>302.80748795702061</v>
      </c>
      <c r="AD274">
        <v>307.03425763036347</v>
      </c>
      <c r="AE274">
        <v>311.24491306659803</v>
      </c>
      <c r="AF274">
        <v>314.99392976903113</v>
      </c>
      <c r="AG274">
        <v>319.04971153871003</v>
      </c>
      <c r="AH274">
        <v>323.29703017560757</v>
      </c>
      <c r="AI274">
        <v>327.7391192082049</v>
      </c>
      <c r="AJ274">
        <v>332.41541235527535</v>
      </c>
      <c r="AK274">
        <v>336.97750355891299</v>
      </c>
      <c r="AL274">
        <v>341.44383005642283</v>
      </c>
      <c r="AM274">
        <v>345.57905503564592</v>
      </c>
      <c r="AN274">
        <v>349.38219348301749</v>
      </c>
      <c r="AO274">
        <v>352.86118634975958</v>
      </c>
      <c r="AP274">
        <v>356.04027256205893</v>
      </c>
      <c r="AQ274">
        <v>359.04680772677426</v>
      </c>
      <c r="AR274">
        <v>361.92593864919593</v>
      </c>
      <c r="AS274">
        <v>364.77166749461185</v>
      </c>
      <c r="AT274">
        <v>367.60926009526588</v>
      </c>
      <c r="AU274">
        <v>370.44390285556369</v>
      </c>
      <c r="AV274">
        <v>373.26233352273385</v>
      </c>
      <c r="AW274">
        <v>376.01841072191758</v>
      </c>
      <c r="AX274">
        <v>378.68261260480864</v>
      </c>
      <c r="AY274">
        <v>381.21843879489995</v>
      </c>
      <c r="BA274" s="1">
        <v>-1</v>
      </c>
      <c r="BB274" t="str">
        <f t="shared" si="4"/>
        <v>Go - Leste Goiano</v>
      </c>
      <c r="BC274" s="3" t="s">
        <v>144</v>
      </c>
      <c r="BD274" s="3" t="s">
        <v>144</v>
      </c>
      <c r="BE274" s="3" t="s">
        <v>144</v>
      </c>
      <c r="BF274" s="3" t="s">
        <v>144</v>
      </c>
      <c r="BG274" s="3" t="s">
        <v>144</v>
      </c>
      <c r="BH274" s="3" t="s">
        <v>144</v>
      </c>
      <c r="BI274" s="3" t="s">
        <v>144</v>
      </c>
      <c r="BJ274" s="3" t="s">
        <v>144</v>
      </c>
      <c r="BK274" s="3" t="s">
        <v>144</v>
      </c>
      <c r="BL274" s="3" t="s">
        <v>144</v>
      </c>
      <c r="BM274" s="3" t="s">
        <v>144</v>
      </c>
      <c r="BN274" s="3" t="s">
        <v>144</v>
      </c>
      <c r="BO274" s="3" t="s">
        <v>144</v>
      </c>
      <c r="BP274" s="3" t="s">
        <v>144</v>
      </c>
      <c r="BQ274" s="3" t="s">
        <v>144</v>
      </c>
      <c r="BR274" s="3" t="s">
        <v>144</v>
      </c>
      <c r="BS274" s="3" t="s">
        <v>144</v>
      </c>
      <c r="BT274" s="3" t="s">
        <v>144</v>
      </c>
      <c r="BU274" s="3" t="s">
        <v>144</v>
      </c>
      <c r="BV274" s="3" t="s">
        <v>144</v>
      </c>
      <c r="BW274" s="3" t="s">
        <v>144</v>
      </c>
      <c r="BX274" s="3" t="s">
        <v>144</v>
      </c>
      <c r="BY274" s="3" t="s">
        <v>144</v>
      </c>
      <c r="BZ274" s="3" t="s">
        <v>144</v>
      </c>
      <c r="CA274" s="3" t="s">
        <v>144</v>
      </c>
      <c r="CB274" s="3" t="s">
        <v>144</v>
      </c>
      <c r="CC274" s="3" t="s">
        <v>144</v>
      </c>
      <c r="CD274" s="3" t="s">
        <v>144</v>
      </c>
      <c r="CE274" s="3" t="s">
        <v>144</v>
      </c>
      <c r="CF274" s="3" t="s">
        <v>144</v>
      </c>
      <c r="CG274" s="3" t="s">
        <v>144</v>
      </c>
      <c r="CH274" s="3" t="s">
        <v>144</v>
      </c>
      <c r="CI274" s="3" t="s">
        <v>144</v>
      </c>
      <c r="CJ274" s="3" t="s">
        <v>144</v>
      </c>
      <c r="CK274" s="3" t="s">
        <v>144</v>
      </c>
      <c r="CL274" s="3" t="s">
        <v>144</v>
      </c>
      <c r="CM274" s="3" t="s">
        <v>144</v>
      </c>
      <c r="CN274" s="3" t="s">
        <v>144</v>
      </c>
      <c r="CO274" s="3" t="s">
        <v>144</v>
      </c>
      <c r="CP274" s="3" t="s">
        <v>144</v>
      </c>
      <c r="CQ274" s="3" t="s">
        <v>144</v>
      </c>
      <c r="CR274" s="3" t="s">
        <v>144</v>
      </c>
      <c r="CS274" s="3" t="s">
        <v>144</v>
      </c>
      <c r="CT274" s="3" t="s">
        <v>144</v>
      </c>
      <c r="CU274" s="3" t="s">
        <v>144</v>
      </c>
      <c r="CV274" s="3" t="s">
        <v>144</v>
      </c>
      <c r="CW274" s="3" t="s">
        <v>144</v>
      </c>
      <c r="CX274" s="3" t="s">
        <v>144</v>
      </c>
      <c r="CY274" s="3" t="s">
        <v>144</v>
      </c>
    </row>
    <row r="275" spans="1:103" x14ac:dyDescent="0.25">
      <c r="A275" t="s">
        <v>140</v>
      </c>
      <c r="B275" t="s">
        <v>4</v>
      </c>
      <c r="C275">
        <v>910.79226441381525</v>
      </c>
      <c r="D275">
        <v>254.17038875623462</v>
      </c>
      <c r="E275">
        <v>5.9296703257326125E-2</v>
      </c>
      <c r="F275">
        <v>246.21398508440748</v>
      </c>
      <c r="G275">
        <v>334.39630724714709</v>
      </c>
      <c r="H275">
        <v>595.3450436499096</v>
      </c>
      <c r="I275">
        <v>585.28971013158673</v>
      </c>
      <c r="J275">
        <v>721.44721006172654</v>
      </c>
      <c r="K275">
        <v>799.64478988556095</v>
      </c>
      <c r="L275">
        <v>796.89555344521136</v>
      </c>
      <c r="M275">
        <v>800.8222768916271</v>
      </c>
      <c r="N275">
        <v>723.26051901119479</v>
      </c>
      <c r="O275">
        <v>702.06689980145916</v>
      </c>
      <c r="P275">
        <v>666.23000481256008</v>
      </c>
      <c r="Q275">
        <v>657.9329919883063</v>
      </c>
      <c r="R275">
        <v>674.94208502269112</v>
      </c>
      <c r="S275">
        <v>696.25315184964666</v>
      </c>
      <c r="T275">
        <v>741.96825192946085</v>
      </c>
      <c r="U275">
        <v>775.96792754968669</v>
      </c>
      <c r="V275">
        <v>808.29455507544083</v>
      </c>
      <c r="W275">
        <v>826.24303421157686</v>
      </c>
      <c r="X275">
        <v>830.6606802105664</v>
      </c>
      <c r="Y275">
        <v>828.76989077383291</v>
      </c>
      <c r="Z275">
        <v>818.6033846963262</v>
      </c>
      <c r="AA275">
        <v>810.82034229468536</v>
      </c>
      <c r="AB275">
        <v>805.14186732519215</v>
      </c>
      <c r="AC275">
        <v>805.61873029695175</v>
      </c>
      <c r="AD275">
        <v>812.21057468463869</v>
      </c>
      <c r="AE275">
        <v>822.48286544415748</v>
      </c>
      <c r="AF275">
        <v>835.67469257970606</v>
      </c>
      <c r="AG275">
        <v>848.12353221295643</v>
      </c>
      <c r="AH275">
        <v>858.91296604824174</v>
      </c>
      <c r="AI275">
        <v>866.54521518695617</v>
      </c>
      <c r="AJ275">
        <v>870.8945919081882</v>
      </c>
      <c r="AK275">
        <v>872.81339566800773</v>
      </c>
      <c r="AL275">
        <v>873.05675992738145</v>
      </c>
      <c r="AM275">
        <v>873.13997365959608</v>
      </c>
      <c r="AN275">
        <v>873.86263291389389</v>
      </c>
      <c r="AO275">
        <v>875.9344847829999</v>
      </c>
      <c r="AP275">
        <v>879.48484007212926</v>
      </c>
      <c r="AQ275">
        <v>884.17201417607021</v>
      </c>
      <c r="AR275">
        <v>889.51507951612018</v>
      </c>
      <c r="AS275">
        <v>894.80816977473137</v>
      </c>
      <c r="AT275">
        <v>899.56235814009028</v>
      </c>
      <c r="AU275">
        <v>903.43414082323318</v>
      </c>
      <c r="AV275">
        <v>906.35876725879984</v>
      </c>
      <c r="AW275">
        <v>908.50594398456315</v>
      </c>
      <c r="AX275">
        <v>910.15480726783539</v>
      </c>
      <c r="AY275">
        <v>911.65614630431696</v>
      </c>
      <c r="BA275" s="1">
        <v>1</v>
      </c>
      <c r="BB275" t="str">
        <f t="shared" si="4"/>
        <v>Go - Sul Goiano</v>
      </c>
      <c r="BC275" s="3">
        <v>1414.4307619665879</v>
      </c>
      <c r="BD275" s="3">
        <v>-3.3028911484527157</v>
      </c>
      <c r="BE275" s="3">
        <v>-906.29723574983916</v>
      </c>
      <c r="BF275" s="3">
        <v>-102.57491809383455</v>
      </c>
      <c r="BG275" s="3">
        <v>-177.82890222326398</v>
      </c>
      <c r="BH275" s="3">
        <v>214.33996721308546</v>
      </c>
      <c r="BI275" s="3">
        <v>-66.486702623679321</v>
      </c>
      <c r="BJ275" s="3">
        <v>91.5035272568241</v>
      </c>
      <c r="BK275" s="3">
        <v>254.87442243618045</v>
      </c>
      <c r="BL275" s="3">
        <v>152.25591715981625</v>
      </c>
      <c r="BM275" s="3">
        <v>185.65624771504304</v>
      </c>
      <c r="BN275" s="3">
        <v>25.245895433782493</v>
      </c>
      <c r="BO275" s="3">
        <v>29.432566529652036</v>
      </c>
      <c r="BP275" s="3">
        <v>-14.438827315556523</v>
      </c>
      <c r="BQ275" s="3">
        <v>-46.859976511810146</v>
      </c>
      <c r="BR275" s="3">
        <v>-28.870126585798175</v>
      </c>
      <c r="BS275" s="3">
        <v>-41.143745035580878</v>
      </c>
      <c r="BT275" s="3">
        <v>3.7403733152571021</v>
      </c>
      <c r="BU275" s="3">
        <v>18.596934690954185</v>
      </c>
      <c r="BV275" s="3">
        <v>40.435189258065066</v>
      </c>
      <c r="BW275" s="3">
        <v>51.539127802258008</v>
      </c>
      <c r="BX275" s="3">
        <v>44.057331456573593</v>
      </c>
      <c r="BY275" s="3">
        <v>38.95499943480138</v>
      </c>
      <c r="BZ275" s="3">
        <v>17.962829407027357</v>
      </c>
      <c r="CA275" s="3">
        <v>2.9833640556704495</v>
      </c>
      <c r="CB275" s="3">
        <v>-11.753272607122312</v>
      </c>
      <c r="CC275" s="3">
        <v>-20.428344927456578</v>
      </c>
      <c r="CD275" s="3">
        <v>-20.919004593670707</v>
      </c>
      <c r="CE275" s="3">
        <v>-19.136681926107485</v>
      </c>
      <c r="CF275" s="3">
        <v>-12.44260955955292</v>
      </c>
      <c r="CG275" s="3">
        <v>-7.1570089553399612</v>
      </c>
      <c r="CH275" s="3">
        <v>-2.9056782540918675</v>
      </c>
      <c r="CI275" s="3">
        <v>-1.4807560153230952</v>
      </c>
      <c r="CJ275" s="3">
        <v>-3.4371367354574431</v>
      </c>
      <c r="CK275" s="3">
        <v>-7.0887484436295836</v>
      </c>
      <c r="CL275" s="3">
        <v>-12.484659141747215</v>
      </c>
      <c r="CM275" s="3">
        <v>-17.594265235120588</v>
      </c>
      <c r="CN275" s="3">
        <v>-22.011100499677923</v>
      </c>
      <c r="CO275" s="3">
        <v>-25.022667156692478</v>
      </c>
      <c r="CP275" s="3">
        <v>-26.396399775523605</v>
      </c>
      <c r="CQ275" s="3">
        <v>-26.619064134779251</v>
      </c>
      <c r="CR275" s="3">
        <v>-25.935535737501709</v>
      </c>
      <c r="CS275" s="3">
        <v>-25.138452982767717</v>
      </c>
      <c r="CT275" s="3">
        <v>-24.629250515185049</v>
      </c>
      <c r="CU275" s="3">
        <v>-24.777156569431668</v>
      </c>
      <c r="CV275" s="3">
        <v>-25.706670734434624</v>
      </c>
      <c r="CW275" s="3">
        <v>-27.24535929409592</v>
      </c>
      <c r="CX275" s="3">
        <v>-29.185416825574066</v>
      </c>
      <c r="CY275" s="3">
        <v>-31.160962431488201</v>
      </c>
    </row>
    <row r="276" spans="1:103" x14ac:dyDescent="0.25">
      <c r="A276" t="s">
        <v>140</v>
      </c>
      <c r="B276" t="s">
        <v>5</v>
      </c>
      <c r="C276">
        <v>-503.63849755277266</v>
      </c>
      <c r="D276">
        <v>257.47327990468733</v>
      </c>
      <c r="E276">
        <v>906.35653245309652</v>
      </c>
      <c r="F276">
        <v>348.78890317824204</v>
      </c>
      <c r="G276">
        <v>512.22520947041107</v>
      </c>
      <c r="H276">
        <v>381.00507643682414</v>
      </c>
      <c r="I276">
        <v>651.77641275526605</v>
      </c>
      <c r="J276">
        <v>629.94368280490244</v>
      </c>
      <c r="K276">
        <v>544.7703674493805</v>
      </c>
      <c r="L276">
        <v>644.63963628539511</v>
      </c>
      <c r="M276">
        <v>615.16602917658406</v>
      </c>
      <c r="N276">
        <v>698.01462357741229</v>
      </c>
      <c r="O276">
        <v>672.63433327180712</v>
      </c>
      <c r="P276">
        <v>680.66883212811661</v>
      </c>
      <c r="Q276">
        <v>704.79296850011644</v>
      </c>
      <c r="R276">
        <v>703.81221160848929</v>
      </c>
      <c r="S276">
        <v>737.39689688522753</v>
      </c>
      <c r="T276">
        <v>738.22787861420375</v>
      </c>
      <c r="U276">
        <v>757.37099285873251</v>
      </c>
      <c r="V276">
        <v>767.85936581737576</v>
      </c>
      <c r="W276">
        <v>774.70390640931885</v>
      </c>
      <c r="X276">
        <v>786.6033487539928</v>
      </c>
      <c r="Y276">
        <v>789.81489133903153</v>
      </c>
      <c r="Z276">
        <v>800.64055528929885</v>
      </c>
      <c r="AA276">
        <v>807.83697823901491</v>
      </c>
      <c r="AB276">
        <v>816.89513993231446</v>
      </c>
      <c r="AC276">
        <v>826.04707522440833</v>
      </c>
      <c r="AD276">
        <v>833.12957927830939</v>
      </c>
      <c r="AE276">
        <v>841.61954737026497</v>
      </c>
      <c r="AF276">
        <v>848.11730213925898</v>
      </c>
      <c r="AG276">
        <v>855.28054116829639</v>
      </c>
      <c r="AH276">
        <v>861.81864430233361</v>
      </c>
      <c r="AI276">
        <v>868.02597120227927</v>
      </c>
      <c r="AJ276">
        <v>874.33172864364565</v>
      </c>
      <c r="AK276">
        <v>879.90214411163731</v>
      </c>
      <c r="AL276">
        <v>885.54141906912866</v>
      </c>
      <c r="AM276">
        <v>890.73423889471667</v>
      </c>
      <c r="AN276">
        <v>895.87373341357181</v>
      </c>
      <c r="AO276">
        <v>900.95715193969238</v>
      </c>
      <c r="AP276">
        <v>905.88123984765286</v>
      </c>
      <c r="AQ276">
        <v>910.79107831084946</v>
      </c>
      <c r="AR276">
        <v>915.45061525362189</v>
      </c>
      <c r="AS276">
        <v>919.94662275749909</v>
      </c>
      <c r="AT276">
        <v>924.19160865527533</v>
      </c>
      <c r="AU276">
        <v>928.21129739266485</v>
      </c>
      <c r="AV276">
        <v>932.06543799323447</v>
      </c>
      <c r="AW276">
        <v>935.75130327865907</v>
      </c>
      <c r="AX276">
        <v>939.34022409340946</v>
      </c>
      <c r="AY276">
        <v>942.81710873580516</v>
      </c>
      <c r="BA276" s="1">
        <v>-1</v>
      </c>
      <c r="BB276" t="str">
        <f t="shared" si="4"/>
        <v>Go - Sul Goiano</v>
      </c>
      <c r="BC276" s="3" t="s">
        <v>144</v>
      </c>
      <c r="BD276" s="3" t="s">
        <v>144</v>
      </c>
      <c r="BE276" s="3" t="s">
        <v>144</v>
      </c>
      <c r="BF276" s="3" t="s">
        <v>144</v>
      </c>
      <c r="BG276" s="3" t="s">
        <v>144</v>
      </c>
      <c r="BH276" s="3" t="s">
        <v>144</v>
      </c>
      <c r="BI276" s="3" t="s">
        <v>144</v>
      </c>
      <c r="BJ276" s="3" t="s">
        <v>144</v>
      </c>
      <c r="BK276" s="3" t="s">
        <v>144</v>
      </c>
      <c r="BL276" s="3" t="s">
        <v>144</v>
      </c>
      <c r="BM276" s="3" t="s">
        <v>144</v>
      </c>
      <c r="BN276" s="3" t="s">
        <v>144</v>
      </c>
      <c r="BO276" s="3" t="s">
        <v>144</v>
      </c>
      <c r="BP276" s="3" t="s">
        <v>144</v>
      </c>
      <c r="BQ276" s="3" t="s">
        <v>144</v>
      </c>
      <c r="BR276" s="3" t="s">
        <v>144</v>
      </c>
      <c r="BS276" s="3" t="s">
        <v>144</v>
      </c>
      <c r="BT276" s="3" t="s">
        <v>144</v>
      </c>
      <c r="BU276" s="3" t="s">
        <v>144</v>
      </c>
      <c r="BV276" s="3" t="s">
        <v>144</v>
      </c>
      <c r="BW276" s="3" t="s">
        <v>144</v>
      </c>
      <c r="BX276" s="3" t="s">
        <v>144</v>
      </c>
      <c r="BY276" s="3" t="s">
        <v>144</v>
      </c>
      <c r="BZ276" s="3" t="s">
        <v>144</v>
      </c>
      <c r="CA276" s="3" t="s">
        <v>144</v>
      </c>
      <c r="CB276" s="3" t="s">
        <v>144</v>
      </c>
      <c r="CC276" s="3" t="s">
        <v>144</v>
      </c>
      <c r="CD276" s="3" t="s">
        <v>144</v>
      </c>
      <c r="CE276" s="3" t="s">
        <v>144</v>
      </c>
      <c r="CF276" s="3" t="s">
        <v>144</v>
      </c>
      <c r="CG276" s="3" t="s">
        <v>144</v>
      </c>
      <c r="CH276" s="3" t="s">
        <v>144</v>
      </c>
      <c r="CI276" s="3" t="s">
        <v>144</v>
      </c>
      <c r="CJ276" s="3" t="s">
        <v>144</v>
      </c>
      <c r="CK276" s="3" t="s">
        <v>144</v>
      </c>
      <c r="CL276" s="3" t="s">
        <v>144</v>
      </c>
      <c r="CM276" s="3" t="s">
        <v>144</v>
      </c>
      <c r="CN276" s="3" t="s">
        <v>144</v>
      </c>
      <c r="CO276" s="3" t="s">
        <v>144</v>
      </c>
      <c r="CP276" s="3" t="s">
        <v>144</v>
      </c>
      <c r="CQ276" s="3" t="s">
        <v>144</v>
      </c>
      <c r="CR276" s="3" t="s">
        <v>144</v>
      </c>
      <c r="CS276" s="3" t="s">
        <v>144</v>
      </c>
      <c r="CT276" s="3" t="s">
        <v>144</v>
      </c>
      <c r="CU276" s="3" t="s">
        <v>144</v>
      </c>
      <c r="CV276" s="3" t="s">
        <v>144</v>
      </c>
      <c r="CW276" s="3" t="s">
        <v>144</v>
      </c>
      <c r="CX276" s="3" t="s">
        <v>144</v>
      </c>
      <c r="CY276" s="3" t="s">
        <v>144</v>
      </c>
    </row>
    <row r="277" spans="1:103" x14ac:dyDescent="0.25">
      <c r="A277" t="s">
        <v>141</v>
      </c>
      <c r="B277" t="s">
        <v>4</v>
      </c>
      <c r="C277">
        <v>1470.1560932310297</v>
      </c>
      <c r="D277">
        <v>998.59231365367134</v>
      </c>
      <c r="E277">
        <v>964.73307326343274</v>
      </c>
      <c r="F277">
        <v>920.08872841869527</v>
      </c>
      <c r="G277">
        <v>916.87382410384669</v>
      </c>
      <c r="H277">
        <v>1352.2937603663383</v>
      </c>
      <c r="I277">
        <v>1314.4828249208765</v>
      </c>
      <c r="J277">
        <v>1543.3051293316184</v>
      </c>
      <c r="K277">
        <v>1573.0563233946882</v>
      </c>
      <c r="L277">
        <v>1622.258921548512</v>
      </c>
      <c r="M277">
        <v>1657.3060527072912</v>
      </c>
      <c r="N277">
        <v>1559.6265980545199</v>
      </c>
      <c r="O277">
        <v>1544.5024406901643</v>
      </c>
      <c r="P277">
        <v>1475.6696519441646</v>
      </c>
      <c r="Q277">
        <v>1476.9598011379614</v>
      </c>
      <c r="R277">
        <v>1496.0468483254499</v>
      </c>
      <c r="S277">
        <v>1529.2388340076745</v>
      </c>
      <c r="T277">
        <v>1597.1511122523418</v>
      </c>
      <c r="U277">
        <v>1646.0245998786515</v>
      </c>
      <c r="V277">
        <v>1701.8753360566056</v>
      </c>
      <c r="W277">
        <v>1732.3679538137803</v>
      </c>
      <c r="X277">
        <v>1748.5354075077287</v>
      </c>
      <c r="Y277">
        <v>1753.9898689215681</v>
      </c>
      <c r="Z277">
        <v>1747.5844320646361</v>
      </c>
      <c r="AA277">
        <v>1744.7311994210445</v>
      </c>
      <c r="AB277">
        <v>1741.7038994994532</v>
      </c>
      <c r="AC277">
        <v>1747.2274184235127</v>
      </c>
      <c r="AD277">
        <v>1759.3354417753744</v>
      </c>
      <c r="AE277">
        <v>1776.721497322626</v>
      </c>
      <c r="AF277">
        <v>1798.4715317844586</v>
      </c>
      <c r="AG277">
        <v>1819.5295527972455</v>
      </c>
      <c r="AH277">
        <v>1839.3228447530796</v>
      </c>
      <c r="AI277">
        <v>1854.8687974255797</v>
      </c>
      <c r="AJ277">
        <v>1866.1957305356841</v>
      </c>
      <c r="AK277">
        <v>1873.8201218166491</v>
      </c>
      <c r="AL277">
        <v>1878.6475458514062</v>
      </c>
      <c r="AM277">
        <v>1882.7736120959917</v>
      </c>
      <c r="AN277">
        <v>1887.2117611023823</v>
      </c>
      <c r="AO277">
        <v>1893.2358316948673</v>
      </c>
      <c r="AP277">
        <v>1901.0484425805239</v>
      </c>
      <c r="AQ277">
        <v>1910.376536452477</v>
      </c>
      <c r="AR277">
        <v>1920.6219660506115</v>
      </c>
      <c r="AS277">
        <v>1930.8317899426613</v>
      </c>
      <c r="AT277">
        <v>1940.3631737979626</v>
      </c>
      <c r="AU277">
        <v>1948.6719075074718</v>
      </c>
      <c r="AV277">
        <v>1955.6458647280635</v>
      </c>
      <c r="AW277">
        <v>1961.4468523657683</v>
      </c>
      <c r="AX277">
        <v>1966.4157701796626</v>
      </c>
      <c r="AY277">
        <v>1971.0108072818305</v>
      </c>
      <c r="BA277" s="1">
        <v>1</v>
      </c>
      <c r="BB277" t="str">
        <f t="shared" si="4"/>
        <v>Go - Distrito Federal</v>
      </c>
      <c r="BC277" s="3">
        <v>1041.6309385981735</v>
      </c>
      <c r="BD277" s="3">
        <v>640.86695229315319</v>
      </c>
      <c r="BE277" s="3">
        <v>-181.00416894411069</v>
      </c>
      <c r="BF277" s="3">
        <v>566.95423488612278</v>
      </c>
      <c r="BG277" s="3">
        <v>99.206288126129607</v>
      </c>
      <c r="BH277" s="3">
        <v>475.40995237545792</v>
      </c>
      <c r="BI277" s="3">
        <v>321.6291020720563</v>
      </c>
      <c r="BJ277" s="3">
        <v>357.1431499793166</v>
      </c>
      <c r="BK277" s="3">
        <v>520.71021128824191</v>
      </c>
      <c r="BL277" s="3">
        <v>358.91109671237132</v>
      </c>
      <c r="BM277" s="3">
        <v>439.97527889041044</v>
      </c>
      <c r="BN277" s="3">
        <v>290.28178233872518</v>
      </c>
      <c r="BO277" s="3">
        <v>264.00212444476369</v>
      </c>
      <c r="BP277" s="3">
        <v>217.05410073809526</v>
      </c>
      <c r="BQ277" s="3">
        <v>150.13948651138526</v>
      </c>
      <c r="BR277" s="3">
        <v>160.35353304993623</v>
      </c>
      <c r="BS277" s="3">
        <v>120.0767449610687</v>
      </c>
      <c r="BT277" s="3">
        <v>138.83651952198602</v>
      </c>
      <c r="BU277" s="3">
        <v>133.41934388424238</v>
      </c>
      <c r="BV277" s="3">
        <v>131.96609097559872</v>
      </c>
      <c r="BW277" s="3">
        <v>132.36307226772124</v>
      </c>
      <c r="BX277" s="3">
        <v>111.61979514587119</v>
      </c>
      <c r="BY277" s="3">
        <v>99.456162090295265</v>
      </c>
      <c r="BZ277" s="3">
        <v>71.752840720635277</v>
      </c>
      <c r="CA277" s="3">
        <v>48.677878171008615</v>
      </c>
      <c r="CB277" s="3">
        <v>25.634715784071432</v>
      </c>
      <c r="CC277" s="3">
        <v>4.478848838684371</v>
      </c>
      <c r="CD277" s="3">
        <v>-8.7548669257330403</v>
      </c>
      <c r="CE277" s="3">
        <v>-21.047140040034947</v>
      </c>
      <c r="CF277" s="3">
        <v>-27.685244929836244</v>
      </c>
      <c r="CG277" s="3">
        <v>-34.252400143238219</v>
      </c>
      <c r="CH277" s="3">
        <v>-40.662617674094236</v>
      </c>
      <c r="CI277" s="3">
        <v>-47.966871623571478</v>
      </c>
      <c r="CJ277" s="3">
        <v>-57.829075728345288</v>
      </c>
      <c r="CK277" s="3">
        <v>-68.544015871999363</v>
      </c>
      <c r="CL277" s="3">
        <v>-80.818501583707302</v>
      </c>
      <c r="CM277" s="3">
        <v>-92.923411359284273</v>
      </c>
      <c r="CN277" s="3">
        <v>-104.45825288602896</v>
      </c>
      <c r="CO277" s="3">
        <v>-114.91281034316671</v>
      </c>
      <c r="CP277" s="3">
        <v>-123.79658919362373</v>
      </c>
      <c r="CQ277" s="3">
        <v>-131.55249030946106</v>
      </c>
      <c r="CR277" s="3">
        <v>-138.19127913095622</v>
      </c>
      <c r="CS277" s="3">
        <v>-144.33797081698253</v>
      </c>
      <c r="CT277" s="3">
        <v>-150.31588308891878</v>
      </c>
      <c r="CU277" s="3">
        <v>-156.41792904325052</v>
      </c>
      <c r="CV277" s="3">
        <v>-162.85236909320315</v>
      </c>
      <c r="CW277" s="3">
        <v>-169.5250957344997</v>
      </c>
      <c r="CX277" s="3">
        <v>-176.36851770997782</v>
      </c>
      <c r="CY277" s="3">
        <v>-183.1342479653656</v>
      </c>
    </row>
    <row r="278" spans="1:103" x14ac:dyDescent="0.25">
      <c r="A278" t="s">
        <v>141</v>
      </c>
      <c r="B278" t="s">
        <v>5</v>
      </c>
      <c r="C278">
        <v>428.52515463285619</v>
      </c>
      <c r="D278">
        <v>357.72536136051809</v>
      </c>
      <c r="E278">
        <v>1145.7372422075434</v>
      </c>
      <c r="F278">
        <v>353.13449353257244</v>
      </c>
      <c r="G278">
        <v>817.66753597771708</v>
      </c>
      <c r="H278">
        <v>876.88380799088043</v>
      </c>
      <c r="I278">
        <v>992.85372284882021</v>
      </c>
      <c r="J278">
        <v>1186.1619793523018</v>
      </c>
      <c r="K278">
        <v>1052.3461121064463</v>
      </c>
      <c r="L278">
        <v>1263.3478248361407</v>
      </c>
      <c r="M278">
        <v>1217.3307738168808</v>
      </c>
      <c r="N278">
        <v>1269.3448157157948</v>
      </c>
      <c r="O278">
        <v>1280.5003162454007</v>
      </c>
      <c r="P278">
        <v>1258.6155512060693</v>
      </c>
      <c r="Q278">
        <v>1326.8203146265762</v>
      </c>
      <c r="R278">
        <v>1335.6933152755137</v>
      </c>
      <c r="S278">
        <v>1409.1620890466058</v>
      </c>
      <c r="T278">
        <v>1458.3145927303558</v>
      </c>
      <c r="U278">
        <v>1512.6052559944092</v>
      </c>
      <c r="V278">
        <v>1569.9092450810069</v>
      </c>
      <c r="W278">
        <v>1600.0048815460591</v>
      </c>
      <c r="X278">
        <v>1636.9156123618575</v>
      </c>
      <c r="Y278">
        <v>1654.5337068312729</v>
      </c>
      <c r="Z278">
        <v>1675.8315913440008</v>
      </c>
      <c r="AA278">
        <v>1696.0533212500359</v>
      </c>
      <c r="AB278">
        <v>1716.0691837153818</v>
      </c>
      <c r="AC278">
        <v>1742.7485695848284</v>
      </c>
      <c r="AD278">
        <v>1768.0903087011075</v>
      </c>
      <c r="AE278">
        <v>1797.7686373626609</v>
      </c>
      <c r="AF278">
        <v>1826.1567767142949</v>
      </c>
      <c r="AG278">
        <v>1853.7819529404837</v>
      </c>
      <c r="AH278">
        <v>1879.9854624271738</v>
      </c>
      <c r="AI278">
        <v>1902.8356690491512</v>
      </c>
      <c r="AJ278">
        <v>1924.0248062640294</v>
      </c>
      <c r="AK278">
        <v>1942.3641376886485</v>
      </c>
      <c r="AL278">
        <v>1959.4660474351135</v>
      </c>
      <c r="AM278">
        <v>1975.6970234552759</v>
      </c>
      <c r="AN278">
        <v>1991.6700139884113</v>
      </c>
      <c r="AO278">
        <v>2008.148642038034</v>
      </c>
      <c r="AP278">
        <v>2024.8450317741476</v>
      </c>
      <c r="AQ278">
        <v>2041.9290267619381</v>
      </c>
      <c r="AR278">
        <v>2058.8132451815677</v>
      </c>
      <c r="AS278">
        <v>2075.1697607596439</v>
      </c>
      <c r="AT278">
        <v>2090.6790568868814</v>
      </c>
      <c r="AU278">
        <v>2105.0898365507223</v>
      </c>
      <c r="AV278">
        <v>2118.4982338212667</v>
      </c>
      <c r="AW278">
        <v>2130.971948100268</v>
      </c>
      <c r="AX278">
        <v>2142.7842878896404</v>
      </c>
      <c r="AY278">
        <v>2154.1450552471961</v>
      </c>
      <c r="BA278" s="1">
        <v>-1</v>
      </c>
      <c r="BB278" t="str">
        <f t="shared" si="4"/>
        <v>Go - Distrito Federal</v>
      </c>
      <c r="BC278" s="3" t="s">
        <v>144</v>
      </c>
      <c r="BD278" s="3" t="s">
        <v>144</v>
      </c>
      <c r="BE278" s="3" t="s">
        <v>144</v>
      </c>
      <c r="BF278" s="3" t="s">
        <v>144</v>
      </c>
      <c r="BG278" s="3" t="s">
        <v>144</v>
      </c>
      <c r="BH278" s="3" t="s">
        <v>144</v>
      </c>
      <c r="BI278" s="3" t="s">
        <v>144</v>
      </c>
      <c r="BJ278" s="3" t="s">
        <v>144</v>
      </c>
      <c r="BK278" s="3" t="s">
        <v>144</v>
      </c>
      <c r="BL278" s="3" t="s">
        <v>144</v>
      </c>
      <c r="BM278" s="3" t="s">
        <v>144</v>
      </c>
      <c r="BN278" s="3" t="s">
        <v>144</v>
      </c>
      <c r="BO278" s="3" t="s">
        <v>144</v>
      </c>
      <c r="BP278" s="3" t="s">
        <v>144</v>
      </c>
      <c r="BQ278" s="3" t="s">
        <v>144</v>
      </c>
      <c r="BR278" s="3" t="s">
        <v>144</v>
      </c>
      <c r="BS278" s="3" t="s">
        <v>144</v>
      </c>
      <c r="BT278" s="3" t="s">
        <v>144</v>
      </c>
      <c r="BU278" s="3" t="s">
        <v>144</v>
      </c>
      <c r="BV278" s="3" t="s">
        <v>144</v>
      </c>
      <c r="BW278" s="3" t="s">
        <v>144</v>
      </c>
      <c r="BX278" s="3" t="s">
        <v>144</v>
      </c>
      <c r="BY278" s="3" t="s">
        <v>144</v>
      </c>
      <c r="BZ278" s="3" t="s">
        <v>144</v>
      </c>
      <c r="CA278" s="3" t="s">
        <v>144</v>
      </c>
      <c r="CB278" s="3" t="s">
        <v>144</v>
      </c>
      <c r="CC278" s="3" t="s">
        <v>144</v>
      </c>
      <c r="CD278" s="3" t="s">
        <v>144</v>
      </c>
      <c r="CE278" s="3" t="s">
        <v>144</v>
      </c>
      <c r="CF278" s="3" t="s">
        <v>144</v>
      </c>
      <c r="CG278" s="3" t="s">
        <v>144</v>
      </c>
      <c r="CH278" s="3" t="s">
        <v>144</v>
      </c>
      <c r="CI278" s="3" t="s">
        <v>144</v>
      </c>
      <c r="CJ278" s="3" t="s">
        <v>144</v>
      </c>
      <c r="CK278" s="3" t="s">
        <v>144</v>
      </c>
      <c r="CL278" s="3" t="s">
        <v>144</v>
      </c>
      <c r="CM278" s="3" t="s">
        <v>144</v>
      </c>
      <c r="CN278" s="3" t="s">
        <v>144</v>
      </c>
      <c r="CO278" s="3" t="s">
        <v>144</v>
      </c>
      <c r="CP278" s="3" t="s">
        <v>144</v>
      </c>
      <c r="CQ278" s="3" t="s">
        <v>144</v>
      </c>
      <c r="CR278" s="3" t="s">
        <v>144</v>
      </c>
      <c r="CS278" s="3" t="s">
        <v>144</v>
      </c>
      <c r="CT278" s="3" t="s">
        <v>144</v>
      </c>
      <c r="CU278" s="3" t="s">
        <v>144</v>
      </c>
      <c r="CV278" s="3" t="s">
        <v>144</v>
      </c>
      <c r="CW278" s="3" t="s">
        <v>144</v>
      </c>
      <c r="CX278" s="3" t="s">
        <v>144</v>
      </c>
      <c r="CY278" s="3" t="s">
        <v>144</v>
      </c>
    </row>
    <row r="279" spans="1:103" x14ac:dyDescent="0.25">
      <c r="A279" t="s">
        <v>142</v>
      </c>
      <c r="B279" t="s">
        <v>143</v>
      </c>
      <c r="C279">
        <v>4.980393002018782E-2</v>
      </c>
      <c r="D279">
        <v>4.3801491041817228E-2</v>
      </c>
      <c r="E279">
        <v>5.5602693185374613E-2</v>
      </c>
      <c r="F279">
        <v>3.2137477364900836E-2</v>
      </c>
      <c r="G279">
        <v>3.5616477587850498E-2</v>
      </c>
      <c r="H279">
        <v>3.930816678517797E-2</v>
      </c>
      <c r="I279">
        <v>3.3749086145790808E-2</v>
      </c>
      <c r="J279">
        <v>3.7112628351568963E-2</v>
      </c>
      <c r="K279">
        <v>3.2148759723826706E-2</v>
      </c>
      <c r="L279">
        <v>3.5888024550590522E-2</v>
      </c>
      <c r="M279">
        <v>3.5103620511878965E-2</v>
      </c>
      <c r="N279">
        <v>3.3942348769995259E-2</v>
      </c>
      <c r="O279">
        <v>3.3829779210029033E-2</v>
      </c>
      <c r="P279">
        <v>3.1546213853065046E-2</v>
      </c>
      <c r="Q279">
        <v>3.175286792903774E-2</v>
      </c>
      <c r="R279">
        <v>3.0307806686752155E-2</v>
      </c>
      <c r="S279">
        <v>2.9762645432392265E-2</v>
      </c>
      <c r="T279">
        <v>2.9175242766906868E-2</v>
      </c>
      <c r="U279">
        <v>2.8396834938798091E-2</v>
      </c>
      <c r="V279">
        <v>2.8256296209779225E-2</v>
      </c>
      <c r="W279">
        <v>2.7638506934933207E-2</v>
      </c>
      <c r="X279">
        <v>2.7430408339906402E-2</v>
      </c>
      <c r="Y279">
        <v>2.7034245301736079E-2</v>
      </c>
      <c r="Z279">
        <v>2.6647408752853045E-2</v>
      </c>
      <c r="AA279">
        <v>2.6285589498518516E-2</v>
      </c>
      <c r="AB279">
        <v>2.5744066222928526E-2</v>
      </c>
      <c r="AC279">
        <v>2.5291613721762182E-2</v>
      </c>
      <c r="AD279">
        <v>2.4757974144603515E-2</v>
      </c>
      <c r="AE279">
        <v>2.4305990473325649E-2</v>
      </c>
      <c r="AF279">
        <v>2.3902175162050131E-2</v>
      </c>
      <c r="AG279">
        <v>2.3537362680054484E-2</v>
      </c>
      <c r="AH279">
        <v>2.3247047388295489E-2</v>
      </c>
      <c r="AI279">
        <v>2.2957002519908232E-2</v>
      </c>
      <c r="AJ279">
        <v>2.2695661018350702E-2</v>
      </c>
      <c r="AK279">
        <v>2.2420153176822947E-2</v>
      </c>
      <c r="AL279">
        <v>2.2136652210540571E-2</v>
      </c>
      <c r="AM279">
        <v>2.1849504145013837E-2</v>
      </c>
      <c r="AN279">
        <v>2.1553497377017523E-2</v>
      </c>
      <c r="AO279">
        <v>2.1268084857494131E-2</v>
      </c>
      <c r="AP279">
        <v>2.0988515916603074E-2</v>
      </c>
      <c r="AQ279">
        <v>2.0725801047201637E-2</v>
      </c>
      <c r="AR279">
        <v>2.0479581100778001E-2</v>
      </c>
      <c r="AS279">
        <v>2.0249269457592176E-2</v>
      </c>
      <c r="AT279">
        <v>2.0035664212653893E-2</v>
      </c>
      <c r="AU279">
        <v>1.983291830068595E-2</v>
      </c>
      <c r="AV279">
        <v>1.9639971635698788E-2</v>
      </c>
      <c r="AW279">
        <v>1.9451979950589313E-2</v>
      </c>
      <c r="AX279">
        <v>1.9267084276632439E-2</v>
      </c>
      <c r="AY279">
        <v>1.9084387841427658E-2</v>
      </c>
      <c r="BA279" s="1"/>
    </row>
    <row r="281" spans="1:103" x14ac:dyDescent="0.25">
      <c r="C281" s="2">
        <f>SUMPRODUCT(C5:C278,$BA$5:$BA$278)</f>
        <v>101987.28176622784</v>
      </c>
      <c r="D281" s="2">
        <f t="shared" ref="D281:AY281" si="5">SUMPRODUCT(D5:D278,$BA$5:$BA$278)</f>
        <v>55144.051903463806</v>
      </c>
      <c r="E281" s="2">
        <f t="shared" si="5"/>
        <v>1198.9497503460404</v>
      </c>
      <c r="F281" s="2">
        <f t="shared" si="5"/>
        <v>43123.722673947967</v>
      </c>
      <c r="G281" s="2">
        <f t="shared" si="5"/>
        <v>15888.060945577939</v>
      </c>
      <c r="H281" s="2">
        <f t="shared" si="5"/>
        <v>43126.474762016056</v>
      </c>
      <c r="I281" s="2">
        <f t="shared" si="5"/>
        <v>27263.809054433128</v>
      </c>
      <c r="J281" s="2">
        <f t="shared" si="5"/>
        <v>32747.011481927784</v>
      </c>
      <c r="K281" s="2">
        <f t="shared" si="5"/>
        <v>42846.15564832613</v>
      </c>
      <c r="L281" s="2">
        <f t="shared" si="5"/>
        <v>34818.479773662526</v>
      </c>
      <c r="M281" s="2">
        <f t="shared" si="5"/>
        <v>39357.658834312264</v>
      </c>
      <c r="N281" s="2">
        <f t="shared" si="5"/>
        <v>27669.867710671577</v>
      </c>
      <c r="O281" s="2">
        <f t="shared" si="5"/>
        <v>25836.838195321281</v>
      </c>
      <c r="P281" s="2">
        <f t="shared" si="5"/>
        <v>21473.264473253264</v>
      </c>
      <c r="Q281" s="2">
        <f t="shared" si="5"/>
        <v>17278.956504607799</v>
      </c>
      <c r="R281" s="2">
        <f t="shared" si="5"/>
        <v>17334.252193466295</v>
      </c>
      <c r="S281" s="2">
        <f t="shared" si="5"/>
        <v>14541.66421831287</v>
      </c>
      <c r="T281" s="2">
        <f t="shared" si="5"/>
        <v>15850.188911352328</v>
      </c>
      <c r="U281" s="2">
        <f t="shared" si="5"/>
        <v>15295.070664551969</v>
      </c>
      <c r="V281" s="2">
        <f t="shared" si="5"/>
        <v>15326.282394140266</v>
      </c>
      <c r="W281" s="2">
        <f t="shared" si="5"/>
        <v>15124.721382914819</v>
      </c>
      <c r="X281" s="2">
        <f t="shared" si="5"/>
        <v>13711.770133795042</v>
      </c>
      <c r="Y281" s="2">
        <f t="shared" si="5"/>
        <v>12765.236963008645</v>
      </c>
      <c r="Z281" s="2">
        <f t="shared" si="5"/>
        <v>10731.770303028103</v>
      </c>
      <c r="AA281" s="2">
        <f t="shared" si="5"/>
        <v>9024.5425339125795</v>
      </c>
      <c r="AB281" s="2">
        <f t="shared" si="5"/>
        <v>7209.9900126453058</v>
      </c>
      <c r="AC281" s="2">
        <f t="shared" si="5"/>
        <v>5601.4056377423331</v>
      </c>
      <c r="AD281" s="2">
        <f t="shared" si="5"/>
        <v>4508.2345953301692</v>
      </c>
      <c r="AE281" s="2">
        <f t="shared" si="5"/>
        <v>3545.4555528323363</v>
      </c>
      <c r="AF281" s="2">
        <f t="shared" si="5"/>
        <v>3008.8542165788458</v>
      </c>
      <c r="AG281" s="2">
        <f t="shared" si="5"/>
        <v>2495.1192694365604</v>
      </c>
      <c r="AH281" s="2">
        <f t="shared" si="5"/>
        <v>2023.3387362470767</v>
      </c>
      <c r="AI281" s="2">
        <f t="shared" si="5"/>
        <v>1467.6729271524835</v>
      </c>
      <c r="AJ281" s="2">
        <f t="shared" si="5"/>
        <v>732.45898363885726</v>
      </c>
      <c r="AK281" s="2">
        <f t="shared" si="5"/>
        <v>-85.238192774438176</v>
      </c>
      <c r="AL281" s="2">
        <f t="shared" si="5"/>
        <v>-1022.2416520308877</v>
      </c>
      <c r="AM281" s="2">
        <f t="shared" si="5"/>
        <v>-1949.304298938152</v>
      </c>
      <c r="AN281" s="2">
        <f t="shared" si="5"/>
        <v>-2838.4846712900471</v>
      </c>
      <c r="AO281" s="2">
        <f t="shared" si="5"/>
        <v>-3641.5222593521453</v>
      </c>
      <c r="AP281" s="2">
        <f t="shared" si="5"/>
        <v>-4329.4205262525875</v>
      </c>
      <c r="AQ281" s="2">
        <f t="shared" si="5"/>
        <v>-4928.8062531017649</v>
      </c>
      <c r="AR281" s="2">
        <f t="shared" si="5"/>
        <v>-5443.6073173711648</v>
      </c>
      <c r="AS281" s="2">
        <f t="shared" si="5"/>
        <v>-5919.6018658141784</v>
      </c>
      <c r="AT281" s="2">
        <f t="shared" si="5"/>
        <v>-6379.6632143288334</v>
      </c>
      <c r="AU281" s="2">
        <f t="shared" si="5"/>
        <v>-6847.8593583073798</v>
      </c>
      <c r="AV281" s="2">
        <f t="shared" si="5"/>
        <v>-7338.6190028233714</v>
      </c>
      <c r="AW281" s="2">
        <f t="shared" si="5"/>
        <v>-7847.4404977750946</v>
      </c>
      <c r="AX281" s="2">
        <f t="shared" si="5"/>
        <v>-8369.562534291601</v>
      </c>
      <c r="AY281" s="2">
        <f t="shared" si="5"/>
        <v>-8887.1308995066574</v>
      </c>
      <c r="BC281" s="3">
        <f>SUM(BC5:BC278)</f>
        <v>101987.28176622784</v>
      </c>
      <c r="BD281" s="3">
        <f t="shared" ref="BD281:CY281" si="6">SUM(BD5:BD278)</f>
        <v>55144.051903463798</v>
      </c>
      <c r="BE281" s="3">
        <f t="shared" si="6"/>
        <v>1198.9497503460404</v>
      </c>
      <c r="BF281" s="3">
        <f t="shared" si="6"/>
        <v>43123.722673947981</v>
      </c>
      <c r="BG281" s="3">
        <f t="shared" si="6"/>
        <v>15888.060945577943</v>
      </c>
      <c r="BH281" s="3">
        <f t="shared" si="6"/>
        <v>43126.474762016056</v>
      </c>
      <c r="BI281" s="3">
        <f t="shared" si="6"/>
        <v>27263.809054433121</v>
      </c>
      <c r="BJ281" s="3">
        <f t="shared" si="6"/>
        <v>32747.011481927791</v>
      </c>
      <c r="BK281" s="3">
        <f t="shared" si="6"/>
        <v>42846.15564832613</v>
      </c>
      <c r="BL281" s="3">
        <f t="shared" si="6"/>
        <v>34818.479773662511</v>
      </c>
      <c r="BM281" s="3">
        <f t="shared" si="6"/>
        <v>39357.658834312249</v>
      </c>
      <c r="BN281" s="3">
        <f t="shared" si="6"/>
        <v>27669.867710671577</v>
      </c>
      <c r="BO281" s="3">
        <f t="shared" si="6"/>
        <v>25836.838195321314</v>
      </c>
      <c r="BP281" s="3">
        <f t="shared" si="6"/>
        <v>21473.264473253264</v>
      </c>
      <c r="BQ281" s="3">
        <f t="shared" si="6"/>
        <v>17278.956504607806</v>
      </c>
      <c r="BR281" s="3">
        <f t="shared" si="6"/>
        <v>17334.252193466295</v>
      </c>
      <c r="BS281" s="3">
        <f t="shared" si="6"/>
        <v>14541.664218312875</v>
      </c>
      <c r="BT281" s="3">
        <f t="shared" si="6"/>
        <v>15850.188911352319</v>
      </c>
      <c r="BU281" s="3">
        <f t="shared" si="6"/>
        <v>15295.070664551966</v>
      </c>
      <c r="BV281" s="3">
        <f t="shared" si="6"/>
        <v>15326.282394140268</v>
      </c>
      <c r="BW281" s="3">
        <f t="shared" si="6"/>
        <v>15124.721382914822</v>
      </c>
      <c r="BX281" s="3">
        <f t="shared" si="6"/>
        <v>13711.770133795038</v>
      </c>
      <c r="BY281" s="3">
        <f t="shared" si="6"/>
        <v>12765.23696300866</v>
      </c>
      <c r="BZ281" s="3">
        <f t="shared" si="6"/>
        <v>10731.770303028097</v>
      </c>
      <c r="CA281" s="3">
        <f t="shared" si="6"/>
        <v>9024.5425339125741</v>
      </c>
      <c r="CB281" s="3">
        <f t="shared" si="6"/>
        <v>7209.9900126453067</v>
      </c>
      <c r="CC281" s="3">
        <f t="shared" si="6"/>
        <v>5601.4056377423276</v>
      </c>
      <c r="CD281" s="3">
        <f t="shared" si="6"/>
        <v>4508.2345953301692</v>
      </c>
      <c r="CE281" s="3">
        <f t="shared" si="6"/>
        <v>3545.4555528323353</v>
      </c>
      <c r="CF281" s="3">
        <f t="shared" si="6"/>
        <v>3008.8542165788454</v>
      </c>
      <c r="CG281" s="3">
        <f t="shared" si="6"/>
        <v>2495.1192694365564</v>
      </c>
      <c r="CH281" s="3">
        <f t="shared" si="6"/>
        <v>2023.3387362470771</v>
      </c>
      <c r="CI281" s="3">
        <f t="shared" si="6"/>
        <v>1467.6729271524819</v>
      </c>
      <c r="CJ281" s="3">
        <f t="shared" si="6"/>
        <v>732.45898363885453</v>
      </c>
      <c r="CK281" s="3">
        <f t="shared" si="6"/>
        <v>-85.23819277443647</v>
      </c>
      <c r="CL281" s="3">
        <f t="shared" si="6"/>
        <v>-1022.2416520308853</v>
      </c>
      <c r="CM281" s="3">
        <f t="shared" si="6"/>
        <v>-1949.3042989381538</v>
      </c>
      <c r="CN281" s="3">
        <f t="shared" si="6"/>
        <v>-2838.4846712900453</v>
      </c>
      <c r="CO281" s="3">
        <f t="shared" si="6"/>
        <v>-3641.5222593521498</v>
      </c>
      <c r="CP281" s="3">
        <f t="shared" si="6"/>
        <v>-4329.4205262525911</v>
      </c>
      <c r="CQ281" s="3">
        <f t="shared" si="6"/>
        <v>-4928.8062531017631</v>
      </c>
      <c r="CR281" s="3">
        <f t="shared" si="6"/>
        <v>-5443.6073173711611</v>
      </c>
      <c r="CS281" s="3">
        <f t="shared" si="6"/>
        <v>-5919.6018658141802</v>
      </c>
      <c r="CT281" s="3">
        <f t="shared" si="6"/>
        <v>-6379.6632143288343</v>
      </c>
      <c r="CU281" s="3">
        <f t="shared" si="6"/>
        <v>-6847.8593583073753</v>
      </c>
      <c r="CV281" s="3">
        <f t="shared" si="6"/>
        <v>-7338.6190028233723</v>
      </c>
      <c r="CW281" s="3">
        <f t="shared" si="6"/>
        <v>-7847.4404977750974</v>
      </c>
      <c r="CX281" s="3">
        <f t="shared" si="6"/>
        <v>-8369.562534291601</v>
      </c>
      <c r="CY281" s="3">
        <f t="shared" si="6"/>
        <v>-8887.1308995066593</v>
      </c>
    </row>
    <row r="282" spans="1:103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BC282" s="3">
        <f>C281</f>
        <v>101987.28176622784</v>
      </c>
      <c r="BD282" s="3">
        <f t="shared" ref="BD282:CY282" si="7">D281</f>
        <v>55144.051903463806</v>
      </c>
      <c r="BE282" s="3">
        <f t="shared" si="7"/>
        <v>1198.9497503460404</v>
      </c>
      <c r="BF282" s="3">
        <f t="shared" si="7"/>
        <v>43123.722673947967</v>
      </c>
      <c r="BG282" s="3">
        <f t="shared" si="7"/>
        <v>15888.060945577939</v>
      </c>
      <c r="BH282" s="3">
        <f t="shared" si="7"/>
        <v>43126.474762016056</v>
      </c>
      <c r="BI282" s="3">
        <f t="shared" si="7"/>
        <v>27263.809054433128</v>
      </c>
      <c r="BJ282" s="3">
        <f t="shared" si="7"/>
        <v>32747.011481927784</v>
      </c>
      <c r="BK282" s="3">
        <f t="shared" si="7"/>
        <v>42846.15564832613</v>
      </c>
      <c r="BL282" s="3">
        <f t="shared" si="7"/>
        <v>34818.479773662526</v>
      </c>
      <c r="BM282" s="3">
        <f t="shared" si="7"/>
        <v>39357.658834312264</v>
      </c>
      <c r="BN282" s="3">
        <f t="shared" si="7"/>
        <v>27669.867710671577</v>
      </c>
      <c r="BO282" s="3">
        <f t="shared" si="7"/>
        <v>25836.838195321281</v>
      </c>
      <c r="BP282" s="3">
        <f t="shared" si="7"/>
        <v>21473.264473253264</v>
      </c>
      <c r="BQ282" s="3">
        <f t="shared" si="7"/>
        <v>17278.956504607799</v>
      </c>
      <c r="BR282" s="3">
        <f t="shared" si="7"/>
        <v>17334.252193466295</v>
      </c>
      <c r="BS282" s="3">
        <f t="shared" si="7"/>
        <v>14541.66421831287</v>
      </c>
      <c r="BT282" s="3">
        <f t="shared" si="7"/>
        <v>15850.188911352328</v>
      </c>
      <c r="BU282" s="3">
        <f t="shared" si="7"/>
        <v>15295.070664551969</v>
      </c>
      <c r="BV282" s="3">
        <f t="shared" si="7"/>
        <v>15326.282394140266</v>
      </c>
      <c r="BW282" s="3">
        <f t="shared" si="7"/>
        <v>15124.721382914819</v>
      </c>
      <c r="BX282" s="3">
        <f t="shared" si="7"/>
        <v>13711.770133795042</v>
      </c>
      <c r="BY282" s="3">
        <f t="shared" si="7"/>
        <v>12765.236963008645</v>
      </c>
      <c r="BZ282" s="3">
        <f t="shared" si="7"/>
        <v>10731.770303028103</v>
      </c>
      <c r="CA282" s="3">
        <f t="shared" si="7"/>
        <v>9024.5425339125795</v>
      </c>
      <c r="CB282" s="3">
        <f t="shared" si="7"/>
        <v>7209.9900126453058</v>
      </c>
      <c r="CC282" s="3">
        <f t="shared" si="7"/>
        <v>5601.4056377423331</v>
      </c>
      <c r="CD282" s="3">
        <f t="shared" si="7"/>
        <v>4508.2345953301692</v>
      </c>
      <c r="CE282" s="3">
        <f t="shared" si="7"/>
        <v>3545.4555528323363</v>
      </c>
      <c r="CF282" s="3">
        <f t="shared" si="7"/>
        <v>3008.8542165788458</v>
      </c>
      <c r="CG282" s="3">
        <f t="shared" si="7"/>
        <v>2495.1192694365604</v>
      </c>
      <c r="CH282" s="3">
        <f t="shared" si="7"/>
        <v>2023.3387362470767</v>
      </c>
      <c r="CI282" s="3">
        <f t="shared" si="7"/>
        <v>1467.6729271524835</v>
      </c>
      <c r="CJ282" s="3">
        <f t="shared" si="7"/>
        <v>732.45898363885726</v>
      </c>
      <c r="CK282" s="3">
        <f t="shared" si="7"/>
        <v>-85.238192774438176</v>
      </c>
      <c r="CL282" s="3">
        <f t="shared" si="7"/>
        <v>-1022.2416520308877</v>
      </c>
      <c r="CM282" s="3">
        <f t="shared" si="7"/>
        <v>-1949.304298938152</v>
      </c>
      <c r="CN282" s="3">
        <f t="shared" si="7"/>
        <v>-2838.4846712900471</v>
      </c>
      <c r="CO282" s="3">
        <f t="shared" si="7"/>
        <v>-3641.5222593521453</v>
      </c>
      <c r="CP282" s="3">
        <f t="shared" si="7"/>
        <v>-4329.4205262525875</v>
      </c>
      <c r="CQ282" s="3">
        <f t="shared" si="7"/>
        <v>-4928.8062531017649</v>
      </c>
      <c r="CR282" s="3">
        <f t="shared" si="7"/>
        <v>-5443.6073173711648</v>
      </c>
      <c r="CS282" s="3">
        <f t="shared" si="7"/>
        <v>-5919.6018658141784</v>
      </c>
      <c r="CT282" s="3">
        <f t="shared" si="7"/>
        <v>-6379.6632143288334</v>
      </c>
      <c r="CU282" s="3">
        <f t="shared" si="7"/>
        <v>-6847.8593583073798</v>
      </c>
      <c r="CV282" s="3">
        <f t="shared" si="7"/>
        <v>-7338.6190028233714</v>
      </c>
      <c r="CW282" s="3">
        <f t="shared" si="7"/>
        <v>-7847.4404977750946</v>
      </c>
      <c r="CX282" s="3">
        <f t="shared" si="7"/>
        <v>-8369.562534291601</v>
      </c>
      <c r="CY282" s="3">
        <f t="shared" si="7"/>
        <v>-8887.1308995066574</v>
      </c>
    </row>
    <row r="283" spans="1:103" x14ac:dyDescent="0.25">
      <c r="BB283" t="b">
        <f>AND(BC283:CY283)</f>
        <v>0</v>
      </c>
      <c r="BC283" t="b">
        <f>EXACT(BC281,C281)</f>
        <v>1</v>
      </c>
      <c r="BD283" t="b">
        <f t="shared" ref="BD283:CY283" si="8">EXACT(BD281,D281)</f>
        <v>1</v>
      </c>
      <c r="BE283" t="b">
        <f t="shared" si="8"/>
        <v>1</v>
      </c>
      <c r="BF283" t="b">
        <f t="shared" si="8"/>
        <v>1</v>
      </c>
      <c r="BG283" t="b">
        <f t="shared" si="8"/>
        <v>1</v>
      </c>
      <c r="BH283" t="b">
        <f t="shared" si="8"/>
        <v>1</v>
      </c>
      <c r="BI283" t="b">
        <f t="shared" si="8"/>
        <v>1</v>
      </c>
      <c r="BJ283" t="b">
        <f t="shared" si="8"/>
        <v>1</v>
      </c>
      <c r="BK283" t="b">
        <f t="shared" si="8"/>
        <v>1</v>
      </c>
      <c r="BL283" t="b">
        <f t="shared" si="8"/>
        <v>1</v>
      </c>
      <c r="BM283" t="b">
        <f t="shared" si="8"/>
        <v>0</v>
      </c>
      <c r="BN283" t="b">
        <f t="shared" si="8"/>
        <v>1</v>
      </c>
      <c r="BO283" t="b">
        <f t="shared" si="8"/>
        <v>1</v>
      </c>
      <c r="BP283" t="b">
        <f t="shared" si="8"/>
        <v>1</v>
      </c>
      <c r="BQ283" t="b">
        <f t="shared" si="8"/>
        <v>1</v>
      </c>
      <c r="BR283" t="b">
        <f t="shared" si="8"/>
        <v>1</v>
      </c>
      <c r="BS283" t="b">
        <f t="shared" si="8"/>
        <v>1</v>
      </c>
      <c r="BT283" t="b">
        <f t="shared" si="8"/>
        <v>1</v>
      </c>
      <c r="BU283" t="b">
        <f t="shared" si="8"/>
        <v>1</v>
      </c>
      <c r="BV283" t="b">
        <f t="shared" si="8"/>
        <v>1</v>
      </c>
      <c r="BW283" t="b">
        <f t="shared" si="8"/>
        <v>1</v>
      </c>
      <c r="BX283" t="b">
        <f t="shared" si="8"/>
        <v>1</v>
      </c>
      <c r="BY283" t="b">
        <f t="shared" si="8"/>
        <v>0</v>
      </c>
      <c r="BZ283" t="b">
        <f t="shared" si="8"/>
        <v>1</v>
      </c>
      <c r="CA283" t="b">
        <f t="shared" si="8"/>
        <v>0</v>
      </c>
      <c r="CB283" t="b">
        <f t="shared" si="8"/>
        <v>1</v>
      </c>
      <c r="CC283" t="b">
        <f t="shared" si="8"/>
        <v>1</v>
      </c>
      <c r="CD283" t="b">
        <f t="shared" si="8"/>
        <v>1</v>
      </c>
      <c r="CE283" t="b">
        <f t="shared" si="8"/>
        <v>1</v>
      </c>
      <c r="CF283" t="b">
        <f t="shared" si="8"/>
        <v>1</v>
      </c>
      <c r="CG283" t="b">
        <f t="shared" si="8"/>
        <v>1</v>
      </c>
      <c r="CH283" t="b">
        <f t="shared" si="8"/>
        <v>1</v>
      </c>
      <c r="CI283" t="b">
        <f t="shared" si="8"/>
        <v>1</v>
      </c>
      <c r="CJ283" t="b">
        <f t="shared" si="8"/>
        <v>0</v>
      </c>
      <c r="CK283" t="b">
        <f t="shared" si="8"/>
        <v>0</v>
      </c>
      <c r="CL283" t="b">
        <f t="shared" si="8"/>
        <v>1</v>
      </c>
      <c r="CM283" t="b">
        <f t="shared" si="8"/>
        <v>1</v>
      </c>
      <c r="CN283" t="b">
        <f t="shared" si="8"/>
        <v>1</v>
      </c>
      <c r="CO283" t="b">
        <f t="shared" si="8"/>
        <v>1</v>
      </c>
      <c r="CP283" t="b">
        <f t="shared" si="8"/>
        <v>1</v>
      </c>
      <c r="CQ283" t="b">
        <f t="shared" si="8"/>
        <v>1</v>
      </c>
      <c r="CR283" t="b">
        <f t="shared" si="8"/>
        <v>1</v>
      </c>
      <c r="CS283" t="b">
        <f t="shared" si="8"/>
        <v>1</v>
      </c>
      <c r="CT283" t="b">
        <f t="shared" si="8"/>
        <v>1</v>
      </c>
      <c r="CU283" t="b">
        <f t="shared" si="8"/>
        <v>1</v>
      </c>
      <c r="CV283" t="b">
        <f t="shared" si="8"/>
        <v>1</v>
      </c>
      <c r="CW283" t="b">
        <f t="shared" si="8"/>
        <v>0</v>
      </c>
      <c r="CX283" t="b">
        <f t="shared" si="8"/>
        <v>1</v>
      </c>
      <c r="CY283" t="b">
        <f t="shared" si="8"/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141"/>
  <sheetViews>
    <sheetView topLeftCell="A107" workbookViewId="0">
      <selection activeCell="B142" sqref="B142"/>
    </sheetView>
  </sheetViews>
  <sheetFormatPr defaultRowHeight="15" x14ac:dyDescent="0.25"/>
  <cols>
    <col min="2" max="2" width="26.28515625" bestFit="1" customWidth="1"/>
    <col min="3" max="3" width="12.42578125" bestFit="1" customWidth="1"/>
  </cols>
  <sheetData>
    <row r="1" spans="2:51" x14ac:dyDescent="0.25">
      <c r="B1" t="s">
        <v>145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 spans="2:51" x14ac:dyDescent="0.25">
      <c r="B2" t="s">
        <v>3</v>
      </c>
      <c r="C2" s="3">
        <v>319.60028464875114</v>
      </c>
      <c r="D2" s="3">
        <v>154.75118095641321</v>
      </c>
      <c r="E2" s="3">
        <v>9.6542848601653191</v>
      </c>
      <c r="F2" s="3">
        <v>6.8395599279657233</v>
      </c>
      <c r="G2" s="3">
        <v>-41.315408689776802</v>
      </c>
      <c r="H2" s="3">
        <v>37.57633346295512</v>
      </c>
      <c r="I2" s="3">
        <v>-16.342036042432198</v>
      </c>
      <c r="J2" s="3">
        <v>11.353432338114487</v>
      </c>
      <c r="K2" s="3">
        <v>18.409452941054781</v>
      </c>
      <c r="L2" s="3">
        <v>15.996068806351218</v>
      </c>
      <c r="M2" s="3">
        <v>25.488009530388808</v>
      </c>
      <c r="N2" s="3">
        <v>-2.2776442379025639</v>
      </c>
      <c r="O2" s="3">
        <v>-3.7182293701319509</v>
      </c>
      <c r="P2" s="3">
        <v>-18.850103099248656</v>
      </c>
      <c r="Q2" s="3">
        <v>-24.531147364674496</v>
      </c>
      <c r="R2" s="3">
        <v>-26.867011958291187</v>
      </c>
      <c r="S2" s="3">
        <v>-32.438009960522663</v>
      </c>
      <c r="T2" s="3">
        <v>-29.086977298274178</v>
      </c>
      <c r="U2" s="3">
        <v>-30.808792897826606</v>
      </c>
      <c r="V2" s="3">
        <v>-29.124944411214756</v>
      </c>
      <c r="W2" s="3">
        <v>-30.065535859498027</v>
      </c>
      <c r="X2" s="3">
        <v>-32.584258429610372</v>
      </c>
      <c r="Y2" s="3">
        <v>-35.035844437615651</v>
      </c>
      <c r="Z2" s="3">
        <v>-40.066001262085479</v>
      </c>
      <c r="AA2" s="3">
        <v>-44.317176648621285</v>
      </c>
      <c r="AB2" s="3">
        <v>-49.436230196965653</v>
      </c>
      <c r="AC2" s="3">
        <v>-53.706615381710094</v>
      </c>
      <c r="AD2" s="3">
        <v>-57.089982368700362</v>
      </c>
      <c r="AE2" s="3">
        <v>-59.912409908184713</v>
      </c>
      <c r="AF2" s="3">
        <v>-61.689034514918035</v>
      </c>
      <c r="AG2" s="3">
        <v>-63.394287134632123</v>
      </c>
      <c r="AH2" s="3">
        <v>-64.858651291198385</v>
      </c>
      <c r="AI2" s="3">
        <v>-66.619762344892706</v>
      </c>
      <c r="AJ2" s="3">
        <v>-68.759345701867005</v>
      </c>
      <c r="AK2" s="3">
        <v>-71.188720975601768</v>
      </c>
      <c r="AL2" s="3">
        <v>-73.946583408555625</v>
      </c>
      <c r="AM2" s="3">
        <v>-76.712902194554772</v>
      </c>
      <c r="AN2" s="3">
        <v>-79.437366243706265</v>
      </c>
      <c r="AO2" s="3">
        <v>-81.937921589083771</v>
      </c>
      <c r="AP2" s="3">
        <v>-84.16828977868613</v>
      </c>
      <c r="AQ2" s="3">
        <v>-86.151897338816639</v>
      </c>
      <c r="AR2" s="3">
        <v>-87.904703695895932</v>
      </c>
      <c r="AS2" s="3">
        <v>-89.537915565915455</v>
      </c>
      <c r="AT2" s="3">
        <v>-91.104481459321164</v>
      </c>
      <c r="AU2" s="3">
        <v>-92.681171434303906</v>
      </c>
      <c r="AV2" s="3">
        <v>-94.30148612322273</v>
      </c>
      <c r="AW2" s="3">
        <v>-95.96701254561799</v>
      </c>
      <c r="AX2" s="3">
        <v>-97.666287009288112</v>
      </c>
      <c r="AY2" s="3">
        <v>-99.35549899778357</v>
      </c>
    </row>
    <row r="3" spans="2:51" x14ac:dyDescent="0.25">
      <c r="B3" t="s">
        <v>6</v>
      </c>
      <c r="C3" s="3">
        <v>346.5960396326717</v>
      </c>
      <c r="D3" s="3">
        <v>131.27727957765973</v>
      </c>
      <c r="E3" s="3">
        <v>-74.854786388468312</v>
      </c>
      <c r="F3" s="3">
        <v>65.948090209164462</v>
      </c>
      <c r="G3" s="3">
        <v>-33.438584720190903</v>
      </c>
      <c r="H3" s="3">
        <v>61.394963116816598</v>
      </c>
      <c r="I3" s="3">
        <v>12.268487799535393</v>
      </c>
      <c r="J3" s="3">
        <v>37.397891431349194</v>
      </c>
      <c r="K3" s="3">
        <v>74.617242779519302</v>
      </c>
      <c r="L3" s="3">
        <v>46.32221099231532</v>
      </c>
      <c r="M3" s="3">
        <v>66.640943612486438</v>
      </c>
      <c r="N3" s="3">
        <v>31.569368643193059</v>
      </c>
      <c r="O3" s="3">
        <v>29.741173395014584</v>
      </c>
      <c r="P3" s="3">
        <v>17.313333828810642</v>
      </c>
      <c r="Q3" s="3">
        <v>4.310923159400545</v>
      </c>
      <c r="R3" s="3">
        <v>6.2695394710700043</v>
      </c>
      <c r="S3" s="3">
        <v>-1.8377492130130122</v>
      </c>
      <c r="T3" s="3">
        <v>4.8773753540039024</v>
      </c>
      <c r="U3" s="3">
        <v>5.6427487821931663</v>
      </c>
      <c r="V3" s="3">
        <v>8.9454439082027761</v>
      </c>
      <c r="W3" s="3">
        <v>11.631266082337902</v>
      </c>
      <c r="X3" s="3">
        <v>9.7348598700297089</v>
      </c>
      <c r="Y3" s="3">
        <v>9.0358247722588771</v>
      </c>
      <c r="Z3" s="3">
        <v>4.0614644174172554</v>
      </c>
      <c r="AA3" s="3">
        <v>-6.2307132622720474E-2</v>
      </c>
      <c r="AB3" s="3">
        <v>-4.6910500998675957</v>
      </c>
      <c r="AC3" s="3">
        <v>-8.6422225971275566</v>
      </c>
      <c r="AD3" s="3">
        <v>-10.754985044149123</v>
      </c>
      <c r="AE3" s="3">
        <v>-12.39935767781725</v>
      </c>
      <c r="AF3" s="3">
        <v>-12.546682105476805</v>
      </c>
      <c r="AG3" s="3">
        <v>-12.637312401469387</v>
      </c>
      <c r="AH3" s="3">
        <v>-12.615945800518944</v>
      </c>
      <c r="AI3" s="3">
        <v>-12.92110502769998</v>
      </c>
      <c r="AJ3" s="3">
        <v>-13.902236403417362</v>
      </c>
      <c r="AK3" s="3">
        <v>-15.232124605614217</v>
      </c>
      <c r="AL3" s="3">
        <v>-17.065457590238509</v>
      </c>
      <c r="AM3" s="3">
        <v>-18.963586021057381</v>
      </c>
      <c r="AN3" s="3">
        <v>-20.827933404804071</v>
      </c>
      <c r="AO3" s="3">
        <v>-22.473686890122565</v>
      </c>
      <c r="AP3" s="3">
        <v>-23.770600001149489</v>
      </c>
      <c r="AQ3" s="3">
        <v>-24.785916159596184</v>
      </c>
      <c r="AR3" s="3">
        <v>-25.514541765541594</v>
      </c>
      <c r="AS3" s="3">
        <v>-26.11252133894277</v>
      </c>
      <c r="AT3" s="3">
        <v>-26.667526573499629</v>
      </c>
      <c r="AU3" s="3">
        <v>-27.277456596778222</v>
      </c>
      <c r="AV3" s="3">
        <v>-28.00685292125047</v>
      </c>
      <c r="AW3" s="3">
        <v>-28.848327969031232</v>
      </c>
      <c r="AX3" s="3">
        <v>-29.787333398611736</v>
      </c>
      <c r="AY3" s="3">
        <v>-30.757601320780282</v>
      </c>
    </row>
    <row r="4" spans="2:51" x14ac:dyDescent="0.25">
      <c r="B4" t="s">
        <v>7</v>
      </c>
      <c r="C4" s="3">
        <v>6.0914460564066877</v>
      </c>
      <c r="D4" s="3">
        <v>-2.8634891127887232</v>
      </c>
      <c r="E4" s="3">
        <v>-5.3091280815543449</v>
      </c>
      <c r="F4" s="3">
        <v>-3.0686358504177171</v>
      </c>
      <c r="G4" s="3">
        <v>-11.670558175874026</v>
      </c>
      <c r="H4" s="3">
        <v>-8.7306732684964246</v>
      </c>
      <c r="I4" s="3">
        <v>-9.7619550165048175</v>
      </c>
      <c r="J4" s="3">
        <v>-4.9892081659881953</v>
      </c>
      <c r="K4" s="3">
        <v>-1.5415093364617558</v>
      </c>
      <c r="L4" s="3">
        <v>-0.29605854890136207</v>
      </c>
      <c r="M4" s="3">
        <v>2.094437554903088</v>
      </c>
      <c r="N4" s="3">
        <v>1.1186469872913936</v>
      </c>
      <c r="O4" s="3">
        <v>0.76680476565930178</v>
      </c>
      <c r="P4" s="3">
        <v>-1.1624118794228409</v>
      </c>
      <c r="Q4" s="3">
        <v>-2.9368895652393263</v>
      </c>
      <c r="R4" s="3">
        <v>-3.9941035185432607</v>
      </c>
      <c r="S4" s="3">
        <v>-4.8751450867503721</v>
      </c>
      <c r="T4" s="3">
        <v>-4.5704948780164347</v>
      </c>
      <c r="U4" s="3">
        <v>-4.1417579115518581</v>
      </c>
      <c r="V4" s="3">
        <v>-3.2456547713452046</v>
      </c>
      <c r="W4" s="3">
        <v>-2.3989789815180345</v>
      </c>
      <c r="X4" s="3">
        <v>-1.8355320872788603</v>
      </c>
      <c r="Y4" s="3">
        <v>-1.4928623721610244</v>
      </c>
      <c r="Z4" s="3">
        <v>-1.6112445315717814</v>
      </c>
      <c r="AA4" s="3">
        <v>-1.9069469512450752</v>
      </c>
      <c r="AB4" s="3">
        <v>-2.3879730300755533</v>
      </c>
      <c r="AC4" s="3">
        <v>-2.8657228266926644</v>
      </c>
      <c r="AD4" s="3">
        <v>-3.2282368314857308</v>
      </c>
      <c r="AE4" s="3">
        <v>-3.4551375246904783</v>
      </c>
      <c r="AF4" s="3">
        <v>-3.4821036827383196</v>
      </c>
      <c r="AG4" s="3">
        <v>-3.3888232127357369</v>
      </c>
      <c r="AH4" s="3">
        <v>-3.205906463494717</v>
      </c>
      <c r="AI4" s="3">
        <v>-3.014526592742456</v>
      </c>
      <c r="AJ4" s="3">
        <v>-2.8739267807626234</v>
      </c>
      <c r="AK4" s="3">
        <v>-2.8095100927220962</v>
      </c>
      <c r="AL4" s="3">
        <v>-2.8413307602277555</v>
      </c>
      <c r="AM4" s="3">
        <v>-2.9425344767119022</v>
      </c>
      <c r="AN4" s="3">
        <v>-3.0881640294151609</v>
      </c>
      <c r="AO4" s="3">
        <v>-3.2389380262647727</v>
      </c>
      <c r="AP4" s="3">
        <v>-3.3635243021133157</v>
      </c>
      <c r="AQ4" s="3">
        <v>-3.4454131153839249</v>
      </c>
      <c r="AR4" s="3">
        <v>-3.4775986368636502</v>
      </c>
      <c r="AS4" s="3">
        <v>-3.470964391201516</v>
      </c>
      <c r="AT4" s="3">
        <v>-3.4404424591084464</v>
      </c>
      <c r="AU4" s="3">
        <v>-3.405440444634305</v>
      </c>
      <c r="AV4" s="3">
        <v>-3.3819751870670629</v>
      </c>
      <c r="AW4" s="3">
        <v>-3.3792334273364553</v>
      </c>
      <c r="AX4" s="3">
        <v>-3.4002068519411601</v>
      </c>
      <c r="AY4" s="3">
        <v>-3.4402670805019575</v>
      </c>
    </row>
    <row r="5" spans="2:51" x14ac:dyDescent="0.25">
      <c r="B5" t="s">
        <v>8</v>
      </c>
      <c r="C5" s="3">
        <v>164.72550324607062</v>
      </c>
      <c r="D5" s="3">
        <v>101.70263371592455</v>
      </c>
      <c r="E5" s="3">
        <v>-17.821569360414429</v>
      </c>
      <c r="F5" s="3">
        <v>27.294332527796939</v>
      </c>
      <c r="G5" s="3">
        <v>-37.899773217864549</v>
      </c>
      <c r="H5" s="3">
        <v>16.285101581170267</v>
      </c>
      <c r="I5" s="3">
        <v>1.4067109239097135</v>
      </c>
      <c r="J5" s="3">
        <v>3.8709869675465995</v>
      </c>
      <c r="K5" s="3">
        <v>23.744601349899312</v>
      </c>
      <c r="L5" s="3">
        <v>11.226569310537442</v>
      </c>
      <c r="M5" s="3">
        <v>25.845682343023768</v>
      </c>
      <c r="N5" s="3">
        <v>11.238470667486524</v>
      </c>
      <c r="O5" s="3">
        <v>10.077334164906418</v>
      </c>
      <c r="P5" s="3">
        <v>6.0724613998664978</v>
      </c>
      <c r="Q5" s="3">
        <v>-0.42113331613340677</v>
      </c>
      <c r="R5" s="3">
        <v>0.94276122096106008</v>
      </c>
      <c r="S5" s="3">
        <v>-4.0935200546904724</v>
      </c>
      <c r="T5" s="3">
        <v>-2.2418181038799503</v>
      </c>
      <c r="U5" s="3">
        <v>-2.6777483148805459</v>
      </c>
      <c r="V5" s="3">
        <v>-1.8768658343192612</v>
      </c>
      <c r="W5" s="3">
        <v>-0.36749422037749468</v>
      </c>
      <c r="X5" s="3">
        <v>-0.9505292394993603</v>
      </c>
      <c r="Y5" s="3">
        <v>-0.51488138758222135</v>
      </c>
      <c r="Z5" s="3">
        <v>-2.0923951373765703</v>
      </c>
      <c r="AA5" s="3">
        <v>-3.5001372948743779</v>
      </c>
      <c r="AB5" s="3">
        <v>-5.3259842557056061</v>
      </c>
      <c r="AC5" s="3">
        <v>-7.2227367874573645</v>
      </c>
      <c r="AD5" s="3">
        <v>-8.3632794943659121</v>
      </c>
      <c r="AE5" s="3">
        <v>-9.4061008377307758</v>
      </c>
      <c r="AF5" s="3">
        <v>-9.719185586948214</v>
      </c>
      <c r="AG5" s="3">
        <v>-9.9114647874569926</v>
      </c>
      <c r="AH5" s="3">
        <v>-9.9652005633490717</v>
      </c>
      <c r="AI5" s="3">
        <v>-10.038273148063837</v>
      </c>
      <c r="AJ5" s="3">
        <v>-10.363468003094937</v>
      </c>
      <c r="AK5" s="3">
        <v>-10.795751690928768</v>
      </c>
      <c r="AL5" s="3">
        <v>-11.459247250960118</v>
      </c>
      <c r="AM5" s="3">
        <v>-12.182933955846067</v>
      </c>
      <c r="AN5" s="3">
        <v>-12.935129214891276</v>
      </c>
      <c r="AO5" s="3">
        <v>-13.649810098789345</v>
      </c>
      <c r="AP5" s="3">
        <v>-14.250214782213817</v>
      </c>
      <c r="AQ5" s="3">
        <v>-14.756369127871977</v>
      </c>
      <c r="AR5" s="3">
        <v>-15.138773017732632</v>
      </c>
      <c r="AS5" s="3">
        <v>-15.44712973757089</v>
      </c>
      <c r="AT5" s="3">
        <v>-15.708676467088367</v>
      </c>
      <c r="AU5" s="3">
        <v>-15.961366023106223</v>
      </c>
      <c r="AV5" s="3">
        <v>-16.242601395049292</v>
      </c>
      <c r="AW5" s="3">
        <v>-16.559310470213234</v>
      </c>
      <c r="AX5" s="3">
        <v>-16.9195204580314</v>
      </c>
      <c r="AY5" s="3">
        <v>-17.304397559807825</v>
      </c>
    </row>
    <row r="6" spans="2:51" x14ac:dyDescent="0.25">
      <c r="B6" t="s">
        <v>9</v>
      </c>
      <c r="C6" s="3">
        <v>11.944164875996238</v>
      </c>
      <c r="D6" s="3">
        <v>-5.2646265625252546</v>
      </c>
      <c r="E6" s="3">
        <v>-0.7164004405584441</v>
      </c>
      <c r="F6" s="3">
        <v>1.0863568911049932</v>
      </c>
      <c r="G6" s="3">
        <v>-0.57487855261796539</v>
      </c>
      <c r="H6" s="3">
        <v>2.8278088130366603</v>
      </c>
      <c r="I6" s="3">
        <v>-0.91662432926312332</v>
      </c>
      <c r="J6" s="3">
        <v>1.7379778017569385</v>
      </c>
      <c r="K6" s="3">
        <v>0.99148020595686148</v>
      </c>
      <c r="L6" s="3">
        <v>0.95470316775757036</v>
      </c>
      <c r="M6" s="3">
        <v>1.4728632146407672</v>
      </c>
      <c r="N6" s="3">
        <v>0.49018726829828374</v>
      </c>
      <c r="O6" s="3">
        <v>1.2727314784142669</v>
      </c>
      <c r="P6" s="3">
        <v>0.73429494614515978</v>
      </c>
      <c r="Q6" s="3">
        <v>0.93134903336940811</v>
      </c>
      <c r="R6" s="3">
        <v>0.89933952911064652</v>
      </c>
      <c r="S6" s="3">
        <v>0.73185673797668316</v>
      </c>
      <c r="T6" s="3">
        <v>0.95367121675042943</v>
      </c>
      <c r="U6" s="3">
        <v>0.80400437323534191</v>
      </c>
      <c r="V6" s="3">
        <v>0.95617309760641112</v>
      </c>
      <c r="W6" s="3">
        <v>0.92919598741870746</v>
      </c>
      <c r="X6" s="3">
        <v>0.94059779355622775</v>
      </c>
      <c r="Y6" s="3">
        <v>0.97503783576647285</v>
      </c>
      <c r="Z6" s="3">
        <v>0.91177418009415556</v>
      </c>
      <c r="AA6" s="3">
        <v>0.92866967358182106</v>
      </c>
      <c r="AB6" s="3">
        <v>0.8785804266911873</v>
      </c>
      <c r="AC6" s="3">
        <v>0.87550961150281492</v>
      </c>
      <c r="AD6" s="3">
        <v>0.87113178754824194</v>
      </c>
      <c r="AE6" s="3">
        <v>0.86548015063057115</v>
      </c>
      <c r="AF6" s="3">
        <v>0.88347912832865105</v>
      </c>
      <c r="AG6" s="3">
        <v>0.88260069232702143</v>
      </c>
      <c r="AH6" s="3">
        <v>0.89577128984438392</v>
      </c>
      <c r="AI6" s="3">
        <v>0.89699791279996199</v>
      </c>
      <c r="AJ6" s="3">
        <v>0.89718735192269228</v>
      </c>
      <c r="AK6" s="3">
        <v>0.89669529324206554</v>
      </c>
      <c r="AL6" s="3">
        <v>0.88997510964675619</v>
      </c>
      <c r="AM6" s="3">
        <v>0.8870137772983111</v>
      </c>
      <c r="AN6" s="3">
        <v>0.88062138901593345</v>
      </c>
      <c r="AO6" s="3">
        <v>0.87714050374268382</v>
      </c>
      <c r="AP6" s="3">
        <v>0.87461107211349431</v>
      </c>
      <c r="AQ6" s="3">
        <v>0.87323676723099442</v>
      </c>
      <c r="AR6" s="3">
        <v>0.87430800648521378</v>
      </c>
      <c r="AS6" s="3">
        <v>0.87521943025834081</v>
      </c>
      <c r="AT6" s="3">
        <v>0.87711622033439807</v>
      </c>
      <c r="AU6" s="3">
        <v>0.87808465529792112</v>
      </c>
      <c r="AV6" s="3">
        <v>0.87826307966422901</v>
      </c>
      <c r="AW6" s="3">
        <v>0.87755714198514356</v>
      </c>
      <c r="AX6" s="3">
        <v>0.87582396480361213</v>
      </c>
      <c r="AY6" s="3">
        <v>0.87393256482392778</v>
      </c>
    </row>
    <row r="7" spans="2:51" x14ac:dyDescent="0.25">
      <c r="B7" t="s">
        <v>10</v>
      </c>
      <c r="C7" s="3">
        <v>2.4530587034992379</v>
      </c>
      <c r="D7" s="3">
        <v>1.2693800093959093</v>
      </c>
      <c r="E7" s="3">
        <v>0.51973788539894406</v>
      </c>
      <c r="F7" s="3">
        <v>1.6858439775008254</v>
      </c>
      <c r="G7" s="3">
        <v>0.90933835026377385</v>
      </c>
      <c r="H7" s="3">
        <v>1.8541998337288284</v>
      </c>
      <c r="I7" s="3">
        <v>1.524767891241761</v>
      </c>
      <c r="J7" s="3">
        <v>1.8646675989765022</v>
      </c>
      <c r="K7" s="3">
        <v>2.0929651518044534</v>
      </c>
      <c r="L7" s="3">
        <v>1.8807004336323021</v>
      </c>
      <c r="M7" s="3">
        <v>2.0722118965432856</v>
      </c>
      <c r="N7" s="3">
        <v>1.7889810604993011</v>
      </c>
      <c r="O7" s="3">
        <v>1.7961362451590408</v>
      </c>
      <c r="P7" s="3">
        <v>1.6749410348439073</v>
      </c>
      <c r="Q7" s="3">
        <v>1.5922096394987644</v>
      </c>
      <c r="R7" s="3">
        <v>1.6284056715590656</v>
      </c>
      <c r="S7" s="3">
        <v>1.5959186992244483</v>
      </c>
      <c r="T7" s="3">
        <v>1.6904571054149042</v>
      </c>
      <c r="U7" s="3">
        <v>1.7251538269224385</v>
      </c>
      <c r="V7" s="3">
        <v>1.7827711756735418</v>
      </c>
      <c r="W7" s="3">
        <v>1.8193741961130434</v>
      </c>
      <c r="X7" s="3">
        <v>1.8144100624321138</v>
      </c>
      <c r="Y7" s="3">
        <v>1.8137039056450543</v>
      </c>
      <c r="Z7" s="3">
        <v>1.7771944187804971</v>
      </c>
      <c r="AA7" s="3">
        <v>1.7526198056393691</v>
      </c>
      <c r="AB7" s="3">
        <v>1.7257796684097759</v>
      </c>
      <c r="AC7" s="3">
        <v>1.709220618382725</v>
      </c>
      <c r="AD7" s="3">
        <v>1.7084844674861208</v>
      </c>
      <c r="AE7" s="3">
        <v>1.7120265609218175</v>
      </c>
      <c r="AF7" s="3">
        <v>1.727057851976612</v>
      </c>
      <c r="AG7" s="3">
        <v>1.7404949805206658</v>
      </c>
      <c r="AH7" s="3">
        <v>1.7535254190881682</v>
      </c>
      <c r="AI7" s="3">
        <v>1.7618812867476648</v>
      </c>
      <c r="AJ7" s="3">
        <v>1.7635726818130015</v>
      </c>
      <c r="AK7" s="3">
        <v>1.7613925005380073</v>
      </c>
      <c r="AL7" s="3">
        <v>1.7545076977933998</v>
      </c>
      <c r="AM7" s="3">
        <v>1.7470927002193224</v>
      </c>
      <c r="AN7" s="3">
        <v>1.7401078313579601</v>
      </c>
      <c r="AO7" s="3">
        <v>1.7354473815006892</v>
      </c>
      <c r="AP7" s="3">
        <v>1.734022581196377</v>
      </c>
      <c r="AQ7" s="3">
        <v>1.7351168153548857</v>
      </c>
      <c r="AR7" s="3">
        <v>1.7384327946398996</v>
      </c>
      <c r="AS7" s="3">
        <v>1.7423242560897798</v>
      </c>
      <c r="AT7" s="3">
        <v>1.7458940497861408</v>
      </c>
      <c r="AU7" s="3">
        <v>1.7482331583708246</v>
      </c>
      <c r="AV7" s="3">
        <v>1.7489334261987968</v>
      </c>
      <c r="AW7" s="3">
        <v>1.7482331588517721</v>
      </c>
      <c r="AX7" s="3">
        <v>1.7464669580191745</v>
      </c>
      <c r="AY7" s="3">
        <v>1.7443597587633075</v>
      </c>
    </row>
    <row r="8" spans="2:51" x14ac:dyDescent="0.25">
      <c r="B8" t="s">
        <v>11</v>
      </c>
      <c r="C8" s="3">
        <v>1773.3851720403159</v>
      </c>
      <c r="D8" s="3">
        <v>1153.6882470687103</v>
      </c>
      <c r="E8" s="3">
        <v>525.47580862696577</v>
      </c>
      <c r="F8" s="3">
        <v>704.04264310615281</v>
      </c>
      <c r="G8" s="3">
        <v>376.59426157313624</v>
      </c>
      <c r="H8" s="3">
        <v>719.65513222202856</v>
      </c>
      <c r="I8" s="3">
        <v>449.41361098966627</v>
      </c>
      <c r="J8" s="3">
        <v>504.84741768430877</v>
      </c>
      <c r="K8" s="3">
        <v>534.70051339844269</v>
      </c>
      <c r="L8" s="3">
        <v>451.53751951778406</v>
      </c>
      <c r="M8" s="3">
        <v>501.73953810281489</v>
      </c>
      <c r="N8" s="3">
        <v>364.70286653216817</v>
      </c>
      <c r="O8" s="3">
        <v>358.97442358251044</v>
      </c>
      <c r="P8" s="3">
        <v>302.29311357498125</v>
      </c>
      <c r="Q8" s="3">
        <v>269.90498946613286</v>
      </c>
      <c r="R8" s="3">
        <v>266.61054204907441</v>
      </c>
      <c r="S8" s="3">
        <v>228.95691858842122</v>
      </c>
      <c r="T8" s="3">
        <v>233.00873304135257</v>
      </c>
      <c r="U8" s="3">
        <v>209.13419495015819</v>
      </c>
      <c r="V8" s="3">
        <v>198.34705843843778</v>
      </c>
      <c r="W8" s="3">
        <v>182.38434818851181</v>
      </c>
      <c r="X8" s="3">
        <v>159.33619250296158</v>
      </c>
      <c r="Y8" s="3">
        <v>144.06679223516835</v>
      </c>
      <c r="Z8" s="3">
        <v>119.14303280553167</v>
      </c>
      <c r="AA8" s="3">
        <v>100.32245840105861</v>
      </c>
      <c r="AB8" s="3">
        <v>78.748774583728277</v>
      </c>
      <c r="AC8" s="3">
        <v>59.439966694459031</v>
      </c>
      <c r="AD8" s="3">
        <v>43.716535155011911</v>
      </c>
      <c r="AE8" s="3">
        <v>28.342595150717671</v>
      </c>
      <c r="AF8" s="3">
        <v>16.891122334189049</v>
      </c>
      <c r="AG8" s="3">
        <v>5.0759909821540532</v>
      </c>
      <c r="AH8" s="3">
        <v>-5.7469127319541258</v>
      </c>
      <c r="AI8" s="3">
        <v>-17.118490432446151</v>
      </c>
      <c r="AJ8" s="3">
        <v>-29.476313821369104</v>
      </c>
      <c r="AK8" s="3">
        <v>-41.932690028338698</v>
      </c>
      <c r="AL8" s="3">
        <v>-55.020249091182791</v>
      </c>
      <c r="AM8" s="3">
        <v>-67.477206132152673</v>
      </c>
      <c r="AN8" s="3">
        <v>-79.42683735685921</v>
      </c>
      <c r="AO8" s="3">
        <v>-90.468326615741717</v>
      </c>
      <c r="AP8" s="3">
        <v>-100.54045170118854</v>
      </c>
      <c r="AQ8" s="3">
        <v>-109.9368777857386</v>
      </c>
      <c r="AR8" s="3">
        <v>-118.63515921213593</v>
      </c>
      <c r="AS8" s="3">
        <v>-127.01541848384807</v>
      </c>
      <c r="AT8" s="3">
        <v>-135.12952773679046</v>
      </c>
      <c r="AU8" s="3">
        <v>-143.13071072071386</v>
      </c>
      <c r="AV8" s="3">
        <v>-151.07650634255879</v>
      </c>
      <c r="AW8" s="3">
        <v>-158.91767960935272</v>
      </c>
      <c r="AX8" s="3">
        <v>-166.65126490011494</v>
      </c>
      <c r="AY8" s="3">
        <v>-174.16048025155135</v>
      </c>
    </row>
    <row r="9" spans="2:51" x14ac:dyDescent="0.25">
      <c r="B9" t="s">
        <v>12</v>
      </c>
      <c r="C9" s="3">
        <v>12.982749220250437</v>
      </c>
      <c r="D9" s="3">
        <v>2.1856113187933395</v>
      </c>
      <c r="E9" s="3">
        <v>0.26421353073566056</v>
      </c>
      <c r="F9" s="3">
        <v>-0.55653062705030254</v>
      </c>
      <c r="G9" s="3">
        <v>-0.2289133456142407</v>
      </c>
      <c r="H9" s="3">
        <v>2.0054216809101284</v>
      </c>
      <c r="I9" s="3">
        <v>-7.3066612267909115E-2</v>
      </c>
      <c r="J9" s="3">
        <v>1.1360287531171682</v>
      </c>
      <c r="K9" s="3">
        <v>0.79240396281873471</v>
      </c>
      <c r="L9" s="3">
        <v>1.0243456474416242</v>
      </c>
      <c r="M9" s="3">
        <v>1.1095350283866554</v>
      </c>
      <c r="N9" s="3">
        <v>0.43803041889294869</v>
      </c>
      <c r="O9" s="3">
        <v>0.6772445965981313</v>
      </c>
      <c r="P9" s="3">
        <v>0.34517546653828823</v>
      </c>
      <c r="Q9" s="3">
        <v>0.47867260984974358</v>
      </c>
      <c r="R9" s="3">
        <v>0.45376845042309633</v>
      </c>
      <c r="S9" s="3">
        <v>0.4036264970041028</v>
      </c>
      <c r="T9" s="3">
        <v>0.52659617155307537</v>
      </c>
      <c r="U9" s="3">
        <v>0.46737933749104066</v>
      </c>
      <c r="V9" s="3">
        <v>0.54823528914505193</v>
      </c>
      <c r="W9" s="3">
        <v>0.51316994709701813</v>
      </c>
      <c r="X9" s="3">
        <v>0.49977051582515486</v>
      </c>
      <c r="Y9" s="3">
        <v>0.48451127928632864</v>
      </c>
      <c r="Z9" s="3">
        <v>0.42367635512293145</v>
      </c>
      <c r="AA9" s="3">
        <v>0.40001789130704157</v>
      </c>
      <c r="AB9" s="3">
        <v>0.34434748982596464</v>
      </c>
      <c r="AC9" s="3">
        <v>0.32125168437172569</v>
      </c>
      <c r="AD9" s="3">
        <v>0.30346338821798646</v>
      </c>
      <c r="AE9" s="3">
        <v>0.29480319569737823</v>
      </c>
      <c r="AF9" s="3">
        <v>0.30118863412420538</v>
      </c>
      <c r="AG9" s="3">
        <v>0.2992340086738503</v>
      </c>
      <c r="AH9" s="3">
        <v>0.30190551761885054</v>
      </c>
      <c r="AI9" s="3">
        <v>0.2934389931646102</v>
      </c>
      <c r="AJ9" s="3">
        <v>0.28030054216391331</v>
      </c>
      <c r="AK9" s="3">
        <v>0.26301669756215329</v>
      </c>
      <c r="AL9" s="3">
        <v>0.24186411965088883</v>
      </c>
      <c r="AM9" s="3">
        <v>0.22360492359366102</v>
      </c>
      <c r="AN9" s="3">
        <v>0.20605088051399711</v>
      </c>
      <c r="AO9" s="3">
        <v>0.19297450606153976</v>
      </c>
      <c r="AP9" s="3">
        <v>0.18276071210841494</v>
      </c>
      <c r="AQ9" s="3">
        <v>0.17494716810843247</v>
      </c>
      <c r="AR9" s="3">
        <v>0.16907391917533943</v>
      </c>
      <c r="AS9" s="3">
        <v>0.16313355523687889</v>
      </c>
      <c r="AT9" s="3">
        <v>0.15717498442666411</v>
      </c>
      <c r="AU9" s="3">
        <v>0.14998066585856051</v>
      </c>
      <c r="AV9" s="3">
        <v>0.14172315783321032</v>
      </c>
      <c r="AW9" s="3">
        <v>0.13253113701214581</v>
      </c>
      <c r="AX9" s="3">
        <v>0.12272008195558293</v>
      </c>
      <c r="AY9" s="3">
        <v>0.11308190639695681</v>
      </c>
    </row>
    <row r="10" spans="2:51" x14ac:dyDescent="0.25">
      <c r="B10" t="s">
        <v>13</v>
      </c>
      <c r="C10" s="3">
        <v>49.975769516814331</v>
      </c>
      <c r="D10" s="3">
        <v>60.205142454389275</v>
      </c>
      <c r="E10" s="3">
        <v>-2.193549302635617</v>
      </c>
      <c r="F10" s="3">
        <v>50.775221766660209</v>
      </c>
      <c r="G10" s="3">
        <v>8.6052837061943492</v>
      </c>
      <c r="H10" s="3">
        <v>32.816356365961809</v>
      </c>
      <c r="I10" s="3">
        <v>24.385866143033276</v>
      </c>
      <c r="J10" s="3">
        <v>19.382827734840433</v>
      </c>
      <c r="K10" s="3">
        <v>31.406578885273518</v>
      </c>
      <c r="L10" s="3">
        <v>18.242714560997072</v>
      </c>
      <c r="M10" s="3">
        <v>27.685018652416495</v>
      </c>
      <c r="N10" s="3">
        <v>20.621759479661193</v>
      </c>
      <c r="O10" s="3">
        <v>21.07749962929018</v>
      </c>
      <c r="P10" s="3">
        <v>21.118519666173071</v>
      </c>
      <c r="Q10" s="3">
        <v>17.425680820307527</v>
      </c>
      <c r="R10" s="3">
        <v>19.471970914366018</v>
      </c>
      <c r="S10" s="3">
        <v>16.392620360851858</v>
      </c>
      <c r="T10" s="3">
        <v>17.095558155090067</v>
      </c>
      <c r="U10" s="3">
        <v>16.215131739294073</v>
      </c>
      <c r="V10" s="3">
        <v>15.520861975324728</v>
      </c>
      <c r="W10" s="3">
        <v>15.763187153141381</v>
      </c>
      <c r="X10" s="3">
        <v>14.692858956619247</v>
      </c>
      <c r="Y10" s="3">
        <v>14.76106070519225</v>
      </c>
      <c r="Z10" s="3">
        <v>13.929391816095659</v>
      </c>
      <c r="AA10" s="3">
        <v>13.418119513842782</v>
      </c>
      <c r="AB10" s="3">
        <v>12.860170372670254</v>
      </c>
      <c r="AC10" s="3">
        <v>12.110248241579932</v>
      </c>
      <c r="AD10" s="3">
        <v>11.713969583821317</v>
      </c>
      <c r="AE10" s="3">
        <v>11.120212715784938</v>
      </c>
      <c r="AF10" s="3">
        <v>10.784756392941418</v>
      </c>
      <c r="AG10" s="3">
        <v>10.415302762359048</v>
      </c>
      <c r="AH10" s="3">
        <v>10.076625349211703</v>
      </c>
      <c r="AI10" s="3">
        <v>9.7922440192400657</v>
      </c>
      <c r="AJ10" s="3">
        <v>9.4308080546231992</v>
      </c>
      <c r="AK10" s="3">
        <v>9.1177008955944956</v>
      </c>
      <c r="AL10" s="3">
        <v>8.7517383512008138</v>
      </c>
      <c r="AM10" s="3">
        <v>8.402551975738703</v>
      </c>
      <c r="AN10" s="3">
        <v>8.0592371686947715</v>
      </c>
      <c r="AO10" s="3">
        <v>7.7186150595856944</v>
      </c>
      <c r="AP10" s="3">
        <v>7.4129682917533088</v>
      </c>
      <c r="AQ10" s="3">
        <v>7.1150054976591193</v>
      </c>
      <c r="AR10" s="3">
        <v>6.8480659616241368</v>
      </c>
      <c r="AS10" s="3">
        <v>6.5953559028507058</v>
      </c>
      <c r="AT10" s="3">
        <v>6.3568839366445715</v>
      </c>
      <c r="AU10" s="3">
        <v>6.1303816628745196</v>
      </c>
      <c r="AV10" s="3">
        <v>5.9053993227797079</v>
      </c>
      <c r="AW10" s="3">
        <v>5.6860035381630283</v>
      </c>
      <c r="AX10" s="3">
        <v>5.466013053989208</v>
      </c>
      <c r="AY10" s="3">
        <v>5.2496235807460678</v>
      </c>
    </row>
    <row r="11" spans="2:51" x14ac:dyDescent="0.25">
      <c r="B11" t="s">
        <v>14</v>
      </c>
      <c r="C11" s="3">
        <v>2.6449148103024638</v>
      </c>
      <c r="D11" s="3">
        <v>2.5356105249404397</v>
      </c>
      <c r="E11" s="3">
        <v>0.39966625389907562</v>
      </c>
      <c r="F11" s="3">
        <v>3.4434081229971092</v>
      </c>
      <c r="G11" s="3">
        <v>0.99305969886760792</v>
      </c>
      <c r="H11" s="3">
        <v>2.5593967341200212</v>
      </c>
      <c r="I11" s="3">
        <v>1.8436527606521091</v>
      </c>
      <c r="J11" s="3">
        <v>1.9121880759770009</v>
      </c>
      <c r="K11" s="3">
        <v>2.3465567831150898</v>
      </c>
      <c r="L11" s="3">
        <v>1.5733834438223591</v>
      </c>
      <c r="M11" s="3">
        <v>2.0148843358904158</v>
      </c>
      <c r="N11" s="3">
        <v>1.4729209719712011</v>
      </c>
      <c r="O11" s="3">
        <v>1.4946676920583299</v>
      </c>
      <c r="P11" s="3">
        <v>1.3652548900900308</v>
      </c>
      <c r="Q11" s="3">
        <v>1.1628301759289332</v>
      </c>
      <c r="R11" s="3">
        <v>1.2608464194407345</v>
      </c>
      <c r="S11" s="3">
        <v>1.1096850766180308</v>
      </c>
      <c r="T11" s="3">
        <v>1.1937638911626554</v>
      </c>
      <c r="U11" s="3">
        <v>1.1473606095171989</v>
      </c>
      <c r="V11" s="3">
        <v>1.1251460826991817</v>
      </c>
      <c r="W11" s="3">
        <v>1.1115550031767865</v>
      </c>
      <c r="X11" s="3">
        <v>1.0217846607404093</v>
      </c>
      <c r="Y11" s="3">
        <v>0.98522377976395692</v>
      </c>
      <c r="Z11" s="3">
        <v>0.89522906105346589</v>
      </c>
      <c r="AA11" s="3">
        <v>0.8382149614756873</v>
      </c>
      <c r="AB11" s="3">
        <v>0.78172992595430646</v>
      </c>
      <c r="AC11" s="3">
        <v>0.72961052506836843</v>
      </c>
      <c r="AD11" s="3">
        <v>0.70114043569252615</v>
      </c>
      <c r="AE11" s="3">
        <v>0.66551240529267996</v>
      </c>
      <c r="AF11" s="3">
        <v>0.64548634545985539</v>
      </c>
      <c r="AG11" s="3">
        <v>0.61976500741954244</v>
      </c>
      <c r="AH11" s="3">
        <v>0.59408782769893786</v>
      </c>
      <c r="AI11" s="3">
        <v>0.56665408764740999</v>
      </c>
      <c r="AJ11" s="3">
        <v>0.53266348609264647</v>
      </c>
      <c r="AK11" s="3">
        <v>0.49958116987762313</v>
      </c>
      <c r="AL11" s="3">
        <v>0.46313430276435685</v>
      </c>
      <c r="AM11" s="3">
        <v>0.4292420623397506</v>
      </c>
      <c r="AN11" s="3">
        <v>0.39754087331234356</v>
      </c>
      <c r="AO11" s="3">
        <v>0.36891952410315998</v>
      </c>
      <c r="AP11" s="3">
        <v>0.34450268321110933</v>
      </c>
      <c r="AQ11" s="3">
        <v>0.3221783240093048</v>
      </c>
      <c r="AR11" s="3">
        <v>0.30229067322547554</v>
      </c>
      <c r="AS11" s="3">
        <v>0.28285059892089581</v>
      </c>
      <c r="AT11" s="3">
        <v>0.26344196313248514</v>
      </c>
      <c r="AU11" s="3">
        <v>0.2436120089754219</v>
      </c>
      <c r="AV11" s="3">
        <v>0.22307909130563885</v>
      </c>
      <c r="AW11" s="3">
        <v>0.20247946285074647</v>
      </c>
      <c r="AX11" s="3">
        <v>0.18197391419361875</v>
      </c>
      <c r="AY11" s="3">
        <v>0.16225517216287244</v>
      </c>
    </row>
    <row r="12" spans="2:51" x14ac:dyDescent="0.25">
      <c r="B12" t="s">
        <v>15</v>
      </c>
      <c r="C12" s="3">
        <v>124.3258363957822</v>
      </c>
      <c r="D12" s="3">
        <v>118.71307516503072</v>
      </c>
      <c r="E12" s="3">
        <v>30.712735223051787</v>
      </c>
      <c r="F12" s="3">
        <v>63.718760426889382</v>
      </c>
      <c r="G12" s="3">
        <v>16.1462429625781</v>
      </c>
      <c r="H12" s="3">
        <v>47.11182083775244</v>
      </c>
      <c r="I12" s="3">
        <v>33.674152074883231</v>
      </c>
      <c r="J12" s="3">
        <v>28.047895425117389</v>
      </c>
      <c r="K12" s="3">
        <v>40.285785532513195</v>
      </c>
      <c r="L12" s="3">
        <v>29.211124120455906</v>
      </c>
      <c r="M12" s="3">
        <v>40.135986786592134</v>
      </c>
      <c r="N12" s="3">
        <v>31.834462193817345</v>
      </c>
      <c r="O12" s="3">
        <v>32.054713203446248</v>
      </c>
      <c r="P12" s="3">
        <v>31.292537089757516</v>
      </c>
      <c r="Q12" s="3">
        <v>27.261034068504166</v>
      </c>
      <c r="R12" s="3">
        <v>28.491585981105025</v>
      </c>
      <c r="S12" s="3">
        <v>24.003674205854516</v>
      </c>
      <c r="T12" s="3">
        <v>23.442349756372025</v>
      </c>
      <c r="U12" s="3">
        <v>21.088664620715434</v>
      </c>
      <c r="V12" s="3">
        <v>19.339354505744993</v>
      </c>
      <c r="W12" s="3">
        <v>18.705833096263888</v>
      </c>
      <c r="X12" s="3">
        <v>17.075102432415846</v>
      </c>
      <c r="Y12" s="3">
        <v>16.847556204556668</v>
      </c>
      <c r="Z12" s="3">
        <v>15.719567689121959</v>
      </c>
      <c r="AA12" s="3">
        <v>14.894793236341087</v>
      </c>
      <c r="AB12" s="3">
        <v>13.81845546908103</v>
      </c>
      <c r="AC12" s="3">
        <v>12.426222900770597</v>
      </c>
      <c r="AD12" s="3">
        <v>11.298142852324403</v>
      </c>
      <c r="AE12" s="3">
        <v>9.9490451647251348</v>
      </c>
      <c r="AF12" s="3">
        <v>8.9189982575754385</v>
      </c>
      <c r="AG12" s="3">
        <v>7.9184088321317603</v>
      </c>
      <c r="AH12" s="3">
        <v>7.0445999438949229</v>
      </c>
      <c r="AI12" s="3">
        <v>6.2927819272705534</v>
      </c>
      <c r="AJ12" s="3">
        <v>5.5168749190337678</v>
      </c>
      <c r="AK12" s="3">
        <v>4.8234567592106572</v>
      </c>
      <c r="AL12" s="3">
        <v>4.0888450297335481</v>
      </c>
      <c r="AM12" s="3">
        <v>3.3770102883199797</v>
      </c>
      <c r="AN12" s="3">
        <v>2.6621475317281238</v>
      </c>
      <c r="AO12" s="3">
        <v>1.9399860101062956</v>
      </c>
      <c r="AP12" s="3">
        <v>1.2422895770247919</v>
      </c>
      <c r="AQ12" s="3">
        <v>0.5478283931531962</v>
      </c>
      <c r="AR12" s="3">
        <v>-0.10828249715508775</v>
      </c>
      <c r="AS12" s="3">
        <v>-0.73323211983681347</v>
      </c>
      <c r="AT12" s="3">
        <v>-1.3171439669995806</v>
      </c>
      <c r="AU12" s="3">
        <v>-1.8596831199468369</v>
      </c>
      <c r="AV12" s="3">
        <v>-2.3732710964058583</v>
      </c>
      <c r="AW12" s="3">
        <v>-2.8603268448587329</v>
      </c>
      <c r="AX12" s="3">
        <v>-3.3356393559652417</v>
      </c>
      <c r="AY12" s="3">
        <v>-3.8019373499359261</v>
      </c>
    </row>
    <row r="13" spans="2:51" x14ac:dyDescent="0.25">
      <c r="B13" t="s">
        <v>16</v>
      </c>
      <c r="C13" s="3">
        <v>17.90419308898786</v>
      </c>
      <c r="D13" s="3">
        <v>13.557916074413521</v>
      </c>
      <c r="E13" s="3">
        <v>0.70435080797988825</v>
      </c>
      <c r="F13" s="3">
        <v>10.339578658334382</v>
      </c>
      <c r="G13" s="3">
        <v>5.5633489018262354</v>
      </c>
      <c r="H13" s="3">
        <v>9.5845576559913326</v>
      </c>
      <c r="I13" s="3">
        <v>8.2113025349585484</v>
      </c>
      <c r="J13" s="3">
        <v>8.2155177079932464</v>
      </c>
      <c r="K13" s="3">
        <v>10.543928674989687</v>
      </c>
      <c r="L13" s="3">
        <v>8.4284613887965882</v>
      </c>
      <c r="M13" s="3">
        <v>9.1537308350130271</v>
      </c>
      <c r="N13" s="3">
        <v>7.2736652879111876</v>
      </c>
      <c r="O13" s="3">
        <v>6.63649186064284</v>
      </c>
      <c r="P13" s="3">
        <v>6.0398097891247051</v>
      </c>
      <c r="Q13" s="3">
        <v>5.0847178063168332</v>
      </c>
      <c r="R13" s="3">
        <v>5.2043237959456636</v>
      </c>
      <c r="S13" s="3">
        <v>4.7614325660673451</v>
      </c>
      <c r="T13" s="3">
        <v>5.0083118479076365</v>
      </c>
      <c r="U13" s="3">
        <v>5.0157623527307438</v>
      </c>
      <c r="V13" s="3">
        <v>4.982910517078821</v>
      </c>
      <c r="W13" s="3">
        <v>4.975466154640749</v>
      </c>
      <c r="X13" s="3">
        <v>4.6654538380714232</v>
      </c>
      <c r="Y13" s="3">
        <v>4.4429544948229864</v>
      </c>
      <c r="Z13" s="3">
        <v>4.0402820765184408</v>
      </c>
      <c r="AA13" s="3">
        <v>3.6875887652616339</v>
      </c>
      <c r="AB13" s="3">
        <v>3.3635732712993187</v>
      </c>
      <c r="AC13" s="3">
        <v>3.0703232880102749</v>
      </c>
      <c r="AD13" s="3">
        <v>2.8910611340389751</v>
      </c>
      <c r="AE13" s="3">
        <v>2.7325306762215762</v>
      </c>
      <c r="AF13" s="3">
        <v>2.6438444538998853</v>
      </c>
      <c r="AG13" s="3">
        <v>2.558369758052919</v>
      </c>
      <c r="AH13" s="3">
        <v>2.4672389706211275</v>
      </c>
      <c r="AI13" s="3">
        <v>2.3608647597801964</v>
      </c>
      <c r="AJ13" s="3">
        <v>2.2162983060780368</v>
      </c>
      <c r="AK13" s="3">
        <v>2.0568068586568362</v>
      </c>
      <c r="AL13" s="3">
        <v>1.877247876043449</v>
      </c>
      <c r="AM13" s="3">
        <v>1.7002348856504454</v>
      </c>
      <c r="AN13" s="3">
        <v>1.5344744409137254</v>
      </c>
      <c r="AO13" s="3">
        <v>1.3862662117813134</v>
      </c>
      <c r="AP13" s="3">
        <v>1.2621277360400338</v>
      </c>
      <c r="AQ13" s="3">
        <v>1.1553361981505166</v>
      </c>
      <c r="AR13" s="3">
        <v>1.063856789265671</v>
      </c>
      <c r="AS13" s="3">
        <v>0.97866702525675464</v>
      </c>
      <c r="AT13" s="3">
        <v>0.8942328018516692</v>
      </c>
      <c r="AU13" s="3">
        <v>0.8066909281385044</v>
      </c>
      <c r="AV13" s="3">
        <v>0.71350419822706002</v>
      </c>
      <c r="AW13" s="3">
        <v>0.61649265461405722</v>
      </c>
      <c r="AX13" s="3">
        <v>0.51737001381984093</v>
      </c>
      <c r="AY13" s="3">
        <v>0.41988413156585302</v>
      </c>
    </row>
    <row r="14" spans="2:51" x14ac:dyDescent="0.25">
      <c r="B14" t="s">
        <v>17</v>
      </c>
      <c r="C14" s="3">
        <v>653.77917910601104</v>
      </c>
      <c r="D14" s="3">
        <v>531.34735249618257</v>
      </c>
      <c r="E14" s="3">
        <v>145.7316117226535</v>
      </c>
      <c r="F14" s="3">
        <v>488.34624364742672</v>
      </c>
      <c r="G14" s="3">
        <v>219.93551599235582</v>
      </c>
      <c r="H14" s="3">
        <v>371.35306910625366</v>
      </c>
      <c r="I14" s="3">
        <v>280.55398341530571</v>
      </c>
      <c r="J14" s="3">
        <v>273.58724026114021</v>
      </c>
      <c r="K14" s="3">
        <v>341.29380601615287</v>
      </c>
      <c r="L14" s="3">
        <v>254.08962767904313</v>
      </c>
      <c r="M14" s="3">
        <v>296.82854859922719</v>
      </c>
      <c r="N14" s="3">
        <v>228.82130085216045</v>
      </c>
      <c r="O14" s="3">
        <v>217.31230025269929</v>
      </c>
      <c r="P14" s="3">
        <v>194.85412760223278</v>
      </c>
      <c r="Q14" s="3">
        <v>157.92912191304106</v>
      </c>
      <c r="R14" s="3">
        <v>157.22675338278873</v>
      </c>
      <c r="S14" s="3">
        <v>128.75309514069238</v>
      </c>
      <c r="T14" s="3">
        <v>127.82212925720125</v>
      </c>
      <c r="U14" s="3">
        <v>115.72026148359168</v>
      </c>
      <c r="V14" s="3">
        <v>106.5933267325463</v>
      </c>
      <c r="W14" s="3">
        <v>100.92546678761289</v>
      </c>
      <c r="X14" s="3">
        <v>86.707123958345278</v>
      </c>
      <c r="Y14" s="3">
        <v>78.445326762019249</v>
      </c>
      <c r="Z14" s="3">
        <v>63.494663477565382</v>
      </c>
      <c r="AA14" s="3">
        <v>50.817802335243982</v>
      </c>
      <c r="AB14" s="3">
        <v>37.701352489736792</v>
      </c>
      <c r="AC14" s="3">
        <v>24.490170357213742</v>
      </c>
      <c r="AD14" s="3">
        <v>14.311451902012436</v>
      </c>
      <c r="AE14" s="3">
        <v>3.9313502158091751</v>
      </c>
      <c r="AF14" s="3">
        <v>-3.9125653284783084</v>
      </c>
      <c r="AG14" s="3">
        <v>-11.527153091129094</v>
      </c>
      <c r="AH14" s="3">
        <v>-18.615225586346469</v>
      </c>
      <c r="AI14" s="3">
        <v>-25.493935824659616</v>
      </c>
      <c r="AJ14" s="3">
        <v>-33.025715413534158</v>
      </c>
      <c r="AK14" s="3">
        <v>-40.48773611246088</v>
      </c>
      <c r="AL14" s="3">
        <v>-48.428670076041612</v>
      </c>
      <c r="AM14" s="3">
        <v>-56.209058941066701</v>
      </c>
      <c r="AN14" s="3">
        <v>-63.780626074618112</v>
      </c>
      <c r="AO14" s="3">
        <v>-70.993097926619726</v>
      </c>
      <c r="AP14" s="3">
        <v>-77.609448264925049</v>
      </c>
      <c r="AQ14" s="3">
        <v>-83.798349139246966</v>
      </c>
      <c r="AR14" s="3">
        <v>-89.471576778665508</v>
      </c>
      <c r="AS14" s="3">
        <v>-94.832309563356375</v>
      </c>
      <c r="AT14" s="3">
        <v>-99.957914438740431</v>
      </c>
      <c r="AU14" s="3">
        <v>-104.94198142151106</v>
      </c>
      <c r="AV14" s="3">
        <v>-109.88314563387348</v>
      </c>
      <c r="AW14" s="3">
        <v>-114.76520236256613</v>
      </c>
      <c r="AX14" s="3">
        <v>-119.60847237288772</v>
      </c>
      <c r="AY14" s="3">
        <v>-124.3499081925886</v>
      </c>
    </row>
    <row r="15" spans="2:51" x14ac:dyDescent="0.25">
      <c r="B15" t="s">
        <v>18</v>
      </c>
      <c r="C15" s="3">
        <v>140.11355118490513</v>
      </c>
      <c r="D15" s="3">
        <v>165.30776399621141</v>
      </c>
      <c r="E15" s="3">
        <v>100.25598102065169</v>
      </c>
      <c r="F15" s="3">
        <v>141.28947992529859</v>
      </c>
      <c r="G15" s="3">
        <v>49.699466257732013</v>
      </c>
      <c r="H15" s="3">
        <v>101.73637899639765</v>
      </c>
      <c r="I15" s="3">
        <v>92.835896377181953</v>
      </c>
      <c r="J15" s="3">
        <v>86.906275833921541</v>
      </c>
      <c r="K15" s="3">
        <v>92.870854628144485</v>
      </c>
      <c r="L15" s="3">
        <v>70.607586590166918</v>
      </c>
      <c r="M15" s="3">
        <v>84.134224661930688</v>
      </c>
      <c r="N15" s="3">
        <v>67.869071999133155</v>
      </c>
      <c r="O15" s="3">
        <v>64.51638638337964</v>
      </c>
      <c r="P15" s="3">
        <v>59.29020846293335</v>
      </c>
      <c r="Q15" s="3">
        <v>53.062153639628207</v>
      </c>
      <c r="R15" s="3">
        <v>56.038686388757384</v>
      </c>
      <c r="S15" s="3">
        <v>51.497405649949314</v>
      </c>
      <c r="T15" s="3">
        <v>52.669692262822707</v>
      </c>
      <c r="U15" s="3">
        <v>50.002408987398283</v>
      </c>
      <c r="V15" s="3">
        <v>47.502733602711317</v>
      </c>
      <c r="W15" s="3">
        <v>45.297024771482569</v>
      </c>
      <c r="X15" s="3">
        <v>41.008081110526831</v>
      </c>
      <c r="Y15" s="3">
        <v>38.544429910282631</v>
      </c>
      <c r="Z15" s="3">
        <v>35.012250210933729</v>
      </c>
      <c r="AA15" s="3">
        <v>32.594952294627035</v>
      </c>
      <c r="AB15" s="3">
        <v>30.322242156558417</v>
      </c>
      <c r="AC15" s="3">
        <v>28.097389680100719</v>
      </c>
      <c r="AD15" s="3">
        <v>26.48302914184589</v>
      </c>
      <c r="AE15" s="3">
        <v>24.614560635179998</v>
      </c>
      <c r="AF15" s="3">
        <v>23.14329929772498</v>
      </c>
      <c r="AG15" s="3">
        <v>21.520899581781094</v>
      </c>
      <c r="AH15" s="3">
        <v>19.899233890611896</v>
      </c>
      <c r="AI15" s="3">
        <v>18.259383624276467</v>
      </c>
      <c r="AJ15" s="3">
        <v>16.46253021635269</v>
      </c>
      <c r="AK15" s="3">
        <v>14.731119845253488</v>
      </c>
      <c r="AL15" s="3">
        <v>12.960788805209745</v>
      </c>
      <c r="AM15" s="3">
        <v>11.320891082606977</v>
      </c>
      <c r="AN15" s="3">
        <v>9.8060441737423218</v>
      </c>
      <c r="AO15" s="3">
        <v>8.4228689355608992</v>
      </c>
      <c r="AP15" s="3">
        <v>7.1845923928555351</v>
      </c>
      <c r="AQ15" s="3">
        <v>6.0110663253410337</v>
      </c>
      <c r="AR15" s="3">
        <v>4.898818029350025</v>
      </c>
      <c r="AS15" s="3">
        <v>3.7917424625518947</v>
      </c>
      <c r="AT15" s="3">
        <v>2.6844473660686106</v>
      </c>
      <c r="AU15" s="3">
        <v>1.5777478120758701</v>
      </c>
      <c r="AV15" s="3">
        <v>0.47496558440408876</v>
      </c>
      <c r="AW15" s="3">
        <v>-0.59864659022159117</v>
      </c>
      <c r="AX15" s="3">
        <v>-1.6370773130426528</v>
      </c>
      <c r="AY15" s="3">
        <v>-2.624716876096727</v>
      </c>
    </row>
    <row r="16" spans="2:51" x14ac:dyDescent="0.25">
      <c r="B16" t="s">
        <v>19</v>
      </c>
      <c r="C16" s="3">
        <v>218.49126070993665</v>
      </c>
      <c r="D16" s="3">
        <v>176.84188178726498</v>
      </c>
      <c r="E16" s="3">
        <v>55.072236526866917</v>
      </c>
      <c r="F16" s="3">
        <v>126.18856045270118</v>
      </c>
      <c r="G16" s="3">
        <v>64.264382831839015</v>
      </c>
      <c r="H16" s="3">
        <v>141.12286439284009</v>
      </c>
      <c r="I16" s="3">
        <v>125.14091746286157</v>
      </c>
      <c r="J16" s="3">
        <v>143.31478699930199</v>
      </c>
      <c r="K16" s="3">
        <v>167.02973115998299</v>
      </c>
      <c r="L16" s="3">
        <v>150.35112157834763</v>
      </c>
      <c r="M16" s="3">
        <v>160.80253865530037</v>
      </c>
      <c r="N16" s="3">
        <v>132.31864679120361</v>
      </c>
      <c r="O16" s="3">
        <v>122.69169535246486</v>
      </c>
      <c r="P16" s="3">
        <v>108.21296695179865</v>
      </c>
      <c r="Q16" s="3">
        <v>96.385737548277802</v>
      </c>
      <c r="R16" s="3">
        <v>96.896080651767363</v>
      </c>
      <c r="S16" s="3">
        <v>93.422790360993361</v>
      </c>
      <c r="T16" s="3">
        <v>100.35144353404918</v>
      </c>
      <c r="U16" s="3">
        <v>103.61216730383696</v>
      </c>
      <c r="V16" s="3">
        <v>107.40747907637876</v>
      </c>
      <c r="W16" s="3">
        <v>109.32887147254358</v>
      </c>
      <c r="X16" s="3">
        <v>106.9875018938894</v>
      </c>
      <c r="Y16" s="3">
        <v>104.47070555131667</v>
      </c>
      <c r="Z16" s="3">
        <v>98.970707343042093</v>
      </c>
      <c r="AA16" s="3">
        <v>94.154475299117237</v>
      </c>
      <c r="AB16" s="3">
        <v>89.510858755761774</v>
      </c>
      <c r="AC16" s="3">
        <v>85.904216145657145</v>
      </c>
      <c r="AD16" s="3">
        <v>84.043669177603661</v>
      </c>
      <c r="AE16" s="3">
        <v>82.941555532234446</v>
      </c>
      <c r="AF16" s="3">
        <v>83.036967727230035</v>
      </c>
      <c r="AG16" s="3">
        <v>83.224115601273937</v>
      </c>
      <c r="AH16" s="3">
        <v>83.348918601792491</v>
      </c>
      <c r="AI16" s="3">
        <v>83.015393307074874</v>
      </c>
      <c r="AJ16" s="3">
        <v>81.960342532397647</v>
      </c>
      <c r="AK16" s="3">
        <v>80.426845662646201</v>
      </c>
      <c r="AL16" s="3">
        <v>78.423857236814428</v>
      </c>
      <c r="AM16" s="3">
        <v>76.357991242307293</v>
      </c>
      <c r="AN16" s="3">
        <v>74.414649632728043</v>
      </c>
      <c r="AO16" s="3">
        <v>72.788041990515154</v>
      </c>
      <c r="AP16" s="3">
        <v>71.580547967519976</v>
      </c>
      <c r="AQ16" s="3">
        <v>70.717191935601818</v>
      </c>
      <c r="AR16" s="3">
        <v>70.133110262719526</v>
      </c>
      <c r="AS16" s="3">
        <v>69.654241016938329</v>
      </c>
      <c r="AT16" s="3">
        <v>69.162318113692208</v>
      </c>
      <c r="AU16" s="3">
        <v>68.560455069709434</v>
      </c>
      <c r="AV16" s="3">
        <v>67.802848020050334</v>
      </c>
      <c r="AW16" s="3">
        <v>66.913158923447952</v>
      </c>
      <c r="AX16" s="3">
        <v>65.933409063894231</v>
      </c>
      <c r="AY16" s="3">
        <v>64.940132592024156</v>
      </c>
    </row>
    <row r="17" spans="2:51" x14ac:dyDescent="0.25">
      <c r="B17" t="s">
        <v>20</v>
      </c>
      <c r="C17" s="3">
        <v>752.14140541872291</v>
      </c>
      <c r="D17" s="3">
        <v>504.97746128258427</v>
      </c>
      <c r="E17" s="3">
        <v>88.376068018003082</v>
      </c>
      <c r="F17" s="3">
        <v>281.79969859136133</v>
      </c>
      <c r="G17" s="3">
        <v>60.373350834123983</v>
      </c>
      <c r="H17" s="3">
        <v>188.87722550180223</v>
      </c>
      <c r="I17" s="3">
        <v>125.8141740047073</v>
      </c>
      <c r="J17" s="3">
        <v>141.85423755373762</v>
      </c>
      <c r="K17" s="3">
        <v>220.2942260937794</v>
      </c>
      <c r="L17" s="3">
        <v>173.7360662361159</v>
      </c>
      <c r="M17" s="3">
        <v>219.16712495936247</v>
      </c>
      <c r="N17" s="3">
        <v>168.07674956250804</v>
      </c>
      <c r="O17" s="3">
        <v>158.89349168365345</v>
      </c>
      <c r="P17" s="3">
        <v>138.67866937450498</v>
      </c>
      <c r="Q17" s="3">
        <v>106.87046314464374</v>
      </c>
      <c r="R17" s="3">
        <v>102.91197084614328</v>
      </c>
      <c r="S17" s="3">
        <v>78.069809778407262</v>
      </c>
      <c r="T17" s="3">
        <v>77.418810224334777</v>
      </c>
      <c r="U17" s="3">
        <v>70.402757420054058</v>
      </c>
      <c r="V17" s="3">
        <v>68.233470128653096</v>
      </c>
      <c r="W17" s="3">
        <v>69.906743882937405</v>
      </c>
      <c r="X17" s="3">
        <v>64.997900180802958</v>
      </c>
      <c r="Y17" s="3">
        <v>63.718163662686493</v>
      </c>
      <c r="Z17" s="3">
        <v>55.287454321581492</v>
      </c>
      <c r="AA17" s="3">
        <v>46.740722971696698</v>
      </c>
      <c r="AB17" s="3">
        <v>36.306776167704243</v>
      </c>
      <c r="AC17" s="3">
        <v>25.178500612873677</v>
      </c>
      <c r="AD17" s="3">
        <v>16.584947815871487</v>
      </c>
      <c r="AE17" s="3">
        <v>8.5505294083160948</v>
      </c>
      <c r="AF17" s="3">
        <v>3.446271405620962</v>
      </c>
      <c r="AG17" s="3">
        <v>-0.68197554077704581</v>
      </c>
      <c r="AH17" s="3">
        <v>-3.882087476983429</v>
      </c>
      <c r="AI17" s="3">
        <v>-6.7936322553587161</v>
      </c>
      <c r="AJ17" s="3">
        <v>-10.398925717504369</v>
      </c>
      <c r="AK17" s="3">
        <v>-14.330866446703112</v>
      </c>
      <c r="AL17" s="3">
        <v>-19.09628437982002</v>
      </c>
      <c r="AM17" s="3">
        <v>-24.15184638305476</v>
      </c>
      <c r="AN17" s="3">
        <v>-29.360603234366408</v>
      </c>
      <c r="AO17" s="3">
        <v>-34.458269769698461</v>
      </c>
      <c r="AP17" s="3">
        <v>-39.11656935042646</v>
      </c>
      <c r="AQ17" s="3">
        <v>-43.348987357862711</v>
      </c>
      <c r="AR17" s="3">
        <v>-47.013878321503512</v>
      </c>
      <c r="AS17" s="3">
        <v>-50.258497888502234</v>
      </c>
      <c r="AT17" s="3">
        <v>-53.181750855998359</v>
      </c>
      <c r="AU17" s="3">
        <v>-55.934467886075879</v>
      </c>
      <c r="AV17" s="3">
        <v>-58.681478315024151</v>
      </c>
      <c r="AW17" s="3">
        <v>-61.484302752617282</v>
      </c>
      <c r="AX17" s="3">
        <v>-64.401387001020908</v>
      </c>
      <c r="AY17" s="3">
        <v>-67.386743322920324</v>
      </c>
    </row>
    <row r="18" spans="2:51" x14ac:dyDescent="0.25">
      <c r="B18" t="s">
        <v>21</v>
      </c>
      <c r="C18" s="3">
        <v>28.533179694878903</v>
      </c>
      <c r="D18" s="3">
        <v>19.367244608015266</v>
      </c>
      <c r="E18" s="3">
        <v>10.715105314009467</v>
      </c>
      <c r="F18" s="3">
        <v>5.3295093004985779</v>
      </c>
      <c r="G18" s="3">
        <v>1.8710341478472019</v>
      </c>
      <c r="H18" s="3">
        <v>6.6934469676202095</v>
      </c>
      <c r="I18" s="3">
        <v>4.5486872232610178</v>
      </c>
      <c r="J18" s="3">
        <v>6.1468880892046771</v>
      </c>
      <c r="K18" s="3">
        <v>6.5157306856470658</v>
      </c>
      <c r="L18" s="3">
        <v>6.8590894596269241</v>
      </c>
      <c r="M18" s="3">
        <v>7.6336746856630562</v>
      </c>
      <c r="N18" s="3">
        <v>6.2262715807484525</v>
      </c>
      <c r="O18" s="3">
        <v>6.049263805717854</v>
      </c>
      <c r="P18" s="3">
        <v>5.1358543317491705</v>
      </c>
      <c r="Q18" s="3">
        <v>4.8277317725562092</v>
      </c>
      <c r="R18" s="3">
        <v>4.6572917866377299</v>
      </c>
      <c r="S18" s="3">
        <v>4.3321197463208279</v>
      </c>
      <c r="T18" s="3">
        <v>4.4715161311030975</v>
      </c>
      <c r="U18" s="3">
        <v>4.3837201589140804</v>
      </c>
      <c r="V18" s="3">
        <v>4.5303751219768573</v>
      </c>
      <c r="W18" s="3">
        <v>4.5617680660331477</v>
      </c>
      <c r="X18" s="3">
        <v>4.5386437613797277</v>
      </c>
      <c r="Y18" s="3">
        <v>4.5142690084920734</v>
      </c>
      <c r="Z18" s="3">
        <v>4.3439251550731282</v>
      </c>
      <c r="AA18" s="3">
        <v>4.1897774158630261</v>
      </c>
      <c r="AB18" s="3">
        <v>3.9618560407426191</v>
      </c>
      <c r="AC18" s="3">
        <v>3.7644338999748035</v>
      </c>
      <c r="AD18" s="3">
        <v>3.6082790977529755</v>
      </c>
      <c r="AE18" s="3">
        <v>3.4915778620107436</v>
      </c>
      <c r="AF18" s="3">
        <v>3.4430892043865713</v>
      </c>
      <c r="AG18" s="3">
        <v>3.4121072053148374</v>
      </c>
      <c r="AH18" s="3">
        <v>3.4041425381871835</v>
      </c>
      <c r="AI18" s="3">
        <v>3.3843315642600342</v>
      </c>
      <c r="AJ18" s="3">
        <v>3.3443570181563489</v>
      </c>
      <c r="AK18" s="3">
        <v>3.2844185248149858</v>
      </c>
      <c r="AL18" s="3">
        <v>3.2013935264952327</v>
      </c>
      <c r="AM18" s="3">
        <v>3.1119412330024745</v>
      </c>
      <c r="AN18" s="3">
        <v>3.0195104583619359</v>
      </c>
      <c r="AO18" s="3">
        <v>2.9353138100238212</v>
      </c>
      <c r="AP18" s="3">
        <v>2.8630998749037513</v>
      </c>
      <c r="AQ18" s="3">
        <v>2.8033895524747368</v>
      </c>
      <c r="AR18" s="3">
        <v>2.7564896302071431</v>
      </c>
      <c r="AS18" s="3">
        <v>2.7173014294119575</v>
      </c>
      <c r="AT18" s="3">
        <v>2.6830862884660731</v>
      </c>
      <c r="AU18" s="3">
        <v>2.6490972202656775</v>
      </c>
      <c r="AV18" s="3">
        <v>2.6125343371369762</v>
      </c>
      <c r="AW18" s="3">
        <v>2.5720735878741356</v>
      </c>
      <c r="AX18" s="3">
        <v>2.5274090927411348</v>
      </c>
      <c r="AY18" s="3">
        <v>2.4803997299007885</v>
      </c>
    </row>
    <row r="19" spans="2:51" x14ac:dyDescent="0.25">
      <c r="B19" t="s">
        <v>22</v>
      </c>
      <c r="C19" s="3">
        <v>112.86753952098168</v>
      </c>
      <c r="D19" s="3">
        <v>179.96344904397648</v>
      </c>
      <c r="E19" s="3">
        <v>70.027572509580409</v>
      </c>
      <c r="F19" s="3">
        <v>126.90786006593686</v>
      </c>
      <c r="G19" s="3">
        <v>46.29742966666339</v>
      </c>
      <c r="H19" s="3">
        <v>89.930480577963962</v>
      </c>
      <c r="I19" s="3">
        <v>77.571598239506969</v>
      </c>
      <c r="J19" s="3">
        <v>60.887063346407615</v>
      </c>
      <c r="K19" s="3">
        <v>79.376606476320887</v>
      </c>
      <c r="L19" s="3">
        <v>58.869401643681442</v>
      </c>
      <c r="M19" s="3">
        <v>73.467294598186442</v>
      </c>
      <c r="N19" s="3">
        <v>59.745549659729932</v>
      </c>
      <c r="O19" s="3">
        <v>56.225376092973534</v>
      </c>
      <c r="P19" s="3">
        <v>54.044158528684846</v>
      </c>
      <c r="Q19" s="3">
        <v>45.765491758773692</v>
      </c>
      <c r="R19" s="3">
        <v>47.557050989374574</v>
      </c>
      <c r="S19" s="3">
        <v>41.146372090790862</v>
      </c>
      <c r="T19" s="3">
        <v>40.752466805303442</v>
      </c>
      <c r="U19" s="3">
        <v>38.201085200774912</v>
      </c>
      <c r="V19" s="3">
        <v>35.713834217326195</v>
      </c>
      <c r="W19" s="3">
        <v>34.933541036848993</v>
      </c>
      <c r="X19" s="3">
        <v>31.957779766666533</v>
      </c>
      <c r="Y19" s="3">
        <v>30.879625293948948</v>
      </c>
      <c r="Z19" s="3">
        <v>28.417486874230292</v>
      </c>
      <c r="AA19" s="3">
        <v>26.369041793030675</v>
      </c>
      <c r="AB19" s="3">
        <v>24.247102726959838</v>
      </c>
      <c r="AC19" s="3">
        <v>21.742420509319061</v>
      </c>
      <c r="AD19" s="3">
        <v>19.86782757034635</v>
      </c>
      <c r="AE19" s="3">
        <v>17.766693773321634</v>
      </c>
      <c r="AF19" s="3">
        <v>16.192467551373767</v>
      </c>
      <c r="AG19" s="3">
        <v>14.692314764397281</v>
      </c>
      <c r="AH19" s="3">
        <v>13.308661651752516</v>
      </c>
      <c r="AI19" s="3">
        <v>12.061598365678407</v>
      </c>
      <c r="AJ19" s="3">
        <v>10.687944742014423</v>
      </c>
      <c r="AK19" s="3">
        <v>9.3776342741830376</v>
      </c>
      <c r="AL19" s="3">
        <v>7.9716393314905361</v>
      </c>
      <c r="AM19" s="3">
        <v>6.5914721578251658</v>
      </c>
      <c r="AN19" s="3">
        <v>5.2443862745768683</v>
      </c>
      <c r="AO19" s="3">
        <v>3.9331974780537848</v>
      </c>
      <c r="AP19" s="3">
        <v>2.7198609317997864</v>
      </c>
      <c r="AQ19" s="3">
        <v>1.5593618344810238</v>
      </c>
      <c r="AR19" s="3">
        <v>0.48533818911658955</v>
      </c>
      <c r="AS19" s="3">
        <v>-0.53289076400395174</v>
      </c>
      <c r="AT19" s="3">
        <v>-1.5018475223349412</v>
      </c>
      <c r="AU19" s="3">
        <v>-2.4284465752038784</v>
      </c>
      <c r="AV19" s="3">
        <v>-3.3343916594762106</v>
      </c>
      <c r="AW19" s="3">
        <v>-4.2162890253976286</v>
      </c>
      <c r="AX19" s="3">
        <v>-5.0863188489382765</v>
      </c>
      <c r="AY19" s="3">
        <v>-5.9387239277980086</v>
      </c>
    </row>
    <row r="20" spans="2:51" x14ac:dyDescent="0.25">
      <c r="B20" t="s">
        <v>23</v>
      </c>
      <c r="C20" s="3">
        <v>220.35563244738091</v>
      </c>
      <c r="D20" s="3">
        <v>56.081526576665468</v>
      </c>
      <c r="E20" s="3">
        <v>-88.600667255009867</v>
      </c>
      <c r="F20" s="3">
        <v>-14.997415454242628</v>
      </c>
      <c r="G20" s="3">
        <v>-7.4790384956017846</v>
      </c>
      <c r="H20" s="3">
        <v>31.551525998062786</v>
      </c>
      <c r="I20" s="3">
        <v>8.3239491355820689</v>
      </c>
      <c r="J20" s="3">
        <v>14.409258200970072</v>
      </c>
      <c r="K20" s="3">
        <v>33.936753542507475</v>
      </c>
      <c r="L20" s="3">
        <v>25.240852803844021</v>
      </c>
      <c r="M20" s="3">
        <v>27.360822366047955</v>
      </c>
      <c r="N20" s="3">
        <v>11.733129537128946</v>
      </c>
      <c r="O20" s="3">
        <v>9.2328535837561105</v>
      </c>
      <c r="P20" s="3">
        <v>5.7300248188565632</v>
      </c>
      <c r="Q20" s="3">
        <v>1.0662380619586145</v>
      </c>
      <c r="R20" s="3">
        <v>0.99880344006167832</v>
      </c>
      <c r="S20" s="3">
        <v>-2.7303597485161362</v>
      </c>
      <c r="T20" s="3">
        <v>-1.5924637065183731</v>
      </c>
      <c r="U20" s="3">
        <v>-2.228455315618703</v>
      </c>
      <c r="V20" s="3">
        <v>-2.2645267227509578</v>
      </c>
      <c r="W20" s="3">
        <v>-2.2714161021632719</v>
      </c>
      <c r="X20" s="3">
        <v>-3.7097572025473937</v>
      </c>
      <c r="Y20" s="3">
        <v>-4.6369447200756895</v>
      </c>
      <c r="Z20" s="3">
        <v>-6.9977356738915546</v>
      </c>
      <c r="AA20" s="3">
        <v>-9.2131327784855443</v>
      </c>
      <c r="AB20" s="3">
        <v>-11.579764053306462</v>
      </c>
      <c r="AC20" s="3">
        <v>-13.699343903245648</v>
      </c>
      <c r="AD20" s="3">
        <v>-15.08927753424544</v>
      </c>
      <c r="AE20" s="3">
        <v>-16.230733693040662</v>
      </c>
      <c r="AF20" s="3">
        <v>-16.816517033657647</v>
      </c>
      <c r="AG20" s="3">
        <v>-17.348096649987269</v>
      </c>
      <c r="AH20" s="3">
        <v>-17.862819400232098</v>
      </c>
      <c r="AI20" s="3">
        <v>-18.503752629592185</v>
      </c>
      <c r="AJ20" s="3">
        <v>-19.391547515003225</v>
      </c>
      <c r="AK20" s="3">
        <v>-20.390210313172588</v>
      </c>
      <c r="AL20" s="3">
        <v>-21.527756622556581</v>
      </c>
      <c r="AM20" s="3">
        <v>-22.650683060745081</v>
      </c>
      <c r="AN20" s="3">
        <v>-23.722281647639448</v>
      </c>
      <c r="AO20" s="3">
        <v>-24.693940261980288</v>
      </c>
      <c r="AP20" s="3">
        <v>-25.529432891644802</v>
      </c>
      <c r="AQ20" s="3">
        <v>-26.258806630876052</v>
      </c>
      <c r="AR20" s="3">
        <v>-26.882956405738042</v>
      </c>
      <c r="AS20" s="3">
        <v>-27.452239122874715</v>
      </c>
      <c r="AT20" s="3">
        <v>-27.995571265286486</v>
      </c>
      <c r="AU20" s="3">
        <v>-28.544111768299587</v>
      </c>
      <c r="AV20" s="3">
        <v>-29.120779143919464</v>
      </c>
      <c r="AW20" s="3">
        <v>-29.724207722693365</v>
      </c>
      <c r="AX20" s="3">
        <v>-30.350215422914346</v>
      </c>
      <c r="AY20" s="3">
        <v>-30.976543897859557</v>
      </c>
    </row>
    <row r="21" spans="2:51" x14ac:dyDescent="0.25">
      <c r="B21" t="s">
        <v>24</v>
      </c>
      <c r="C21" s="3">
        <v>250.62503874582899</v>
      </c>
      <c r="D21" s="3">
        <v>61.330921743199411</v>
      </c>
      <c r="E21" s="3">
        <v>-11.397951445717524</v>
      </c>
      <c r="F21" s="3">
        <v>6.9190544167842489</v>
      </c>
      <c r="G21" s="3">
        <v>-18.884341833145854</v>
      </c>
      <c r="H21" s="3">
        <v>49.002655834956983</v>
      </c>
      <c r="I21" s="3">
        <v>10.43793509854396</v>
      </c>
      <c r="J21" s="3">
        <v>40.910858142420409</v>
      </c>
      <c r="K21" s="3">
        <v>47.784708085754147</v>
      </c>
      <c r="L21" s="3">
        <v>46.113420386678968</v>
      </c>
      <c r="M21" s="3">
        <v>52.192490495388142</v>
      </c>
      <c r="N21" s="3">
        <v>29.688820236836506</v>
      </c>
      <c r="O21" s="3">
        <v>29.146610313205258</v>
      </c>
      <c r="P21" s="3">
        <v>16.880068046639479</v>
      </c>
      <c r="Q21" s="3">
        <v>12.966985805771685</v>
      </c>
      <c r="R21" s="3">
        <v>11.648474329800791</v>
      </c>
      <c r="S21" s="3">
        <v>8.5715206140862961</v>
      </c>
      <c r="T21" s="3">
        <v>12.912431710535515</v>
      </c>
      <c r="U21" s="3">
        <v>13.192835409073268</v>
      </c>
      <c r="V21" s="3">
        <v>16.295566160281624</v>
      </c>
      <c r="W21" s="3">
        <v>16.95005265575108</v>
      </c>
      <c r="X21" s="3">
        <v>16.201843921848649</v>
      </c>
      <c r="Y21" s="3">
        <v>15.180891530526054</v>
      </c>
      <c r="Z21" s="3">
        <v>11.950051609347014</v>
      </c>
      <c r="AA21" s="3">
        <v>9.3590598835189382</v>
      </c>
      <c r="AB21" s="3">
        <v>6.1570709144264697</v>
      </c>
      <c r="AC21" s="3">
        <v>3.8493123900851742</v>
      </c>
      <c r="AD21" s="3">
        <v>2.3883317158301054</v>
      </c>
      <c r="AE21" s="3">
        <v>1.4995446957705099</v>
      </c>
      <c r="AF21" s="3">
        <v>1.4810254796190634</v>
      </c>
      <c r="AG21" s="3">
        <v>1.4839390286705907</v>
      </c>
      <c r="AH21" s="3">
        <v>1.6126905034983849</v>
      </c>
      <c r="AI21" s="3">
        <v>1.401906004691341</v>
      </c>
      <c r="AJ21" s="3">
        <v>0.80639206338040026</v>
      </c>
      <c r="AK21" s="3">
        <v>-9.3503970600124831E-2</v>
      </c>
      <c r="AL21" s="3">
        <v>-1.3011114059333693</v>
      </c>
      <c r="AM21" s="3">
        <v>-2.5371157573953269</v>
      </c>
      <c r="AN21" s="3">
        <v>-3.7464798584321386</v>
      </c>
      <c r="AO21" s="3">
        <v>-4.768425512942855</v>
      </c>
      <c r="AP21" s="3">
        <v>-5.5663139630039495</v>
      </c>
      <c r="AQ21" s="3">
        <v>-6.161695831475555</v>
      </c>
      <c r="AR21" s="3">
        <v>-6.5793228109223776</v>
      </c>
      <c r="AS21" s="3">
        <v>-6.922335865960207</v>
      </c>
      <c r="AT21" s="3">
        <v>-7.2454131447231305</v>
      </c>
      <c r="AU21" s="3">
        <v>-7.61967050477881</v>
      </c>
      <c r="AV21" s="3">
        <v>-8.0737870520989929</v>
      </c>
      <c r="AW21" s="3">
        <v>-8.6061397196815506</v>
      </c>
      <c r="AX21" s="3">
        <v>-9.1997884059717023</v>
      </c>
      <c r="AY21" s="3">
        <v>-9.810648814546397</v>
      </c>
    </row>
    <row r="22" spans="2:51" x14ac:dyDescent="0.25">
      <c r="B22" t="s">
        <v>25</v>
      </c>
      <c r="C22" s="3">
        <v>614.91846659191924</v>
      </c>
      <c r="D22" s="3">
        <v>556.78417702487798</v>
      </c>
      <c r="E22" s="3">
        <v>423.72699247654555</v>
      </c>
      <c r="F22" s="3">
        <v>508.75364007246174</v>
      </c>
      <c r="G22" s="3">
        <v>303.26305754749512</v>
      </c>
      <c r="H22" s="3">
        <v>409.23621082867612</v>
      </c>
      <c r="I22" s="3">
        <v>350.4657087332742</v>
      </c>
      <c r="J22" s="3">
        <v>337.47997319667962</v>
      </c>
      <c r="K22" s="3">
        <v>367.0357408023101</v>
      </c>
      <c r="L22" s="3">
        <v>325.38941611744184</v>
      </c>
      <c r="M22" s="3">
        <v>361.51602113791978</v>
      </c>
      <c r="N22" s="3">
        <v>317.39217091826248</v>
      </c>
      <c r="O22" s="3">
        <v>305.43383193361745</v>
      </c>
      <c r="P22" s="3">
        <v>281.00381084571001</v>
      </c>
      <c r="Q22" s="3">
        <v>250.7954486044739</v>
      </c>
      <c r="R22" s="3">
        <v>240.50128972524465</v>
      </c>
      <c r="S22" s="3">
        <v>213.90354723403641</v>
      </c>
      <c r="T22" s="3">
        <v>206.31878283093124</v>
      </c>
      <c r="U22" s="3">
        <v>193.4197661425934</v>
      </c>
      <c r="V22" s="3">
        <v>185.50070831779135</v>
      </c>
      <c r="W22" s="3">
        <v>180.25769529084187</v>
      </c>
      <c r="X22" s="3">
        <v>170.6048148138309</v>
      </c>
      <c r="Y22" s="3">
        <v>164.25383538994538</v>
      </c>
      <c r="Z22" s="3">
        <v>152.93327359851435</v>
      </c>
      <c r="AA22" s="3">
        <v>142.17324366795413</v>
      </c>
      <c r="AB22" s="3">
        <v>129.92241094074427</v>
      </c>
      <c r="AC22" s="3">
        <v>117.15829245863085</v>
      </c>
      <c r="AD22" s="3">
        <v>106.0584229212235</v>
      </c>
      <c r="AE22" s="3">
        <v>95.216034601147726</v>
      </c>
      <c r="AF22" s="3">
        <v>86.598445323253145</v>
      </c>
      <c r="AG22" s="3">
        <v>78.801522740238397</v>
      </c>
      <c r="AH22" s="3">
        <v>72.020775047554139</v>
      </c>
      <c r="AI22" s="3">
        <v>65.768181047480994</v>
      </c>
      <c r="AJ22" s="3">
        <v>59.325514790838611</v>
      </c>
      <c r="AK22" s="3">
        <v>52.890989712509963</v>
      </c>
      <c r="AL22" s="3">
        <v>45.986443544612712</v>
      </c>
      <c r="AM22" s="3">
        <v>38.974768073326686</v>
      </c>
      <c r="AN22" s="3">
        <v>31.897397927471161</v>
      </c>
      <c r="AO22" s="3">
        <v>24.955747148876981</v>
      </c>
      <c r="AP22" s="3">
        <v>18.393082721447058</v>
      </c>
      <c r="AQ22" s="3">
        <v>12.215305369398152</v>
      </c>
      <c r="AR22" s="3">
        <v>6.5494786294651703</v>
      </c>
      <c r="AS22" s="3">
        <v>1.2964741300784226</v>
      </c>
      <c r="AT22" s="3">
        <v>-3.5993880690305105</v>
      </c>
      <c r="AU22" s="3">
        <v>-8.2462306196758846</v>
      </c>
      <c r="AV22" s="3">
        <v>-12.763801760183355</v>
      </c>
      <c r="AW22" s="3">
        <v>-17.20430639191693</v>
      </c>
      <c r="AX22" s="3">
        <v>-21.625289400748443</v>
      </c>
      <c r="AY22" s="3">
        <v>-26.008253336307689</v>
      </c>
    </row>
    <row r="23" spans="2:51" x14ac:dyDescent="0.25">
      <c r="B23" t="s">
        <v>26</v>
      </c>
      <c r="C23" s="3">
        <v>271.82557110197729</v>
      </c>
      <c r="D23" s="3">
        <v>209.58053880039739</v>
      </c>
      <c r="E23" s="3">
        <v>116.74601212789901</v>
      </c>
      <c r="F23" s="3">
        <v>138.95001004391909</v>
      </c>
      <c r="G23" s="3">
        <v>75.564096590412362</v>
      </c>
      <c r="H23" s="3">
        <v>129.69350369493958</v>
      </c>
      <c r="I23" s="3">
        <v>106.23488639001206</v>
      </c>
      <c r="J23" s="3">
        <v>94.205575093549882</v>
      </c>
      <c r="K23" s="3">
        <v>103.10874099426157</v>
      </c>
      <c r="L23" s="3">
        <v>85.698762606614196</v>
      </c>
      <c r="M23" s="3">
        <v>98.562651327495601</v>
      </c>
      <c r="N23" s="3">
        <v>80.731400244557989</v>
      </c>
      <c r="O23" s="3">
        <v>77.911293103629049</v>
      </c>
      <c r="P23" s="3">
        <v>72.932797811777178</v>
      </c>
      <c r="Q23" s="3">
        <v>66.189486806847299</v>
      </c>
      <c r="R23" s="3">
        <v>66.53544265904759</v>
      </c>
      <c r="S23" s="3">
        <v>59.067878061401316</v>
      </c>
      <c r="T23" s="3">
        <v>57.646186249626908</v>
      </c>
      <c r="U23" s="3">
        <v>53.017159341946694</v>
      </c>
      <c r="V23" s="3">
        <v>49.454655036700785</v>
      </c>
      <c r="W23" s="3">
        <v>46.679177276030401</v>
      </c>
      <c r="X23" s="3">
        <v>42.382598697420832</v>
      </c>
      <c r="Y23" s="3">
        <v>39.973583384820159</v>
      </c>
      <c r="Z23" s="3">
        <v>36.296117416313393</v>
      </c>
      <c r="AA23" s="3">
        <v>33.381956333284194</v>
      </c>
      <c r="AB23" s="3">
        <v>30.236099743903083</v>
      </c>
      <c r="AC23" s="3">
        <v>26.973454043766395</v>
      </c>
      <c r="AD23" s="3">
        <v>24.238146045294087</v>
      </c>
      <c r="AE23" s="3">
        <v>21.308253705693943</v>
      </c>
      <c r="AF23" s="3">
        <v>18.884656735840991</v>
      </c>
      <c r="AG23" s="3">
        <v>16.446824691989718</v>
      </c>
      <c r="AH23" s="3">
        <v>14.161787029983429</v>
      </c>
      <c r="AI23" s="3">
        <v>11.973460480543707</v>
      </c>
      <c r="AJ23" s="3">
        <v>9.7235467438153194</v>
      </c>
      <c r="AK23" s="3">
        <v>7.5862559631387114</v>
      </c>
      <c r="AL23" s="3">
        <v>5.4194944260914042</v>
      </c>
      <c r="AM23" s="3">
        <v>3.3569639319473481</v>
      </c>
      <c r="AN23" s="3">
        <v>1.3670148909608315</v>
      </c>
      <c r="AO23" s="3">
        <v>-0.54300134607515815</v>
      </c>
      <c r="AP23" s="3">
        <v>-2.3458693022552097</v>
      </c>
      <c r="AQ23" s="3">
        <v>-4.0894789225884836</v>
      </c>
      <c r="AR23" s="3">
        <v>-5.7456417562189586</v>
      </c>
      <c r="AS23" s="3">
        <v>-7.3463776171284394</v>
      </c>
      <c r="AT23" s="3">
        <v>-8.8862841701095476</v>
      </c>
      <c r="AU23" s="3">
        <v>-10.37012285956331</v>
      </c>
      <c r="AV23" s="3">
        <v>-11.809173253098237</v>
      </c>
      <c r="AW23" s="3">
        <v>-13.197954267796518</v>
      </c>
      <c r="AX23" s="3">
        <v>-14.547275414074477</v>
      </c>
      <c r="AY23" s="3">
        <v>-15.852080593600334</v>
      </c>
    </row>
    <row r="24" spans="2:51" x14ac:dyDescent="0.25">
      <c r="B24" t="s">
        <v>27</v>
      </c>
      <c r="C24" s="3">
        <v>43.279799013114406</v>
      </c>
      <c r="D24" s="3">
        <v>48.989993948324454</v>
      </c>
      <c r="E24" s="3">
        <v>43.987898901054479</v>
      </c>
      <c r="F24" s="3">
        <v>42.157822360752078</v>
      </c>
      <c r="G24" s="3">
        <v>29.733959117277774</v>
      </c>
      <c r="H24" s="3">
        <v>38.153171469570097</v>
      </c>
      <c r="I24" s="3">
        <v>33.057945877718787</v>
      </c>
      <c r="J24" s="3">
        <v>33.586683062427184</v>
      </c>
      <c r="K24" s="3">
        <v>32.23840142537567</v>
      </c>
      <c r="L24" s="3">
        <v>30.673686289771059</v>
      </c>
      <c r="M24" s="3">
        <v>31.755287557118464</v>
      </c>
      <c r="N24" s="3">
        <v>28.338704799977876</v>
      </c>
      <c r="O24" s="3">
        <v>27.175009192578813</v>
      </c>
      <c r="P24" s="3">
        <v>24.641403754287872</v>
      </c>
      <c r="Q24" s="3">
        <v>23.068083770469158</v>
      </c>
      <c r="R24" s="3">
        <v>22.096161757483152</v>
      </c>
      <c r="S24" s="3">
        <v>20.585194132859755</v>
      </c>
      <c r="T24" s="3">
        <v>19.98019320717453</v>
      </c>
      <c r="U24" s="3">
        <v>18.826712301532815</v>
      </c>
      <c r="V24" s="3">
        <v>18.051127376368598</v>
      </c>
      <c r="W24" s="3">
        <v>17.127909206619151</v>
      </c>
      <c r="X24" s="3">
        <v>16.100696412487231</v>
      </c>
      <c r="Y24" s="3">
        <v>15.223475337112575</v>
      </c>
      <c r="Z24" s="3">
        <v>14.162698817775464</v>
      </c>
      <c r="AA24" s="3">
        <v>13.23816128206515</v>
      </c>
      <c r="AB24" s="3">
        <v>12.231104057882391</v>
      </c>
      <c r="AC24" s="3">
        <v>11.271879106174239</v>
      </c>
      <c r="AD24" s="3">
        <v>10.380933174206582</v>
      </c>
      <c r="AE24" s="3">
        <v>9.5248708859203433</v>
      </c>
      <c r="AF24" s="3">
        <v>8.7870831766413531</v>
      </c>
      <c r="AG24" s="3">
        <v>8.0829957173458808</v>
      </c>
      <c r="AH24" s="3">
        <v>7.441732971556533</v>
      </c>
      <c r="AI24" s="3">
        <v>6.8144997486139687</v>
      </c>
      <c r="AJ24" s="3">
        <v>6.1839388024490631</v>
      </c>
      <c r="AK24" s="3">
        <v>5.5546040791548705</v>
      </c>
      <c r="AL24" s="3">
        <v>4.9117481444408781</v>
      </c>
      <c r="AM24" s="3">
        <v>4.2827577014707998</v>
      </c>
      <c r="AN24" s="3">
        <v>3.6684590133622521</v>
      </c>
      <c r="AO24" s="3">
        <v>3.0838474989451186</v>
      </c>
      <c r="AP24" s="3">
        <v>2.5331670572310259</v>
      </c>
      <c r="AQ24" s="3">
        <v>2.013145952252188</v>
      </c>
      <c r="AR24" s="3">
        <v>1.5241884113369224</v>
      </c>
      <c r="AS24" s="3">
        <v>1.0572488396833535</v>
      </c>
      <c r="AT24" s="3">
        <v>0.60977391268343695</v>
      </c>
      <c r="AU24" s="3">
        <v>0.17635237213028176</v>
      </c>
      <c r="AV24" s="3">
        <v>-0.24579836917986597</v>
      </c>
      <c r="AW24" s="3">
        <v>-0.65745059912117654</v>
      </c>
      <c r="AX24" s="3">
        <v>-1.0597480128646737</v>
      </c>
      <c r="AY24" s="3">
        <v>-1.4509901971013619</v>
      </c>
    </row>
    <row r="25" spans="2:51" x14ac:dyDescent="0.25">
      <c r="B25" t="s">
        <v>28</v>
      </c>
      <c r="C25" s="3">
        <v>207.42334873335176</v>
      </c>
      <c r="D25" s="3">
        <v>157.47768028196253</v>
      </c>
      <c r="E25" s="3">
        <v>46.652382839668888</v>
      </c>
      <c r="F25" s="3">
        <v>2.5089088648838143</v>
      </c>
      <c r="G25" s="3">
        <v>-45.290148969948454</v>
      </c>
      <c r="H25" s="3">
        <v>24.039408622205201</v>
      </c>
      <c r="I25" s="3">
        <v>32.772704405949312</v>
      </c>
      <c r="J25" s="3">
        <v>14.865661700983793</v>
      </c>
      <c r="K25" s="3">
        <v>29.343577362775854</v>
      </c>
      <c r="L25" s="3">
        <v>15.271649339857476</v>
      </c>
      <c r="M25" s="3">
        <v>29.966278737726128</v>
      </c>
      <c r="N25" s="3">
        <v>13.392616933938847</v>
      </c>
      <c r="O25" s="3">
        <v>6.9006731767628366</v>
      </c>
      <c r="P25" s="3">
        <v>4.6278684740601506</v>
      </c>
      <c r="Q25" s="3">
        <v>0.95002769054913472</v>
      </c>
      <c r="R25" s="3">
        <v>7.1896376926116972</v>
      </c>
      <c r="S25" s="3">
        <v>6.435267365994612</v>
      </c>
      <c r="T25" s="3">
        <v>10.897552790683484</v>
      </c>
      <c r="U25" s="3">
        <v>12.538598233080762</v>
      </c>
      <c r="V25" s="3">
        <v>13.144662385712031</v>
      </c>
      <c r="W25" s="3">
        <v>13.688786659226515</v>
      </c>
      <c r="X25" s="3">
        <v>11.28954813849068</v>
      </c>
      <c r="Y25" s="3">
        <v>10.111490801791533</v>
      </c>
      <c r="Z25" s="3">
        <v>7.7596506659906339</v>
      </c>
      <c r="AA25" s="3">
        <v>6.2156127081333636</v>
      </c>
      <c r="AB25" s="3">
        <v>5.1016485799164855</v>
      </c>
      <c r="AC25" s="3">
        <v>4.216118069251948</v>
      </c>
      <c r="AD25" s="3">
        <v>4.2791370882817006</v>
      </c>
      <c r="AE25" s="3">
        <v>4.3272701054983145</v>
      </c>
      <c r="AF25" s="3">
        <v>4.793115232277529</v>
      </c>
      <c r="AG25" s="3">
        <v>5.0747707947232783</v>
      </c>
      <c r="AH25" s="3">
        <v>5.1331699685683105</v>
      </c>
      <c r="AI25" s="3">
        <v>4.961317962808522</v>
      </c>
      <c r="AJ25" s="3">
        <v>4.400914286241445</v>
      </c>
      <c r="AK25" s="3">
        <v>3.7277968816638207</v>
      </c>
      <c r="AL25" s="3">
        <v>2.9260556875155004</v>
      </c>
      <c r="AM25" s="3">
        <v>2.2136409090285412</v>
      </c>
      <c r="AN25" s="3">
        <v>1.6553343374477407</v>
      </c>
      <c r="AO25" s="3">
        <v>1.2686151468563764</v>
      </c>
      <c r="AP25" s="3">
        <v>1.0728415690093556</v>
      </c>
      <c r="AQ25" s="3">
        <v>0.96885221374236608</v>
      </c>
      <c r="AR25" s="3">
        <v>0.92021647342698998</v>
      </c>
      <c r="AS25" s="3">
        <v>0.84450439555938317</v>
      </c>
      <c r="AT25" s="3">
        <v>0.70648281518678857</v>
      </c>
      <c r="AU25" s="3">
        <v>0.49580499763411012</v>
      </c>
      <c r="AV25" s="3">
        <v>0.21303874457801442</v>
      </c>
      <c r="AW25" s="3">
        <v>-0.1065455870019747</v>
      </c>
      <c r="AX25" s="3">
        <v>-0.43883217422092002</v>
      </c>
      <c r="AY25" s="3">
        <v>-0.75003017223956192</v>
      </c>
    </row>
    <row r="26" spans="2:51" x14ac:dyDescent="0.25">
      <c r="B26" t="s">
        <v>29</v>
      </c>
      <c r="C26" s="3">
        <v>262.33451489701469</v>
      </c>
      <c r="D26" s="3">
        <v>161.90880120118368</v>
      </c>
      <c r="E26" s="3">
        <v>-72.725480804808967</v>
      </c>
      <c r="F26" s="3">
        <v>-93.5331061105461</v>
      </c>
      <c r="G26" s="3">
        <v>-81.314740139421602</v>
      </c>
      <c r="H26" s="3">
        <v>10.554038847893253</v>
      </c>
      <c r="I26" s="3">
        <v>-4.0537882914878054</v>
      </c>
      <c r="J26" s="3">
        <v>-17.489237770278393</v>
      </c>
      <c r="K26" s="3">
        <v>-7.8638951120202165</v>
      </c>
      <c r="L26" s="3">
        <v>-12.547245132883162</v>
      </c>
      <c r="M26" s="3">
        <v>-7.6376846351682133</v>
      </c>
      <c r="N26" s="3">
        <v>-28.142818714942351</v>
      </c>
      <c r="O26" s="3">
        <v>-33.642646667751052</v>
      </c>
      <c r="P26" s="3">
        <v>-34.316697643141509</v>
      </c>
      <c r="Q26" s="3">
        <v>-32.20540626377263</v>
      </c>
      <c r="R26" s="3">
        <v>-25.10700113559335</v>
      </c>
      <c r="S26" s="3">
        <v>-23.281300821723207</v>
      </c>
      <c r="T26" s="3">
        <v>-17.683313266016114</v>
      </c>
      <c r="U26" s="3">
        <v>-15.306652901755115</v>
      </c>
      <c r="V26" s="3">
        <v>-13.72893258609065</v>
      </c>
      <c r="W26" s="3">
        <v>-13.393385392088419</v>
      </c>
      <c r="X26" s="3">
        <v>-15.083702426468108</v>
      </c>
      <c r="Y26" s="3">
        <v>-15.959485570637881</v>
      </c>
      <c r="Z26" s="3">
        <v>-17.64438224103796</v>
      </c>
      <c r="AA26" s="3">
        <v>-18.42911232330421</v>
      </c>
      <c r="AB26" s="3">
        <v>-18.805295718193776</v>
      </c>
      <c r="AC26" s="3">
        <v>-18.558844810881439</v>
      </c>
      <c r="AD26" s="3">
        <v>-17.432153573381058</v>
      </c>
      <c r="AE26" s="3">
        <v>-16.181609993978597</v>
      </c>
      <c r="AF26" s="3">
        <v>-14.67682820530888</v>
      </c>
      <c r="AG26" s="3">
        <v>-13.537296869772334</v>
      </c>
      <c r="AH26" s="3">
        <v>-12.778836957456207</v>
      </c>
      <c r="AI26" s="3">
        <v>-12.45964068586558</v>
      </c>
      <c r="AJ26" s="3">
        <v>-12.571440137515154</v>
      </c>
      <c r="AK26" s="3">
        <v>-12.830279719563549</v>
      </c>
      <c r="AL26" s="3">
        <v>-13.149235092377666</v>
      </c>
      <c r="AM26" s="3">
        <v>-13.299601472371918</v>
      </c>
      <c r="AN26" s="3">
        <v>-13.239124888706527</v>
      </c>
      <c r="AO26" s="3">
        <v>-12.96466458825887</v>
      </c>
      <c r="AP26" s="3">
        <v>-12.516899390583262</v>
      </c>
      <c r="AQ26" s="3">
        <v>-12.008706332021916</v>
      </c>
      <c r="AR26" s="3">
        <v>-11.502685702684076</v>
      </c>
      <c r="AS26" s="3">
        <v>-11.081614424941407</v>
      </c>
      <c r="AT26" s="3">
        <v>-10.771457207572482</v>
      </c>
      <c r="AU26" s="3">
        <v>-10.574755187444595</v>
      </c>
      <c r="AV26" s="3">
        <v>-10.472266985670842</v>
      </c>
      <c r="AW26" s="3">
        <v>-10.42008349971934</v>
      </c>
      <c r="AX26" s="3">
        <v>-10.382457276906479</v>
      </c>
      <c r="AY26" s="3">
        <v>-10.320651558465784</v>
      </c>
    </row>
    <row r="27" spans="2:51" x14ac:dyDescent="0.25">
      <c r="B27" t="s">
        <v>30</v>
      </c>
      <c r="C27" s="3">
        <v>22.825898384859808</v>
      </c>
      <c r="D27" s="3">
        <v>31.446569200544182</v>
      </c>
      <c r="E27" s="3">
        <v>21.701292421825151</v>
      </c>
      <c r="F27" s="3">
        <v>15.206894794771053</v>
      </c>
      <c r="G27" s="3">
        <v>13.163803353318592</v>
      </c>
      <c r="H27" s="3">
        <v>10.309960511837339</v>
      </c>
      <c r="I27" s="3">
        <v>16.649402833957438</v>
      </c>
      <c r="J27" s="3">
        <v>12.122442501484709</v>
      </c>
      <c r="K27" s="3">
        <v>15.891023935881339</v>
      </c>
      <c r="L27" s="3">
        <v>14.982830213527507</v>
      </c>
      <c r="M27" s="3">
        <v>15.424458468712039</v>
      </c>
      <c r="N27" s="3">
        <v>15.287912818506523</v>
      </c>
      <c r="O27" s="3">
        <v>12.674616618543844</v>
      </c>
      <c r="P27" s="3">
        <v>12.122270070602521</v>
      </c>
      <c r="Q27" s="3">
        <v>10.047080153640984</v>
      </c>
      <c r="R27" s="3">
        <v>9.3161184429482589</v>
      </c>
      <c r="S27" s="3">
        <v>8.4377557313111922</v>
      </c>
      <c r="T27" s="3">
        <v>7.6832576295243271</v>
      </c>
      <c r="U27" s="3">
        <v>7.5685228587348092</v>
      </c>
      <c r="V27" s="3">
        <v>7.0864343072494194</v>
      </c>
      <c r="W27" s="3">
        <v>7.0155397788813332</v>
      </c>
      <c r="X27" s="3">
        <v>6.6308742979820323</v>
      </c>
      <c r="Y27" s="3">
        <v>6.2323101542916532</v>
      </c>
      <c r="Z27" s="3">
        <v>5.7557788448107203</v>
      </c>
      <c r="AA27" s="3">
        <v>5.0877792197813889</v>
      </c>
      <c r="AB27" s="3">
        <v>4.4758674057999457</v>
      </c>
      <c r="AC27" s="3">
        <v>3.7726925752277012</v>
      </c>
      <c r="AD27" s="3">
        <v>3.1792066977550917</v>
      </c>
      <c r="AE27" s="3">
        <v>2.6544823004191969</v>
      </c>
      <c r="AF27" s="3">
        <v>2.2186791866855344</v>
      </c>
      <c r="AG27" s="3">
        <v>1.886694490476728</v>
      </c>
      <c r="AH27" s="3">
        <v>1.5808667267217515</v>
      </c>
      <c r="AI27" s="3">
        <v>1.3134058874406946</v>
      </c>
      <c r="AJ27" s="3">
        <v>1.0224149843799353</v>
      </c>
      <c r="AK27" s="3">
        <v>0.70876227315536511</v>
      </c>
      <c r="AL27" s="3">
        <v>0.36791274995583478</v>
      </c>
      <c r="AM27" s="3">
        <v>2.0871783074625228E-3</v>
      </c>
      <c r="AN27" s="3">
        <v>-0.36261291437267573</v>
      </c>
      <c r="AO27" s="3">
        <v>-0.72112567024205987</v>
      </c>
      <c r="AP27" s="3">
        <v>-1.0537724439422078</v>
      </c>
      <c r="AQ27" s="3">
        <v>-1.3579441180577305</v>
      </c>
      <c r="AR27" s="3">
        <v>-1.6326141918307968</v>
      </c>
      <c r="AS27" s="3">
        <v>-1.8804456494697916</v>
      </c>
      <c r="AT27" s="3">
        <v>-2.1111039462998562</v>
      </c>
      <c r="AU27" s="3">
        <v>-2.330054816126669</v>
      </c>
      <c r="AV27" s="3">
        <v>-2.5457771881435747</v>
      </c>
      <c r="AW27" s="3">
        <v>-2.761783784350591</v>
      </c>
      <c r="AX27" s="3">
        <v>-2.9796487850055868</v>
      </c>
      <c r="AY27" s="3">
        <v>-3.1985285720009671</v>
      </c>
    </row>
    <row r="28" spans="2:51" x14ac:dyDescent="0.25">
      <c r="B28" t="s">
        <v>31</v>
      </c>
      <c r="C28" s="3">
        <v>411.18971128350734</v>
      </c>
      <c r="D28" s="3">
        <v>262.13771983703231</v>
      </c>
      <c r="E28" s="3">
        <v>165.26349192502201</v>
      </c>
      <c r="F28" s="3">
        <v>190.07996629172061</v>
      </c>
      <c r="G28" s="3">
        <v>49.476809029452433</v>
      </c>
      <c r="H28" s="3">
        <v>163.68786427908748</v>
      </c>
      <c r="I28" s="3">
        <v>138.23079625404785</v>
      </c>
      <c r="J28" s="3">
        <v>153.09337295991151</v>
      </c>
      <c r="K28" s="3">
        <v>188.87939392111775</v>
      </c>
      <c r="L28" s="3">
        <v>171.19795629740941</v>
      </c>
      <c r="M28" s="3">
        <v>202.43939620873311</v>
      </c>
      <c r="N28" s="3">
        <v>166.28388920597848</v>
      </c>
      <c r="O28" s="3">
        <v>157.51801250541047</v>
      </c>
      <c r="P28" s="3">
        <v>137.56857432312216</v>
      </c>
      <c r="Q28" s="3">
        <v>117.78451063583887</v>
      </c>
      <c r="R28" s="3">
        <v>113.01704319228438</v>
      </c>
      <c r="S28" s="3">
        <v>97.82331031954439</v>
      </c>
      <c r="T28" s="3">
        <v>98.446633706240846</v>
      </c>
      <c r="U28" s="3">
        <v>94.822286375076089</v>
      </c>
      <c r="V28" s="3">
        <v>95.557677464827975</v>
      </c>
      <c r="W28" s="3">
        <v>96.972038077634068</v>
      </c>
      <c r="X28" s="3">
        <v>94.366386507247739</v>
      </c>
      <c r="Y28" s="3">
        <v>93.029747697048037</v>
      </c>
      <c r="Z28" s="3">
        <v>86.864880610340435</v>
      </c>
      <c r="AA28" s="3">
        <v>80.644741212532608</v>
      </c>
      <c r="AB28" s="3">
        <v>72.936089045666165</v>
      </c>
      <c r="AC28" s="3">
        <v>65.230580035282685</v>
      </c>
      <c r="AD28" s="3">
        <v>59.216664803307651</v>
      </c>
      <c r="AE28" s="3">
        <v>53.969353934083813</v>
      </c>
      <c r="AF28" s="3">
        <v>50.818478705776101</v>
      </c>
      <c r="AG28" s="3">
        <v>48.386538543107747</v>
      </c>
      <c r="AH28" s="3">
        <v>46.634434021478285</v>
      </c>
      <c r="AI28" s="3">
        <v>44.92261572911957</v>
      </c>
      <c r="AJ28" s="3">
        <v>42.669400510532626</v>
      </c>
      <c r="AK28" s="3">
        <v>40.021271657309228</v>
      </c>
      <c r="AL28" s="3">
        <v>36.712527973058002</v>
      </c>
      <c r="AM28" s="3">
        <v>33.157734687052539</v>
      </c>
      <c r="AN28" s="3">
        <v>29.489176486348072</v>
      </c>
      <c r="AO28" s="3">
        <v>25.962018351791812</v>
      </c>
      <c r="AP28" s="3">
        <v>22.791830216446272</v>
      </c>
      <c r="AQ28" s="3">
        <v>19.989411574358655</v>
      </c>
      <c r="AR28" s="3">
        <v>17.619727364199434</v>
      </c>
      <c r="AS28" s="3">
        <v>15.555053682832181</v>
      </c>
      <c r="AT28" s="3">
        <v>13.703813245730089</v>
      </c>
      <c r="AU28" s="3">
        <v>11.935838757381021</v>
      </c>
      <c r="AV28" s="3">
        <v>10.136772195056324</v>
      </c>
      <c r="AW28" s="3">
        <v>8.2617733763620436</v>
      </c>
      <c r="AX28" s="3">
        <v>6.2834396743375009</v>
      </c>
      <c r="AY28" s="3">
        <v>4.2462533819781356</v>
      </c>
    </row>
    <row r="29" spans="2:51" x14ac:dyDescent="0.25">
      <c r="B29" t="s">
        <v>32</v>
      </c>
      <c r="C29" s="3">
        <v>88.497766741548688</v>
      </c>
      <c r="D29" s="3">
        <v>61.511011594666478</v>
      </c>
      <c r="E29" s="3">
        <v>41.317695739225414</v>
      </c>
      <c r="F29" s="3">
        <v>8.4054151566890383</v>
      </c>
      <c r="G29" s="3">
        <v>7.7473575540400574</v>
      </c>
      <c r="H29" s="3">
        <v>28.316586356458636</v>
      </c>
      <c r="I29" s="3">
        <v>19.198551709263803</v>
      </c>
      <c r="J29" s="3">
        <v>25.057531104314805</v>
      </c>
      <c r="K29" s="3">
        <v>23.221025738001309</v>
      </c>
      <c r="L29" s="3">
        <v>27.789143572591819</v>
      </c>
      <c r="M29" s="3">
        <v>28.614405168025236</v>
      </c>
      <c r="N29" s="3">
        <v>22.317253680730659</v>
      </c>
      <c r="O29" s="3">
        <v>20.446864804581395</v>
      </c>
      <c r="P29" s="3">
        <v>16.018649061347311</v>
      </c>
      <c r="Q29" s="3">
        <v>15.723717370436347</v>
      </c>
      <c r="R29" s="3">
        <v>14.98726611847674</v>
      </c>
      <c r="S29" s="3">
        <v>14.738314449721607</v>
      </c>
      <c r="T29" s="3">
        <v>15.761856022409482</v>
      </c>
      <c r="U29" s="3">
        <v>15.870076084755325</v>
      </c>
      <c r="V29" s="3">
        <v>16.69074469563224</v>
      </c>
      <c r="W29" s="3">
        <v>16.450628260766102</v>
      </c>
      <c r="X29" s="3">
        <v>16.061634125251246</v>
      </c>
      <c r="Y29" s="3">
        <v>15.388430127630627</v>
      </c>
      <c r="Z29" s="3">
        <v>14.336909771188587</v>
      </c>
      <c r="AA29" s="3">
        <v>13.456386704147249</v>
      </c>
      <c r="AB29" s="3">
        <v>12.422418088059558</v>
      </c>
      <c r="AC29" s="3">
        <v>11.715940581527633</v>
      </c>
      <c r="AD29" s="3">
        <v>11.200042763183546</v>
      </c>
      <c r="AE29" s="3">
        <v>10.915993544542005</v>
      </c>
      <c r="AF29" s="3">
        <v>10.839814679016669</v>
      </c>
      <c r="AG29" s="3">
        <v>10.772758807931396</v>
      </c>
      <c r="AH29" s="3">
        <v>10.725093994170564</v>
      </c>
      <c r="AI29" s="3">
        <v>10.548573481231514</v>
      </c>
      <c r="AJ29" s="3">
        <v>10.262899101748928</v>
      </c>
      <c r="AK29" s="3">
        <v>9.8721329066447794</v>
      </c>
      <c r="AL29" s="3">
        <v>9.4098358517529448</v>
      </c>
      <c r="AM29" s="3">
        <v>8.9534246607771166</v>
      </c>
      <c r="AN29" s="3">
        <v>8.5252217592673247</v>
      </c>
      <c r="AO29" s="3">
        <v>8.1715211054461605</v>
      </c>
      <c r="AP29" s="3">
        <v>7.8891148936840665</v>
      </c>
      <c r="AQ29" s="3">
        <v>7.6703333454996425</v>
      </c>
      <c r="AR29" s="3">
        <v>7.4968429388774354</v>
      </c>
      <c r="AS29" s="3">
        <v>7.3389905942922411</v>
      </c>
      <c r="AT29" s="3">
        <v>7.1808449611402239</v>
      </c>
      <c r="AU29" s="3">
        <v>7.0038729049954611</v>
      </c>
      <c r="AV29" s="3">
        <v>6.8047257712974698</v>
      </c>
      <c r="AW29" s="3">
        <v>6.5853100155835023</v>
      </c>
      <c r="AX29" s="3">
        <v>6.3535085043109945</v>
      </c>
      <c r="AY29" s="3">
        <v>6.1220513736807334</v>
      </c>
    </row>
    <row r="30" spans="2:51" x14ac:dyDescent="0.25">
      <c r="B30" t="s">
        <v>33</v>
      </c>
      <c r="C30" s="3">
        <v>74.864542818664759</v>
      </c>
      <c r="D30" s="3">
        <v>46.373425558786273</v>
      </c>
      <c r="E30" s="3">
        <v>57.034218833471549</v>
      </c>
      <c r="F30" s="3">
        <v>29.312010284696481</v>
      </c>
      <c r="G30" s="3">
        <v>15.479349686433782</v>
      </c>
      <c r="H30" s="3">
        <v>26.96285670385069</v>
      </c>
      <c r="I30" s="3">
        <v>18.648567255429668</v>
      </c>
      <c r="J30" s="3">
        <v>22.01701240556763</v>
      </c>
      <c r="K30" s="3">
        <v>18.199825445241597</v>
      </c>
      <c r="L30" s="3">
        <v>17.681967853970107</v>
      </c>
      <c r="M30" s="3">
        <v>19.74256962833384</v>
      </c>
      <c r="N30" s="3">
        <v>15.414089834886603</v>
      </c>
      <c r="O30" s="3">
        <v>15.390171297852742</v>
      </c>
      <c r="P30" s="3">
        <v>12.284210562542746</v>
      </c>
      <c r="Q30" s="3">
        <v>12.189022906137307</v>
      </c>
      <c r="R30" s="3">
        <v>12.405326447387001</v>
      </c>
      <c r="S30" s="3">
        <v>12.318433379761981</v>
      </c>
      <c r="T30" s="3">
        <v>13.333744193700337</v>
      </c>
      <c r="U30" s="3">
        <v>13.012946290338711</v>
      </c>
      <c r="V30" s="3">
        <v>13.144386110342921</v>
      </c>
      <c r="W30" s="3">
        <v>12.422625237660384</v>
      </c>
      <c r="X30" s="3">
        <v>11.503052185572081</v>
      </c>
      <c r="Y30" s="3">
        <v>10.632210035822432</v>
      </c>
      <c r="Z30" s="3">
        <v>9.572640798174902</v>
      </c>
      <c r="AA30" s="3">
        <v>8.9185478145166357</v>
      </c>
      <c r="AB30" s="3">
        <v>8.251141271542437</v>
      </c>
      <c r="AC30" s="3">
        <v>7.8485382789002855</v>
      </c>
      <c r="AD30" s="3">
        <v>7.5576153211273009</v>
      </c>
      <c r="AE30" s="3">
        <v>7.3145899224685849</v>
      </c>
      <c r="AF30" s="3">
        <v>7.1555082406182748</v>
      </c>
      <c r="AG30" s="3">
        <v>6.913650057561938</v>
      </c>
      <c r="AH30" s="3">
        <v>6.6553338829645554</v>
      </c>
      <c r="AI30" s="3">
        <v>6.301340151479593</v>
      </c>
      <c r="AJ30" s="3">
        <v>5.8866016203478964</v>
      </c>
      <c r="AK30" s="3">
        <v>5.4413774548048437</v>
      </c>
      <c r="AL30" s="3">
        <v>4.9809249482782647</v>
      </c>
      <c r="AM30" s="3">
        <v>4.5670367753016308</v>
      </c>
      <c r="AN30" s="3">
        <v>4.2001963261479318</v>
      </c>
      <c r="AO30" s="3">
        <v>3.9018505139024953</v>
      </c>
      <c r="AP30" s="3">
        <v>3.6567947330331947</v>
      </c>
      <c r="AQ30" s="3">
        <v>3.4446895417941761</v>
      </c>
      <c r="AR30" s="3">
        <v>3.2483772516415783</v>
      </c>
      <c r="AS30" s="3">
        <v>3.0436121145721415</v>
      </c>
      <c r="AT30" s="3">
        <v>2.8254117813200494</v>
      </c>
      <c r="AU30" s="3">
        <v>2.5889113730852102</v>
      </c>
      <c r="AV30" s="3">
        <v>2.3408229647252767</v>
      </c>
      <c r="AW30" s="3">
        <v>2.090462129514215</v>
      </c>
      <c r="AX30" s="3">
        <v>1.846224789148728</v>
      </c>
      <c r="AY30" s="3">
        <v>1.6170508236526402</v>
      </c>
    </row>
    <row r="31" spans="2:51" x14ac:dyDescent="0.25">
      <c r="B31" t="s">
        <v>34</v>
      </c>
      <c r="C31" s="3">
        <v>289.22705908839606</v>
      </c>
      <c r="D31" s="3">
        <v>239.46506344800241</v>
      </c>
      <c r="E31" s="3">
        <v>149.25789792077043</v>
      </c>
      <c r="F31" s="3">
        <v>95.951812357304505</v>
      </c>
      <c r="G31" s="3">
        <v>23.11726552662855</v>
      </c>
      <c r="H31" s="3">
        <v>82.034474970458604</v>
      </c>
      <c r="I31" s="3">
        <v>43.207924214452838</v>
      </c>
      <c r="J31" s="3">
        <v>49.740102271575125</v>
      </c>
      <c r="K31" s="3">
        <v>49.589402187360093</v>
      </c>
      <c r="L31" s="3">
        <v>48.408399048618293</v>
      </c>
      <c r="M31" s="3">
        <v>62.249689247825309</v>
      </c>
      <c r="N31" s="3">
        <v>46.215558371774222</v>
      </c>
      <c r="O31" s="3">
        <v>48.186365621340869</v>
      </c>
      <c r="P31" s="3">
        <v>41.170976024052919</v>
      </c>
      <c r="Q31" s="3">
        <v>39.847270363009677</v>
      </c>
      <c r="R31" s="3">
        <v>40.441782388113033</v>
      </c>
      <c r="S31" s="3">
        <v>36.168245078291996</v>
      </c>
      <c r="T31" s="3">
        <v>37.448108266259183</v>
      </c>
      <c r="U31" s="3">
        <v>34.893067074139303</v>
      </c>
      <c r="V31" s="3">
        <v>35.305486964978186</v>
      </c>
      <c r="W31" s="3">
        <v>35.071068534848806</v>
      </c>
      <c r="X31" s="3">
        <v>34.560701255377069</v>
      </c>
      <c r="Y31" s="3">
        <v>35.118904530884507</v>
      </c>
      <c r="Z31" s="3">
        <v>34.197624903420675</v>
      </c>
      <c r="AA31" s="3">
        <v>33.805869105544659</v>
      </c>
      <c r="AB31" s="3">
        <v>32.408523818572007</v>
      </c>
      <c r="AC31" s="3">
        <v>31.014905133041097</v>
      </c>
      <c r="AD31" s="3">
        <v>29.809654961303181</v>
      </c>
      <c r="AE31" s="3">
        <v>28.639031451482452</v>
      </c>
      <c r="AF31" s="3">
        <v>28.089834370747013</v>
      </c>
      <c r="AG31" s="3">
        <v>27.604055298711714</v>
      </c>
      <c r="AH31" s="3">
        <v>27.412075226488369</v>
      </c>
      <c r="AI31" s="3">
        <v>27.201402585228692</v>
      </c>
      <c r="AJ31" s="3">
        <v>26.890332126820923</v>
      </c>
      <c r="AK31" s="3">
        <v>26.518891595607215</v>
      </c>
      <c r="AL31" s="3">
        <v>25.979250864122449</v>
      </c>
      <c r="AM31" s="3">
        <v>25.427926999819007</v>
      </c>
      <c r="AN31" s="3">
        <v>24.830414864684855</v>
      </c>
      <c r="AO31" s="3">
        <v>24.262155630147078</v>
      </c>
      <c r="AP31" s="3">
        <v>23.74202599411386</v>
      </c>
      <c r="AQ31" s="3">
        <v>23.262935500207874</v>
      </c>
      <c r="AR31" s="3">
        <v>22.856034751818527</v>
      </c>
      <c r="AS31" s="3">
        <v>22.491773939399764</v>
      </c>
      <c r="AT31" s="3">
        <v>22.178577084080601</v>
      </c>
      <c r="AU31" s="3">
        <v>21.892263159547454</v>
      </c>
      <c r="AV31" s="3">
        <v>21.615501037639731</v>
      </c>
      <c r="AW31" s="3">
        <v>21.336125646038568</v>
      </c>
      <c r="AX31" s="3">
        <v>21.037345824595874</v>
      </c>
      <c r="AY31" s="3">
        <v>20.723500216044044</v>
      </c>
    </row>
    <row r="32" spans="2:51" x14ac:dyDescent="0.25">
      <c r="B32" t="s">
        <v>35</v>
      </c>
      <c r="C32" s="3">
        <v>180.0430762144677</v>
      </c>
      <c r="D32" s="3">
        <v>220.98300518846997</v>
      </c>
      <c r="E32" s="3">
        <v>93.014188866948984</v>
      </c>
      <c r="F32" s="3">
        <v>116.7411046519023</v>
      </c>
      <c r="G32" s="3">
        <v>95.084569880727301</v>
      </c>
      <c r="H32" s="3">
        <v>117.41942928588583</v>
      </c>
      <c r="I32" s="3">
        <v>124.83347321718171</v>
      </c>
      <c r="J32" s="3">
        <v>107.59354879559345</v>
      </c>
      <c r="K32" s="3">
        <v>121.5618207922889</v>
      </c>
      <c r="L32" s="3">
        <v>113.58507877500033</v>
      </c>
      <c r="M32" s="3">
        <v>115.98548713879273</v>
      </c>
      <c r="N32" s="3">
        <v>106.73167747258302</v>
      </c>
      <c r="O32" s="3">
        <v>96.695036866106392</v>
      </c>
      <c r="P32" s="3">
        <v>93.191110818161974</v>
      </c>
      <c r="Q32" s="3">
        <v>85.809959400108653</v>
      </c>
      <c r="R32" s="3">
        <v>84.847418848683645</v>
      </c>
      <c r="S32" s="3">
        <v>81.276612861603951</v>
      </c>
      <c r="T32" s="3">
        <v>79.952398276499878</v>
      </c>
      <c r="U32" s="3">
        <v>78.986251912063324</v>
      </c>
      <c r="V32" s="3">
        <v>76.755380282429385</v>
      </c>
      <c r="W32" s="3">
        <v>75.358956843895712</v>
      </c>
      <c r="X32" s="3">
        <v>72.300399427555107</v>
      </c>
      <c r="Y32" s="3">
        <v>69.728035731494174</v>
      </c>
      <c r="Z32" s="3">
        <v>66.649357499597713</v>
      </c>
      <c r="AA32" s="3">
        <v>63.506865680004537</v>
      </c>
      <c r="AB32" s="3">
        <v>60.70824369092081</v>
      </c>
      <c r="AC32" s="3">
        <v>57.861120716354634</v>
      </c>
      <c r="AD32" s="3">
        <v>55.641850260926873</v>
      </c>
      <c r="AE32" s="3">
        <v>53.606912844590894</v>
      </c>
      <c r="AF32" s="3">
        <v>51.941609330353472</v>
      </c>
      <c r="AG32" s="3">
        <v>50.459304538493512</v>
      </c>
      <c r="AH32" s="3">
        <v>48.971808144189723</v>
      </c>
      <c r="AI32" s="3">
        <v>47.499938924009527</v>
      </c>
      <c r="AJ32" s="3">
        <v>45.855603539777434</v>
      </c>
      <c r="AK32" s="3">
        <v>44.144445865886581</v>
      </c>
      <c r="AL32" s="3">
        <v>42.359086604901961</v>
      </c>
      <c r="AM32" s="3">
        <v>40.587002461282637</v>
      </c>
      <c r="AN32" s="3">
        <v>38.909656473102672</v>
      </c>
      <c r="AO32" s="3">
        <v>37.342228573748145</v>
      </c>
      <c r="AP32" s="3">
        <v>35.929384320974265</v>
      </c>
      <c r="AQ32" s="3">
        <v>34.635805722408776</v>
      </c>
      <c r="AR32" s="3">
        <v>33.445364747958777</v>
      </c>
      <c r="AS32" s="3">
        <v>32.319566544537807</v>
      </c>
      <c r="AT32" s="3">
        <v>31.223575896922142</v>
      </c>
      <c r="AU32" s="3">
        <v>30.142271534331769</v>
      </c>
      <c r="AV32" s="3">
        <v>29.05884866891202</v>
      </c>
      <c r="AW32" s="3">
        <v>27.979681470362095</v>
      </c>
      <c r="AX32" s="3">
        <v>26.911022368986437</v>
      </c>
      <c r="AY32" s="3">
        <v>25.867072988874412</v>
      </c>
    </row>
    <row r="33" spans="2:51" x14ac:dyDescent="0.25">
      <c r="B33" t="s">
        <v>36</v>
      </c>
      <c r="C33" s="3">
        <v>858.87836719052825</v>
      </c>
      <c r="D33" s="3">
        <v>1570.1686332077661</v>
      </c>
      <c r="E33" s="3">
        <v>630.63634945197259</v>
      </c>
      <c r="F33" s="3">
        <v>1276.1967320616036</v>
      </c>
      <c r="G33" s="3">
        <v>1037.9139056232548</v>
      </c>
      <c r="H33" s="3">
        <v>1011.626926990868</v>
      </c>
      <c r="I33" s="3">
        <v>1204.4928149322968</v>
      </c>
      <c r="J33" s="3">
        <v>959.96955469481372</v>
      </c>
      <c r="K33" s="3">
        <v>1210.6057873020679</v>
      </c>
      <c r="L33" s="3">
        <v>1061.9276935552218</v>
      </c>
      <c r="M33" s="3">
        <v>1090.3418540777377</v>
      </c>
      <c r="N33" s="3">
        <v>1038.2692134090566</v>
      </c>
      <c r="O33" s="3">
        <v>917.14246615801881</v>
      </c>
      <c r="P33" s="3">
        <v>903.46221676077198</v>
      </c>
      <c r="Q33" s="3">
        <v>785.80342301727705</v>
      </c>
      <c r="R33" s="3">
        <v>765.62487279630659</v>
      </c>
      <c r="S33" s="3">
        <v>711.77548461976539</v>
      </c>
      <c r="T33" s="3">
        <v>681.73147391416387</v>
      </c>
      <c r="U33" s="3">
        <v>672.49993842238837</v>
      </c>
      <c r="V33" s="3">
        <v>641.32693105460476</v>
      </c>
      <c r="W33" s="3">
        <v>634.58650975660044</v>
      </c>
      <c r="X33" s="3">
        <v>604.93757883596277</v>
      </c>
      <c r="Y33" s="3">
        <v>581.49889872268341</v>
      </c>
      <c r="Z33" s="3">
        <v>551.27976872794488</v>
      </c>
      <c r="AA33" s="3">
        <v>515.1094211719801</v>
      </c>
      <c r="AB33" s="3">
        <v>483.81543685425822</v>
      </c>
      <c r="AC33" s="3">
        <v>448.09288195361114</v>
      </c>
      <c r="AD33" s="3">
        <v>419.93622343398374</v>
      </c>
      <c r="AE33" s="3">
        <v>393.4122645960183</v>
      </c>
      <c r="AF33" s="3">
        <v>371.41464696846106</v>
      </c>
      <c r="AG33" s="3">
        <v>353.23740018332046</v>
      </c>
      <c r="AH33" s="3">
        <v>335.53948600168451</v>
      </c>
      <c r="AI33" s="3">
        <v>319.61451367545806</v>
      </c>
      <c r="AJ33" s="3">
        <v>302.11721149135838</v>
      </c>
      <c r="AK33" s="3">
        <v>284.12621785766169</v>
      </c>
      <c r="AL33" s="3">
        <v>265.06340399976261</v>
      </c>
      <c r="AM33" s="3">
        <v>245.36988905444514</v>
      </c>
      <c r="AN33" s="3">
        <v>226.18009947066776</v>
      </c>
      <c r="AO33" s="3">
        <v>207.51591219535112</v>
      </c>
      <c r="AP33" s="3">
        <v>190.3419675615587</v>
      </c>
      <c r="AQ33" s="3">
        <v>174.47813184377674</v>
      </c>
      <c r="AR33" s="3">
        <v>159.99343317293096</v>
      </c>
      <c r="AS33" s="3">
        <v>146.64256294127381</v>
      </c>
      <c r="AT33" s="3">
        <v>133.97615123782862</v>
      </c>
      <c r="AU33" s="3">
        <v>121.8021228180346</v>
      </c>
      <c r="AV33" s="3">
        <v>109.74946573901207</v>
      </c>
      <c r="AW33" s="3">
        <v>97.766380321329052</v>
      </c>
      <c r="AX33" s="3">
        <v>85.811222765139519</v>
      </c>
      <c r="AY33" s="3">
        <v>73.970199017767754</v>
      </c>
    </row>
    <row r="34" spans="2:51" x14ac:dyDescent="0.25">
      <c r="B34" t="s">
        <v>37</v>
      </c>
      <c r="C34" s="3">
        <v>71.087588278881867</v>
      </c>
      <c r="D34" s="3">
        <v>40.244222285688977</v>
      </c>
      <c r="E34" s="3">
        <v>21.209294680950194</v>
      </c>
      <c r="F34" s="3">
        <v>20.068576292302996</v>
      </c>
      <c r="G34" s="3">
        <v>11.930575114015824</v>
      </c>
      <c r="H34" s="3">
        <v>27.074470381532052</v>
      </c>
      <c r="I34" s="3">
        <v>18.319797025065185</v>
      </c>
      <c r="J34" s="3">
        <v>18.085665291047736</v>
      </c>
      <c r="K34" s="3">
        <v>18.157905097404463</v>
      </c>
      <c r="L34" s="3">
        <v>16.540493140760084</v>
      </c>
      <c r="M34" s="3">
        <v>18.483192168854259</v>
      </c>
      <c r="N34" s="3">
        <v>14.23172007429703</v>
      </c>
      <c r="O34" s="3">
        <v>14.41856576055233</v>
      </c>
      <c r="P34" s="3">
        <v>13.341392752943662</v>
      </c>
      <c r="Q34" s="3">
        <v>13.204586025631183</v>
      </c>
      <c r="R34" s="3">
        <v>13.640173848385221</v>
      </c>
      <c r="S34" s="3">
        <v>12.814688371210543</v>
      </c>
      <c r="T34" s="3">
        <v>13.114547801655483</v>
      </c>
      <c r="U34" s="3">
        <v>12.442810296589595</v>
      </c>
      <c r="V34" s="3">
        <v>12.156179508100891</v>
      </c>
      <c r="W34" s="3">
        <v>11.67686650979541</v>
      </c>
      <c r="X34" s="3">
        <v>11.05421256087773</v>
      </c>
      <c r="Y34" s="3">
        <v>10.747314927549567</v>
      </c>
      <c r="Z34" s="3">
        <v>10.220637957193574</v>
      </c>
      <c r="AA34" s="3">
        <v>9.9295806981122396</v>
      </c>
      <c r="AB34" s="3">
        <v>9.5538363540209659</v>
      </c>
      <c r="AC34" s="3">
        <v>9.2374288211226627</v>
      </c>
      <c r="AD34" s="3">
        <v>8.9928783141924313</v>
      </c>
      <c r="AE34" s="3">
        <v>8.7183988734459206</v>
      </c>
      <c r="AF34" s="3">
        <v>8.521648656956522</v>
      </c>
      <c r="AG34" s="3">
        <v>8.2786144511599318</v>
      </c>
      <c r="AH34" s="3">
        <v>8.0484053472009123</v>
      </c>
      <c r="AI34" s="3">
        <v>7.7951364263308633</v>
      </c>
      <c r="AJ34" s="3">
        <v>7.5198431173199864</v>
      </c>
      <c r="AK34" s="3">
        <v>7.2552722823049862</v>
      </c>
      <c r="AL34" s="3">
        <v>6.9868749937147001</v>
      </c>
      <c r="AM34" s="3">
        <v>6.749776935214868</v>
      </c>
      <c r="AN34" s="3">
        <v>6.5318993094637037</v>
      </c>
      <c r="AO34" s="3">
        <v>6.3377795693770693</v>
      </c>
      <c r="AP34" s="3">
        <v>6.1617674845241837</v>
      </c>
      <c r="AQ34" s="3">
        <v>5.9915050350624242</v>
      </c>
      <c r="AR34" s="3">
        <v>5.8275282866416376</v>
      </c>
      <c r="AS34" s="3">
        <v>5.6609703497049537</v>
      </c>
      <c r="AT34" s="3">
        <v>5.4949045228668041</v>
      </c>
      <c r="AU34" s="3">
        <v>5.329086477568076</v>
      </c>
      <c r="AV34" s="3">
        <v>5.1654576171547646</v>
      </c>
      <c r="AW34" s="3">
        <v>5.0073073037832998</v>
      </c>
      <c r="AX34" s="3">
        <v>4.854835015158578</v>
      </c>
      <c r="AY34" s="3">
        <v>4.710374930206747</v>
      </c>
    </row>
    <row r="35" spans="2:51" x14ac:dyDescent="0.25">
      <c r="B35" t="s">
        <v>38</v>
      </c>
      <c r="C35" s="3">
        <v>287.92918877608213</v>
      </c>
      <c r="D35" s="3">
        <v>438.43962366660963</v>
      </c>
      <c r="E35" s="3">
        <v>295.68071764336884</v>
      </c>
      <c r="F35" s="3">
        <v>183.86425544876977</v>
      </c>
      <c r="G35" s="3">
        <v>25.87633418147923</v>
      </c>
      <c r="H35" s="3">
        <v>66.51867332484278</v>
      </c>
      <c r="I35" s="3">
        <v>17.317892809071843</v>
      </c>
      <c r="J35" s="3">
        <v>15.358838283722271</v>
      </c>
      <c r="K35" s="3">
        <v>27.407907320547189</v>
      </c>
      <c r="L35" s="3">
        <v>37.358698293760611</v>
      </c>
      <c r="M35" s="3">
        <v>74.733319941836271</v>
      </c>
      <c r="N35" s="3">
        <v>70.26255235666946</v>
      </c>
      <c r="O35" s="3">
        <v>79.125946497470295</v>
      </c>
      <c r="P35" s="3">
        <v>74.724537151860034</v>
      </c>
      <c r="Q35" s="3">
        <v>70.777536002937239</v>
      </c>
      <c r="R35" s="3">
        <v>69.249805783271881</v>
      </c>
      <c r="S35" s="3">
        <v>58.814261178583578</v>
      </c>
      <c r="T35" s="3">
        <v>54.690154230269187</v>
      </c>
      <c r="U35" s="3">
        <v>46.862682803793049</v>
      </c>
      <c r="V35" s="3">
        <v>43.558600894030356</v>
      </c>
      <c r="W35" s="3">
        <v>42.317373107794523</v>
      </c>
      <c r="X35" s="3">
        <v>42.27783668264987</v>
      </c>
      <c r="Y35" s="3">
        <v>45.388827954718259</v>
      </c>
      <c r="Z35" s="3">
        <v>47.334840821564228</v>
      </c>
      <c r="AA35" s="3">
        <v>49.538362104498439</v>
      </c>
      <c r="AB35" s="3">
        <v>49.598655849861089</v>
      </c>
      <c r="AC35" s="3">
        <v>48.08081163346489</v>
      </c>
      <c r="AD35" s="3">
        <v>45.654377214531884</v>
      </c>
      <c r="AE35" s="3">
        <v>42.439355060241084</v>
      </c>
      <c r="AF35" s="3">
        <v>39.828726896535549</v>
      </c>
      <c r="AG35" s="3">
        <v>37.658981032083247</v>
      </c>
      <c r="AH35" s="3">
        <v>36.446298142388287</v>
      </c>
      <c r="AI35" s="3">
        <v>35.941942298118086</v>
      </c>
      <c r="AJ35" s="3">
        <v>35.845899681291954</v>
      </c>
      <c r="AK35" s="3">
        <v>36.010371085592723</v>
      </c>
      <c r="AL35" s="3">
        <v>36.033515411458559</v>
      </c>
      <c r="AM35" s="3">
        <v>35.900453171796329</v>
      </c>
      <c r="AN35" s="3">
        <v>35.460789060089226</v>
      </c>
      <c r="AO35" s="3">
        <v>34.752132152513234</v>
      </c>
      <c r="AP35" s="3">
        <v>33.848009672934083</v>
      </c>
      <c r="AQ35" s="3">
        <v>32.816672627751473</v>
      </c>
      <c r="AR35" s="3">
        <v>31.810693149320947</v>
      </c>
      <c r="AS35" s="3">
        <v>30.902324530808002</v>
      </c>
      <c r="AT35" s="3">
        <v>30.179528230741283</v>
      </c>
      <c r="AU35" s="3">
        <v>29.655643786040272</v>
      </c>
      <c r="AV35" s="3">
        <v>29.299170390186077</v>
      </c>
      <c r="AW35" s="3">
        <v>29.052766433387916</v>
      </c>
      <c r="AX35" s="3">
        <v>28.829820476876435</v>
      </c>
      <c r="AY35" s="3">
        <v>28.570026294854159</v>
      </c>
    </row>
    <row r="36" spans="2:51" x14ac:dyDescent="0.25">
      <c r="B36" t="s">
        <v>39</v>
      </c>
      <c r="C36" s="3">
        <v>52.579111086754963</v>
      </c>
      <c r="D36" s="3">
        <v>42.010963068698885</v>
      </c>
      <c r="E36" s="3">
        <v>0.30751999045735445</v>
      </c>
      <c r="F36" s="3">
        <v>18.508600832288785</v>
      </c>
      <c r="G36" s="3">
        <v>16.675647079460884</v>
      </c>
      <c r="H36" s="3">
        <v>25.149317730633584</v>
      </c>
      <c r="I36" s="3">
        <v>22.149636818821094</v>
      </c>
      <c r="J36" s="3">
        <v>17.528835582845026</v>
      </c>
      <c r="K36" s="3">
        <v>22.147185765690967</v>
      </c>
      <c r="L36" s="3">
        <v>17.793886453049961</v>
      </c>
      <c r="M36" s="3">
        <v>18.733554716742489</v>
      </c>
      <c r="N36" s="3">
        <v>15.043017677362883</v>
      </c>
      <c r="O36" s="3">
        <v>13.397495343916539</v>
      </c>
      <c r="P36" s="3">
        <v>13.448653047388174</v>
      </c>
      <c r="Q36" s="3">
        <v>12.358389898434488</v>
      </c>
      <c r="R36" s="3">
        <v>13.40277167344458</v>
      </c>
      <c r="S36" s="3">
        <v>13.004351724762181</v>
      </c>
      <c r="T36" s="3">
        <v>13.520761505534132</v>
      </c>
      <c r="U36" s="3">
        <v>13.54697895236384</v>
      </c>
      <c r="V36" s="3">
        <v>13.099893989668139</v>
      </c>
      <c r="W36" s="3">
        <v>12.778476983199702</v>
      </c>
      <c r="X36" s="3">
        <v>11.879868663514138</v>
      </c>
      <c r="Y36" s="3">
        <v>11.322937376622008</v>
      </c>
      <c r="Z36" s="3">
        <v>10.626951302941556</v>
      </c>
      <c r="AA36" s="3">
        <v>10.107037802424273</v>
      </c>
      <c r="AB36" s="3">
        <v>9.7549015169346447</v>
      </c>
      <c r="AC36" s="3">
        <v>9.4352900879710973</v>
      </c>
      <c r="AD36" s="3">
        <v>9.3092849732596861</v>
      </c>
      <c r="AE36" s="3">
        <v>9.15055481843455</v>
      </c>
      <c r="AF36" s="3">
        <v>9.0408356875633515</v>
      </c>
      <c r="AG36" s="3">
        <v>8.8841913257739051</v>
      </c>
      <c r="AH36" s="3">
        <v>8.6664893202922499</v>
      </c>
      <c r="AI36" s="3">
        <v>8.4149618900038732</v>
      </c>
      <c r="AJ36" s="3">
        <v>8.0986159769840498</v>
      </c>
      <c r="AK36" s="3">
        <v>7.7830589690992298</v>
      </c>
      <c r="AL36" s="3">
        <v>7.4671246286703692</v>
      </c>
      <c r="AM36" s="3">
        <v>7.1870148152171254</v>
      </c>
      <c r="AN36" s="3">
        <v>6.9533682295560624</v>
      </c>
      <c r="AO36" s="3">
        <v>6.7588900943286205</v>
      </c>
      <c r="AP36" s="3">
        <v>6.6037671399552451</v>
      </c>
      <c r="AQ36" s="3">
        <v>6.4635870553529955</v>
      </c>
      <c r="AR36" s="3">
        <v>6.3297671353851044</v>
      </c>
      <c r="AS36" s="3">
        <v>6.187988495979333</v>
      </c>
      <c r="AT36" s="3">
        <v>6.0331666434750773</v>
      </c>
      <c r="AU36" s="3">
        <v>5.867532934513001</v>
      </c>
      <c r="AV36" s="3">
        <v>5.6936717201923273</v>
      </c>
      <c r="AW36" s="3">
        <v>5.5206408394430895</v>
      </c>
      <c r="AX36" s="3">
        <v>5.3536997297712574</v>
      </c>
      <c r="AY36" s="3">
        <v>5.1985101373276237</v>
      </c>
    </row>
    <row r="37" spans="2:51" x14ac:dyDescent="0.25">
      <c r="B37" t="s">
        <v>40</v>
      </c>
      <c r="C37" s="3">
        <v>193.09177703101329</v>
      </c>
      <c r="D37" s="3">
        <v>170.02360680255296</v>
      </c>
      <c r="E37" s="3">
        <v>114.24512843544247</v>
      </c>
      <c r="F37" s="3">
        <v>87.931471071348639</v>
      </c>
      <c r="G37" s="3">
        <v>94.521294663934242</v>
      </c>
      <c r="H37" s="3">
        <v>111.02266501680205</v>
      </c>
      <c r="I37" s="3">
        <v>100.47745731000566</v>
      </c>
      <c r="J37" s="3">
        <v>101.70377353391142</v>
      </c>
      <c r="K37" s="3">
        <v>104.52343895183809</v>
      </c>
      <c r="L37" s="3">
        <v>107.87257311597324</v>
      </c>
      <c r="M37" s="3">
        <v>106.48658089506681</v>
      </c>
      <c r="N37" s="3">
        <v>97.807503937843094</v>
      </c>
      <c r="O37" s="3">
        <v>91.659954555039022</v>
      </c>
      <c r="P37" s="3">
        <v>84.69458023080071</v>
      </c>
      <c r="Q37" s="3">
        <v>80.197003949783252</v>
      </c>
      <c r="R37" s="3">
        <v>76.372907658923552</v>
      </c>
      <c r="S37" s="3">
        <v>73.276219143249662</v>
      </c>
      <c r="T37" s="3">
        <v>71.959735282062638</v>
      </c>
      <c r="U37" s="3">
        <v>70.675769192431289</v>
      </c>
      <c r="V37" s="3">
        <v>70.017995546074815</v>
      </c>
      <c r="W37" s="3">
        <v>68.813226237011236</v>
      </c>
      <c r="X37" s="3">
        <v>67.251193196658221</v>
      </c>
      <c r="Y37" s="3">
        <v>65.32488920217645</v>
      </c>
      <c r="Z37" s="3">
        <v>62.81973180328734</v>
      </c>
      <c r="AA37" s="3">
        <v>60.158020431008424</v>
      </c>
      <c r="AB37" s="3">
        <v>57.295036083438674</v>
      </c>
      <c r="AC37" s="3">
        <v>54.661813110953716</v>
      </c>
      <c r="AD37" s="3">
        <v>52.370131908792047</v>
      </c>
      <c r="AE37" s="3">
        <v>50.483886407398643</v>
      </c>
      <c r="AF37" s="3">
        <v>49.018027256549402</v>
      </c>
      <c r="AG37" s="3">
        <v>47.785755271771393</v>
      </c>
      <c r="AH37" s="3">
        <v>46.697374219544002</v>
      </c>
      <c r="AI37" s="3">
        <v>45.573394420712361</v>
      </c>
      <c r="AJ37" s="3">
        <v>44.339593973549881</v>
      </c>
      <c r="AK37" s="3">
        <v>42.971449368531069</v>
      </c>
      <c r="AL37" s="3">
        <v>41.48693234891573</v>
      </c>
      <c r="AM37" s="3">
        <v>39.966443841031975</v>
      </c>
      <c r="AN37" s="3">
        <v>38.468096968506046</v>
      </c>
      <c r="AO37" s="3">
        <v>37.060348916295368</v>
      </c>
      <c r="AP37" s="3">
        <v>35.774748406526953</v>
      </c>
      <c r="AQ37" s="3">
        <v>34.619230828449247</v>
      </c>
      <c r="AR37" s="3">
        <v>33.582212731447783</v>
      </c>
      <c r="AS37" s="3">
        <v>32.630743382877654</v>
      </c>
      <c r="AT37" s="3">
        <v>31.733406023196068</v>
      </c>
      <c r="AU37" s="3">
        <v>30.856730250313348</v>
      </c>
      <c r="AV37" s="3">
        <v>29.979402777970023</v>
      </c>
      <c r="AW37" s="3">
        <v>29.09171319297235</v>
      </c>
      <c r="AX37" s="3">
        <v>28.195384551570385</v>
      </c>
      <c r="AY37" s="3">
        <v>27.30303723974734</v>
      </c>
    </row>
    <row r="38" spans="2:51" x14ac:dyDescent="0.25">
      <c r="B38" t="s">
        <v>41</v>
      </c>
      <c r="C38" s="3">
        <v>333.72979471337266</v>
      </c>
      <c r="D38" s="3">
        <v>363.1678548122149</v>
      </c>
      <c r="E38" s="3">
        <v>310.98095035506947</v>
      </c>
      <c r="F38" s="3">
        <v>268.94413470493959</v>
      </c>
      <c r="G38" s="3">
        <v>165.39761774035554</v>
      </c>
      <c r="H38" s="3">
        <v>222.96696998688236</v>
      </c>
      <c r="I38" s="3">
        <v>137.96436813038898</v>
      </c>
      <c r="J38" s="3">
        <v>135.80082008432666</v>
      </c>
      <c r="K38" s="3">
        <v>135.8033204590771</v>
      </c>
      <c r="L38" s="3">
        <v>137.94275414797593</v>
      </c>
      <c r="M38" s="3">
        <v>159.76212482485349</v>
      </c>
      <c r="N38" s="3">
        <v>139.03572125317248</v>
      </c>
      <c r="O38" s="3">
        <v>144.48454557908502</v>
      </c>
      <c r="P38" s="3">
        <v>133.82182568566222</v>
      </c>
      <c r="Q38" s="3">
        <v>127.85916868407541</v>
      </c>
      <c r="R38" s="3">
        <v>122.01439864331104</v>
      </c>
      <c r="S38" s="3">
        <v>108.90115777940616</v>
      </c>
      <c r="T38" s="3">
        <v>104.44910424334088</v>
      </c>
      <c r="U38" s="3">
        <v>95.472223237345261</v>
      </c>
      <c r="V38" s="3">
        <v>92.104532929990171</v>
      </c>
      <c r="W38" s="3">
        <v>89.05779338158095</v>
      </c>
      <c r="X38" s="3">
        <v>86.824173750004007</v>
      </c>
      <c r="Y38" s="3">
        <v>86.794829110106065</v>
      </c>
      <c r="Z38" s="3">
        <v>84.802851510439666</v>
      </c>
      <c r="AA38" s="3">
        <v>83.312390005368485</v>
      </c>
      <c r="AB38" s="3">
        <v>79.807605889854756</v>
      </c>
      <c r="AC38" s="3">
        <v>75.690960453425959</v>
      </c>
      <c r="AD38" s="3">
        <v>71.285269774105529</v>
      </c>
      <c r="AE38" s="3">
        <v>66.627084529230302</v>
      </c>
      <c r="AF38" s="3">
        <v>62.86023374378226</v>
      </c>
      <c r="AG38" s="3">
        <v>59.454882645461282</v>
      </c>
      <c r="AH38" s="3">
        <v>56.919080596722978</v>
      </c>
      <c r="AI38" s="3">
        <v>54.82802102683624</v>
      </c>
      <c r="AJ38" s="3">
        <v>52.989955732813996</v>
      </c>
      <c r="AK38" s="3">
        <v>51.306507388471687</v>
      </c>
      <c r="AL38" s="3">
        <v>49.457144417710253</v>
      </c>
      <c r="AM38" s="3">
        <v>47.531885919823679</v>
      </c>
      <c r="AN38" s="3">
        <v>45.402576903953133</v>
      </c>
      <c r="AO38" s="3">
        <v>43.168095435717504</v>
      </c>
      <c r="AP38" s="3">
        <v>40.894151415519332</v>
      </c>
      <c r="AQ38" s="3">
        <v>38.641164981120085</v>
      </c>
      <c r="AR38" s="3">
        <v>36.528653686745656</v>
      </c>
      <c r="AS38" s="3">
        <v>34.575317611065969</v>
      </c>
      <c r="AT38" s="3">
        <v>32.829869499336411</v>
      </c>
      <c r="AU38" s="3">
        <v>31.264529303687766</v>
      </c>
      <c r="AV38" s="3">
        <v>29.837156670306598</v>
      </c>
      <c r="AW38" s="3">
        <v>28.495831237126822</v>
      </c>
      <c r="AX38" s="3">
        <v>27.1764146386856</v>
      </c>
      <c r="AY38" s="3">
        <v>25.849490330560116</v>
      </c>
    </row>
    <row r="39" spans="2:51" x14ac:dyDescent="0.25">
      <c r="B39" t="s">
        <v>42</v>
      </c>
      <c r="C39" s="3">
        <v>50.187957359025468</v>
      </c>
      <c r="D39" s="3">
        <v>54.504591298984039</v>
      </c>
      <c r="E39" s="3">
        <v>38.588409190408179</v>
      </c>
      <c r="F39" s="3">
        <v>38.938864523838113</v>
      </c>
      <c r="G39" s="3">
        <v>27.502337161983629</v>
      </c>
      <c r="H39" s="3">
        <v>34.847435626840472</v>
      </c>
      <c r="I39" s="3">
        <v>30.701663494054152</v>
      </c>
      <c r="J39" s="3">
        <v>28.902953794924795</v>
      </c>
      <c r="K39" s="3">
        <v>30.267204295370863</v>
      </c>
      <c r="L39" s="3">
        <v>27.934993364625942</v>
      </c>
      <c r="M39" s="3">
        <v>29.471975657002801</v>
      </c>
      <c r="N39" s="3">
        <v>26.428210017509503</v>
      </c>
      <c r="O39" s="3">
        <v>25.325029100573012</v>
      </c>
      <c r="P39" s="3">
        <v>23.942008429169388</v>
      </c>
      <c r="Q39" s="3">
        <v>22.435134276689457</v>
      </c>
      <c r="R39" s="3">
        <v>22.067242924204375</v>
      </c>
      <c r="S39" s="3">
        <v>20.75811097354234</v>
      </c>
      <c r="T39" s="3">
        <v>20.431311625035907</v>
      </c>
      <c r="U39" s="3">
        <v>19.750303421022213</v>
      </c>
      <c r="V39" s="3">
        <v>19.249304812766034</v>
      </c>
      <c r="W39" s="3">
        <v>18.833140703803991</v>
      </c>
      <c r="X39" s="3">
        <v>18.151491322368102</v>
      </c>
      <c r="Y39" s="3">
        <v>17.673178734974645</v>
      </c>
      <c r="Z39" s="3">
        <v>16.964055121006972</v>
      </c>
      <c r="AA39" s="3">
        <v>16.324968170757266</v>
      </c>
      <c r="AB39" s="3">
        <v>15.641300157821462</v>
      </c>
      <c r="AC39" s="3">
        <v>14.955380481361303</v>
      </c>
      <c r="AD39" s="3">
        <v>14.376724573582408</v>
      </c>
      <c r="AE39" s="3">
        <v>13.813517584478944</v>
      </c>
      <c r="AF39" s="3">
        <v>13.361501768363347</v>
      </c>
      <c r="AG39" s="3">
        <v>12.937289941059838</v>
      </c>
      <c r="AH39" s="3">
        <v>12.549177385035712</v>
      </c>
      <c r="AI39" s="3">
        <v>12.174214955226283</v>
      </c>
      <c r="AJ39" s="3">
        <v>11.779235383899973</v>
      </c>
      <c r="AK39" s="3">
        <v>11.383658643022471</v>
      </c>
      <c r="AL39" s="3">
        <v>10.969032859808188</v>
      </c>
      <c r="AM39" s="3">
        <v>10.559998353526652</v>
      </c>
      <c r="AN39" s="3">
        <v>10.160042257489195</v>
      </c>
      <c r="AO39" s="3">
        <v>9.7775897293422602</v>
      </c>
      <c r="AP39" s="3">
        <v>9.4215044799223904</v>
      </c>
      <c r="AQ39" s="3">
        <v>9.0870784493490717</v>
      </c>
      <c r="AR39" s="3">
        <v>8.7772922392858561</v>
      </c>
      <c r="AS39" s="3">
        <v>8.4846276612917606</v>
      </c>
      <c r="AT39" s="3">
        <v>8.2058725070953003</v>
      </c>
      <c r="AU39" s="3">
        <v>7.9365823132974498</v>
      </c>
      <c r="AV39" s="3">
        <v>7.6724303200435884</v>
      </c>
      <c r="AW39" s="3">
        <v>7.4128687722155604</v>
      </c>
      <c r="AX39" s="3">
        <v>7.1565210616628718</v>
      </c>
      <c r="AY39" s="3">
        <v>6.905343474772792</v>
      </c>
    </row>
    <row r="40" spans="2:51" x14ac:dyDescent="0.25">
      <c r="B40" t="s">
        <v>43</v>
      </c>
      <c r="C40" s="3">
        <v>21.061358385908946</v>
      </c>
      <c r="D40" s="3">
        <v>9.5157241965099733</v>
      </c>
      <c r="E40" s="3">
        <v>-0.4091376402455893</v>
      </c>
      <c r="F40" s="3">
        <v>-2.6388796872631364</v>
      </c>
      <c r="G40" s="3">
        <v>-2.8342924561217782</v>
      </c>
      <c r="H40" s="3">
        <v>2.3383325021045298</v>
      </c>
      <c r="I40" s="3">
        <v>-0.87163824518651545</v>
      </c>
      <c r="J40" s="3">
        <v>-0.3025969127110173</v>
      </c>
      <c r="K40" s="3">
        <v>-7.2524330548668914E-2</v>
      </c>
      <c r="L40" s="3">
        <v>0.16188596389167031</v>
      </c>
      <c r="M40" s="3">
        <v>0.63834970076751674</v>
      </c>
      <c r="N40" s="3">
        <v>-0.67235247246163254</v>
      </c>
      <c r="O40" s="3">
        <v>-0.52250991032255101</v>
      </c>
      <c r="P40" s="3">
        <v>-0.88655731707528496</v>
      </c>
      <c r="Q40" s="3">
        <v>-0.82114203050281098</v>
      </c>
      <c r="R40" s="3">
        <v>-0.80833651830533881</v>
      </c>
      <c r="S40" s="3">
        <v>-1.0709706118686384</v>
      </c>
      <c r="T40" s="3">
        <v>-0.98518251610539309</v>
      </c>
      <c r="U40" s="3">
        <v>-1.1473107436089798</v>
      </c>
      <c r="V40" s="3">
        <v>-1.1145436905497412</v>
      </c>
      <c r="W40" s="3">
        <v>-1.1651395871313355</v>
      </c>
      <c r="X40" s="3">
        <v>-1.221372760320218</v>
      </c>
      <c r="Y40" s="3">
        <v>-1.2280011560825912</v>
      </c>
      <c r="Z40" s="3">
        <v>-1.3283024700018231</v>
      </c>
      <c r="AA40" s="3">
        <v>-1.3902531258641027</v>
      </c>
      <c r="AB40" s="3">
        <v>-1.5082281586213995</v>
      </c>
      <c r="AC40" s="3">
        <v>-1.6021703407417469</v>
      </c>
      <c r="AD40" s="3">
        <v>-1.6747440651903673</v>
      </c>
      <c r="AE40" s="3">
        <v>-1.7371460933557366</v>
      </c>
      <c r="AF40" s="3">
        <v>-1.7646037325669113</v>
      </c>
      <c r="AG40" s="3">
        <v>-1.7971343275867433</v>
      </c>
      <c r="AH40" s="3">
        <v>-1.8194792576182195</v>
      </c>
      <c r="AI40" s="3">
        <v>-1.8517176591518201</v>
      </c>
      <c r="AJ40" s="3">
        <v>-1.8925095388054984</v>
      </c>
      <c r="AK40" s="3">
        <v>-1.9368638624981855</v>
      </c>
      <c r="AL40" s="3">
        <v>-1.9879908188867965</v>
      </c>
      <c r="AM40" s="3">
        <v>-2.035199402389857</v>
      </c>
      <c r="AN40" s="3">
        <v>-2.0816947195070838</v>
      </c>
      <c r="AO40" s="3">
        <v>-2.1234164085096836</v>
      </c>
      <c r="AP40" s="3">
        <v>-2.1610410007902239</v>
      </c>
      <c r="AQ40" s="3">
        <v>-2.1956701891677604</v>
      </c>
      <c r="AR40" s="3">
        <v>-2.2262401501169009</v>
      </c>
      <c r="AS40" s="3">
        <v>-2.2550493280688748</v>
      </c>
      <c r="AT40" s="3">
        <v>-2.2816711540346617</v>
      </c>
      <c r="AU40" s="3">
        <v>-2.3077200023085354</v>
      </c>
      <c r="AV40" s="3">
        <v>-2.3338639721754717</v>
      </c>
      <c r="AW40" s="3">
        <v>-2.3604497759561838</v>
      </c>
      <c r="AX40" s="3">
        <v>-2.3878961619012742</v>
      </c>
      <c r="AY40" s="3">
        <v>-2.4154073190320133</v>
      </c>
    </row>
    <row r="41" spans="2:51" x14ac:dyDescent="0.25">
      <c r="B41" t="s">
        <v>44</v>
      </c>
      <c r="C41" s="3">
        <v>492.08410149931677</v>
      </c>
      <c r="D41" s="3">
        <v>813.42826830694355</v>
      </c>
      <c r="E41" s="3">
        <v>374.15844177566385</v>
      </c>
      <c r="F41" s="3">
        <v>510.05861657747448</v>
      </c>
      <c r="G41" s="3">
        <v>268.02970303939009</v>
      </c>
      <c r="H41" s="3">
        <v>335.30124814585884</v>
      </c>
      <c r="I41" s="3">
        <v>329.78139872039145</v>
      </c>
      <c r="J41" s="3">
        <v>240.22871952102986</v>
      </c>
      <c r="K41" s="3">
        <v>306.58803796725203</v>
      </c>
      <c r="L41" s="3">
        <v>246.2641794283474</v>
      </c>
      <c r="M41" s="3">
        <v>285.30930602922399</v>
      </c>
      <c r="N41" s="3">
        <v>255.44379319092724</v>
      </c>
      <c r="O41" s="3">
        <v>232.63436059095284</v>
      </c>
      <c r="P41" s="3">
        <v>229.5574339074355</v>
      </c>
      <c r="Q41" s="3">
        <v>196.17503660000932</v>
      </c>
      <c r="R41" s="3">
        <v>193.62715590123247</v>
      </c>
      <c r="S41" s="3">
        <v>165.91514783965562</v>
      </c>
      <c r="T41" s="3">
        <v>151.4011129971999</v>
      </c>
      <c r="U41" s="3">
        <v>136.35870883325219</v>
      </c>
      <c r="V41" s="3">
        <v>119.80046742491106</v>
      </c>
      <c r="W41" s="3">
        <v>113.08717304875529</v>
      </c>
      <c r="X41" s="3">
        <v>101.06369115074182</v>
      </c>
      <c r="Y41" s="3">
        <v>95.491910133384522</v>
      </c>
      <c r="Z41" s="3">
        <v>86.894178422689151</v>
      </c>
      <c r="AA41" s="3">
        <v>77.754378997681101</v>
      </c>
      <c r="AB41" s="3">
        <v>68.219327559159524</v>
      </c>
      <c r="AC41" s="3">
        <v>56.046402835416075</v>
      </c>
      <c r="AD41" s="3">
        <v>45.33838521929232</v>
      </c>
      <c r="AE41" s="3">
        <v>33.920317171501893</v>
      </c>
      <c r="AF41" s="3">
        <v>24.125730331967077</v>
      </c>
      <c r="AG41" s="3">
        <v>15.325671276758271</v>
      </c>
      <c r="AH41" s="3">
        <v>7.2869574311466181</v>
      </c>
      <c r="AI41" s="3">
        <v>0.34811029984689412</v>
      </c>
      <c r="AJ41" s="3">
        <v>-6.5588753335842966</v>
      </c>
      <c r="AK41" s="3">
        <v>-13.013285184368215</v>
      </c>
      <c r="AL41" s="3">
        <v>-19.581697400713722</v>
      </c>
      <c r="AM41" s="3">
        <v>-26.147916993488252</v>
      </c>
      <c r="AN41" s="3">
        <v>-32.67864678363253</v>
      </c>
      <c r="AO41" s="3">
        <v>-39.269256436929652</v>
      </c>
      <c r="AP41" s="3">
        <v>-45.67013037014442</v>
      </c>
      <c r="AQ41" s="3">
        <v>-51.942572148950887</v>
      </c>
      <c r="AR41" s="3">
        <v>-57.904868424436927</v>
      </c>
      <c r="AS41" s="3">
        <v>-63.533652236395312</v>
      </c>
      <c r="AT41" s="3">
        <v>-68.814298665882404</v>
      </c>
      <c r="AU41" s="3">
        <v>-73.737894141002926</v>
      </c>
      <c r="AV41" s="3">
        <v>-78.405546661160713</v>
      </c>
      <c r="AW41" s="3">
        <v>-82.861718720894316</v>
      </c>
      <c r="AX41" s="3">
        <v>-87.201197363053723</v>
      </c>
      <c r="AY41" s="3">
        <v>-91.463992401107134</v>
      </c>
    </row>
    <row r="42" spans="2:51" x14ac:dyDescent="0.25">
      <c r="B42" t="s">
        <v>45</v>
      </c>
      <c r="C42" s="3">
        <v>59.290809644909196</v>
      </c>
      <c r="D42" s="3">
        <v>64.40065335038183</v>
      </c>
      <c r="E42" s="3">
        <v>39.157804775931297</v>
      </c>
      <c r="F42" s="3">
        <v>48.385025736022961</v>
      </c>
      <c r="G42" s="3">
        <v>25.061968658761806</v>
      </c>
      <c r="H42" s="3">
        <v>50.103620887310598</v>
      </c>
      <c r="I42" s="3">
        <v>40.817444951486806</v>
      </c>
      <c r="J42" s="3">
        <v>38.369233162018048</v>
      </c>
      <c r="K42" s="3">
        <v>40.207713786774576</v>
      </c>
      <c r="L42" s="3">
        <v>34.653627314574962</v>
      </c>
      <c r="M42" s="3">
        <v>39.63196726569798</v>
      </c>
      <c r="N42" s="3">
        <v>32.642443894538914</v>
      </c>
      <c r="O42" s="3">
        <v>31.915655235586826</v>
      </c>
      <c r="P42" s="3">
        <v>29.818772171211236</v>
      </c>
      <c r="Q42" s="3">
        <v>28.090270445665368</v>
      </c>
      <c r="R42" s="3">
        <v>28.845369699613506</v>
      </c>
      <c r="S42" s="3">
        <v>27.047778612663059</v>
      </c>
      <c r="T42" s="3">
        <v>27.685956493580697</v>
      </c>
      <c r="U42" s="3">
        <v>26.919574210004157</v>
      </c>
      <c r="V42" s="3">
        <v>26.535205734550694</v>
      </c>
      <c r="W42" s="3">
        <v>26.017529408915607</v>
      </c>
      <c r="X42" s="3">
        <v>24.814739238344274</v>
      </c>
      <c r="Y42" s="3">
        <v>24.17607843998303</v>
      </c>
      <c r="Z42" s="3">
        <v>23.051036255958977</v>
      </c>
      <c r="AA42" s="3">
        <v>22.322317399239935</v>
      </c>
      <c r="AB42" s="3">
        <v>21.565412473069436</v>
      </c>
      <c r="AC42" s="3">
        <v>20.891019044360881</v>
      </c>
      <c r="AD42" s="3">
        <v>20.443059442919903</v>
      </c>
      <c r="AE42" s="3">
        <v>19.93682676726452</v>
      </c>
      <c r="AF42" s="3">
        <v>19.593842813026285</v>
      </c>
      <c r="AG42" s="3">
        <v>19.187668731338519</v>
      </c>
      <c r="AH42" s="3">
        <v>18.792955247408287</v>
      </c>
      <c r="AI42" s="3">
        <v>18.373378039582896</v>
      </c>
      <c r="AJ42" s="3">
        <v>17.891733564961427</v>
      </c>
      <c r="AK42" s="3">
        <v>17.41865941484258</v>
      </c>
      <c r="AL42" s="3">
        <v>16.916018711359158</v>
      </c>
      <c r="AM42" s="3">
        <v>16.449907598248814</v>
      </c>
      <c r="AN42" s="3">
        <v>16.014512758216355</v>
      </c>
      <c r="AO42" s="3">
        <v>15.621758062501186</v>
      </c>
      <c r="AP42" s="3">
        <v>15.277535295512379</v>
      </c>
      <c r="AQ42" s="3">
        <v>14.958740426676101</v>
      </c>
      <c r="AR42" s="3">
        <v>14.666025890246473</v>
      </c>
      <c r="AS42" s="3">
        <v>14.377444671165421</v>
      </c>
      <c r="AT42" s="3">
        <v>14.089795949380175</v>
      </c>
      <c r="AU42" s="3">
        <v>13.798713456080435</v>
      </c>
      <c r="AV42" s="3">
        <v>13.503353910911045</v>
      </c>
      <c r="AW42" s="3">
        <v>13.210898045658382</v>
      </c>
      <c r="AX42" s="3">
        <v>12.923535295493011</v>
      </c>
      <c r="AY42" s="3">
        <v>12.648383952612747</v>
      </c>
    </row>
    <row r="43" spans="2:51" x14ac:dyDescent="0.25">
      <c r="B43" t="s">
        <v>46</v>
      </c>
      <c r="C43" s="3">
        <v>15.188888975060282</v>
      </c>
      <c r="D43" s="3">
        <v>8.2463869673126471</v>
      </c>
      <c r="E43" s="3">
        <v>10.110677934215104</v>
      </c>
      <c r="F43" s="3">
        <v>6.9071327713217503</v>
      </c>
      <c r="G43" s="3">
        <v>8.199494274980994</v>
      </c>
      <c r="H43" s="3">
        <v>9.2127026878452458</v>
      </c>
      <c r="I43" s="3">
        <v>6.9791028787016973</v>
      </c>
      <c r="J43" s="3">
        <v>7.3952988953877492</v>
      </c>
      <c r="K43" s="3">
        <v>6.5166185262257379</v>
      </c>
      <c r="L43" s="3">
        <v>7.0123019279910528</v>
      </c>
      <c r="M43" s="3">
        <v>6.6624871393215903</v>
      </c>
      <c r="N43" s="3">
        <v>5.9623415762029532</v>
      </c>
      <c r="O43" s="3">
        <v>5.8805229640939984</v>
      </c>
      <c r="P43" s="3">
        <v>5.3463668249306764</v>
      </c>
      <c r="Q43" s="3">
        <v>5.3207843530524492</v>
      </c>
      <c r="R43" s="3">
        <v>4.9971818605263172</v>
      </c>
      <c r="S43" s="3">
        <v>4.8057662000016359</v>
      </c>
      <c r="T43" s="3">
        <v>4.6806890230993652</v>
      </c>
      <c r="U43" s="3">
        <v>4.4423112732202368</v>
      </c>
      <c r="V43" s="3">
        <v>4.3213901000410795</v>
      </c>
      <c r="W43" s="3">
        <v>4.0839258414044028</v>
      </c>
      <c r="X43" s="3">
        <v>3.9213467443754375</v>
      </c>
      <c r="Y43" s="3">
        <v>3.7490822134768198</v>
      </c>
      <c r="Z43" s="3">
        <v>3.5773421283731137</v>
      </c>
      <c r="AA43" s="3">
        <v>3.4364490147236086</v>
      </c>
      <c r="AB43" s="3">
        <v>3.2678770445943588</v>
      </c>
      <c r="AC43" s="3">
        <v>3.1281056001396994</v>
      </c>
      <c r="AD43" s="3">
        <v>2.9790423178345939</v>
      </c>
      <c r="AE43" s="3">
        <v>2.8426386958896437</v>
      </c>
      <c r="AF43" s="3">
        <v>2.7168258481285523</v>
      </c>
      <c r="AG43" s="3">
        <v>2.5929131620223576</v>
      </c>
      <c r="AH43" s="3">
        <v>2.4820082245602624</v>
      </c>
      <c r="AI43" s="3">
        <v>2.3688617400358645</v>
      </c>
      <c r="AJ43" s="3">
        <v>2.2605870998541828</v>
      </c>
      <c r="AK43" s="3">
        <v>2.1521225744300096</v>
      </c>
      <c r="AL43" s="3">
        <v>2.0449093522783794</v>
      </c>
      <c r="AM43" s="3">
        <v>1.9422445355622919</v>
      </c>
      <c r="AN43" s="3">
        <v>1.8423118654266144</v>
      </c>
      <c r="AO43" s="3">
        <v>1.7485585898246736</v>
      </c>
      <c r="AP43" s="3">
        <v>1.6588173422132115</v>
      </c>
      <c r="AQ43" s="3">
        <v>1.5735365389464615</v>
      </c>
      <c r="AR43" s="3">
        <v>1.4918564089023025</v>
      </c>
      <c r="AS43" s="3">
        <v>1.4127258689123874</v>
      </c>
      <c r="AT43" s="3">
        <v>1.336479030515207</v>
      </c>
      <c r="AU43" s="3">
        <v>1.2623216188189073</v>
      </c>
      <c r="AV43" s="3">
        <v>1.1906946400495162</v>
      </c>
      <c r="AW43" s="3">
        <v>1.1213616622956053</v>
      </c>
      <c r="AX43" s="3">
        <v>1.0543309201326245</v>
      </c>
      <c r="AY43" s="3">
        <v>0.98968441651331318</v>
      </c>
    </row>
    <row r="44" spans="2:51" x14ac:dyDescent="0.25">
      <c r="B44" t="s">
        <v>47</v>
      </c>
      <c r="C44" s="3">
        <v>187.77379221958444</v>
      </c>
      <c r="D44" s="3">
        <v>157.02856455073785</v>
      </c>
      <c r="E44" s="3">
        <v>102.72975734968075</v>
      </c>
      <c r="F44" s="3">
        <v>171.03221998232044</v>
      </c>
      <c r="G44" s="3">
        <v>96.295307914278979</v>
      </c>
      <c r="H44" s="3">
        <v>153.75453513599911</v>
      </c>
      <c r="I44" s="3">
        <v>112.78880374360119</v>
      </c>
      <c r="J44" s="3">
        <v>119.98744929689018</v>
      </c>
      <c r="K44" s="3">
        <v>131.55013589750854</v>
      </c>
      <c r="L44" s="3">
        <v>117.2540258595244</v>
      </c>
      <c r="M44" s="3">
        <v>133.44015035188463</v>
      </c>
      <c r="N44" s="3">
        <v>114.28398773136686</v>
      </c>
      <c r="O44" s="3">
        <v>115.05031695268131</v>
      </c>
      <c r="P44" s="3">
        <v>106.63902838538708</v>
      </c>
      <c r="Q44" s="3">
        <v>98.956342941301273</v>
      </c>
      <c r="R44" s="3">
        <v>97.853969122107372</v>
      </c>
      <c r="S44" s="3">
        <v>89.735628122785272</v>
      </c>
      <c r="T44" s="3">
        <v>89.935899859467014</v>
      </c>
      <c r="U44" s="3">
        <v>86.245407605503999</v>
      </c>
      <c r="V44" s="3">
        <v>85.132673619994577</v>
      </c>
      <c r="W44" s="3">
        <v>84.046476219501599</v>
      </c>
      <c r="X44" s="3">
        <v>81.343845744975752</v>
      </c>
      <c r="Y44" s="3">
        <v>80.085505950014692</v>
      </c>
      <c r="Z44" s="3">
        <v>76.760364998513722</v>
      </c>
      <c r="AA44" s="3">
        <v>74.157410341471319</v>
      </c>
      <c r="AB44" s="3">
        <v>70.891913477480912</v>
      </c>
      <c r="AC44" s="3">
        <v>67.677754770369717</v>
      </c>
      <c r="AD44" s="3">
        <v>65.054005106095886</v>
      </c>
      <c r="AE44" s="3">
        <v>62.398775744979289</v>
      </c>
      <c r="AF44" s="3">
        <v>60.510234940185754</v>
      </c>
      <c r="AG44" s="3">
        <v>58.692959422229336</v>
      </c>
      <c r="AH44" s="3">
        <v>57.177504615372442</v>
      </c>
      <c r="AI44" s="3">
        <v>55.727103121421209</v>
      </c>
      <c r="AJ44" s="3">
        <v>54.158998175964555</v>
      </c>
      <c r="AK44" s="3">
        <v>52.589664727189458</v>
      </c>
      <c r="AL44" s="3">
        <v>50.839734001356561</v>
      </c>
      <c r="AM44" s="3">
        <v>49.090509774657477</v>
      </c>
      <c r="AN44" s="3">
        <v>47.320654654225024</v>
      </c>
      <c r="AO44" s="3">
        <v>45.611241141687373</v>
      </c>
      <c r="AP44" s="3">
        <v>44.024614502059904</v>
      </c>
      <c r="AQ44" s="3">
        <v>42.543855759899913</v>
      </c>
      <c r="AR44" s="3">
        <v>41.209503473037273</v>
      </c>
      <c r="AS44" s="3">
        <v>39.970698453650925</v>
      </c>
      <c r="AT44" s="3">
        <v>38.816232020734105</v>
      </c>
      <c r="AU44" s="3">
        <v>37.709598230450837</v>
      </c>
      <c r="AV44" s="3">
        <v>36.620004565527864</v>
      </c>
      <c r="AW44" s="3">
        <v>35.539975438691499</v>
      </c>
      <c r="AX44" s="3">
        <v>34.455542890295419</v>
      </c>
      <c r="AY44" s="3">
        <v>33.380055946733961</v>
      </c>
    </row>
    <row r="45" spans="2:51" x14ac:dyDescent="0.25">
      <c r="B45" t="s">
        <v>48</v>
      </c>
      <c r="C45" s="3">
        <v>799.28178788831565</v>
      </c>
      <c r="D45" s="3">
        <v>1055.3307677701259</v>
      </c>
      <c r="E45" s="3">
        <v>742.70539828765311</v>
      </c>
      <c r="F45" s="3">
        <v>932.15992195751551</v>
      </c>
      <c r="G45" s="3">
        <v>446.58975520446347</v>
      </c>
      <c r="H45" s="3">
        <v>533.43050326459729</v>
      </c>
      <c r="I45" s="3">
        <v>399.00762328082612</v>
      </c>
      <c r="J45" s="3">
        <v>385.19327501319981</v>
      </c>
      <c r="K45" s="3">
        <v>451.6593590087582</v>
      </c>
      <c r="L45" s="3">
        <v>367.89765323730444</v>
      </c>
      <c r="M45" s="3">
        <v>431.90312531500882</v>
      </c>
      <c r="N45" s="3">
        <v>383.72842619532901</v>
      </c>
      <c r="O45" s="3">
        <v>398.35241656355117</v>
      </c>
      <c r="P45" s="3">
        <v>390.31109245999761</v>
      </c>
      <c r="Q45" s="3">
        <v>358.2900380280438</v>
      </c>
      <c r="R45" s="3">
        <v>354.7140199857555</v>
      </c>
      <c r="S45" s="3">
        <v>314.41317877830079</v>
      </c>
      <c r="T45" s="3">
        <v>299.35469297892342</v>
      </c>
      <c r="U45" s="3">
        <v>271.46107782531124</v>
      </c>
      <c r="V45" s="3">
        <v>251.55661377680372</v>
      </c>
      <c r="W45" s="3">
        <v>241.47649545231258</v>
      </c>
      <c r="X45" s="3">
        <v>228.88387089644925</v>
      </c>
      <c r="Y45" s="3">
        <v>226.99754296792764</v>
      </c>
      <c r="Z45" s="3">
        <v>219.62024803166565</v>
      </c>
      <c r="AA45" s="3">
        <v>214.06905165289999</v>
      </c>
      <c r="AB45" s="3">
        <v>205.37382635544151</v>
      </c>
      <c r="AC45" s="3">
        <v>193.42182697925648</v>
      </c>
      <c r="AD45" s="3">
        <v>181.69564846496087</v>
      </c>
      <c r="AE45" s="3">
        <v>167.79997481222932</v>
      </c>
      <c r="AF45" s="3">
        <v>155.89892975181044</v>
      </c>
      <c r="AG45" s="3">
        <v>144.56478351404479</v>
      </c>
      <c r="AH45" s="3">
        <v>134.92742880646114</v>
      </c>
      <c r="AI45" s="3">
        <v>126.92197948721935</v>
      </c>
      <c r="AJ45" s="3">
        <v>119.60489493182968</v>
      </c>
      <c r="AK45" s="3">
        <v>113.37654207408559</v>
      </c>
      <c r="AL45" s="3">
        <v>107.1239964219053</v>
      </c>
      <c r="AM45" s="3">
        <v>100.99695053873575</v>
      </c>
      <c r="AN45" s="3">
        <v>94.59023604751917</v>
      </c>
      <c r="AO45" s="3">
        <v>87.825898364189811</v>
      </c>
      <c r="AP45" s="3">
        <v>80.918675716420125</v>
      </c>
      <c r="AQ45" s="3">
        <v>73.857164671176292</v>
      </c>
      <c r="AR45" s="3">
        <v>67.026103275062269</v>
      </c>
      <c r="AS45" s="3">
        <v>60.524835830672373</v>
      </c>
      <c r="AT45" s="3">
        <v>54.534249369771828</v>
      </c>
      <c r="AU45" s="3">
        <v>49.093968296463913</v>
      </c>
      <c r="AV45" s="3">
        <v>44.109704280586129</v>
      </c>
      <c r="AW45" s="3">
        <v>39.49739836486799</v>
      </c>
      <c r="AX45" s="3">
        <v>35.073258842437554</v>
      </c>
      <c r="AY45" s="3">
        <v>30.737196153428044</v>
      </c>
    </row>
    <row r="46" spans="2:51" x14ac:dyDescent="0.25">
      <c r="B46" t="s">
        <v>49</v>
      </c>
      <c r="C46" s="3">
        <v>63.94530518519219</v>
      </c>
      <c r="D46" s="3">
        <v>48.833681461082307</v>
      </c>
      <c r="E46" s="3">
        <v>41.326885800380083</v>
      </c>
      <c r="F46" s="3">
        <v>36.232656842854411</v>
      </c>
      <c r="G46" s="3">
        <v>19.605623916478642</v>
      </c>
      <c r="H46" s="3">
        <v>19.698329668596742</v>
      </c>
      <c r="I46" s="3">
        <v>3.0866224281770371</v>
      </c>
      <c r="J46" s="3">
        <v>2.5180103673485377</v>
      </c>
      <c r="K46" s="3">
        <v>-1.9124242753399159</v>
      </c>
      <c r="L46" s="3">
        <v>-5.9393098172534593</v>
      </c>
      <c r="M46" s="3">
        <v>-7.8102840845789956</v>
      </c>
      <c r="N46" s="3">
        <v>-13.24289853989174</v>
      </c>
      <c r="O46" s="3">
        <v>-13.647628238370444</v>
      </c>
      <c r="P46" s="3">
        <v>-15.890591145536845</v>
      </c>
      <c r="Q46" s="3">
        <v>-16.459138015111137</v>
      </c>
      <c r="R46" s="3">
        <v>-17.263880686884519</v>
      </c>
      <c r="S46" s="3">
        <v>-19.067570633194677</v>
      </c>
      <c r="T46" s="3">
        <v>-20.395833984494573</v>
      </c>
      <c r="U46" s="3">
        <v>-23.009085619612833</v>
      </c>
      <c r="V46" s="3">
        <v>-25.166499005510886</v>
      </c>
      <c r="W46" s="3">
        <v>-27.500117841993188</v>
      </c>
      <c r="X46" s="3">
        <v>-29.470108851580292</v>
      </c>
      <c r="Y46" s="3">
        <v>-30.891338476571704</v>
      </c>
      <c r="Z46" s="3">
        <v>-32.193285683536089</v>
      </c>
      <c r="AA46" s="3">
        <v>-33.084741862293342</v>
      </c>
      <c r="AB46" s="3">
        <v>-34.037064020275807</v>
      </c>
      <c r="AC46" s="3">
        <v>-34.937633433264097</v>
      </c>
      <c r="AD46" s="3">
        <v>-35.911779854107607</v>
      </c>
      <c r="AE46" s="3">
        <v>-37.000384310550402</v>
      </c>
      <c r="AF46" s="3">
        <v>-38.101400520953646</v>
      </c>
      <c r="AG46" s="3">
        <v>-39.276959969127759</v>
      </c>
      <c r="AH46" s="3">
        <v>-40.411458185795283</v>
      </c>
      <c r="AI46" s="3">
        <v>-41.517296827708606</v>
      </c>
      <c r="AJ46" s="3">
        <v>-42.550454239904511</v>
      </c>
      <c r="AK46" s="3">
        <v>-43.486847442951543</v>
      </c>
      <c r="AL46" s="3">
        <v>-44.34285365157443</v>
      </c>
      <c r="AM46" s="3">
        <v>-45.108274682122726</v>
      </c>
      <c r="AN46" s="3">
        <v>-45.823695875084638</v>
      </c>
      <c r="AO46" s="3">
        <v>-46.505609503313806</v>
      </c>
      <c r="AP46" s="3">
        <v>-47.181366405496149</v>
      </c>
      <c r="AQ46" s="3">
        <v>-47.867010540382225</v>
      </c>
      <c r="AR46" s="3">
        <v>-48.560587347843139</v>
      </c>
      <c r="AS46" s="3">
        <v>-49.259243406843268</v>
      </c>
      <c r="AT46" s="3">
        <v>-49.945132821709535</v>
      </c>
      <c r="AU46" s="3">
        <v>-50.606300428276356</v>
      </c>
      <c r="AV46" s="3">
        <v>-51.231447794279759</v>
      </c>
      <c r="AW46" s="3">
        <v>-51.815806576388837</v>
      </c>
      <c r="AX46" s="3">
        <v>-52.362123022749074</v>
      </c>
      <c r="AY46" s="3">
        <v>-52.875315054051256</v>
      </c>
    </row>
    <row r="47" spans="2:51" x14ac:dyDescent="0.25">
      <c r="B47" t="s">
        <v>50</v>
      </c>
      <c r="C47" s="3">
        <v>212.15299539408898</v>
      </c>
      <c r="D47" s="3">
        <v>306.82496971912337</v>
      </c>
      <c r="E47" s="3">
        <v>131.43930817072882</v>
      </c>
      <c r="F47" s="3">
        <v>230.54174834641617</v>
      </c>
      <c r="G47" s="3">
        <v>-13.373650297497022</v>
      </c>
      <c r="H47" s="3">
        <v>-176.24204387987731</v>
      </c>
      <c r="I47" s="3">
        <v>-269.37439046524219</v>
      </c>
      <c r="J47" s="3">
        <v>-244.75378488714358</v>
      </c>
      <c r="K47" s="3">
        <v>-126.17745451833983</v>
      </c>
      <c r="L47" s="3">
        <v>-113.92764856588204</v>
      </c>
      <c r="M47" s="3">
        <v>-102.69810191329091</v>
      </c>
      <c r="N47" s="3">
        <v>-136.60754442985686</v>
      </c>
      <c r="O47" s="3">
        <v>-155.62363863689689</v>
      </c>
      <c r="P47" s="3">
        <v>-158.00636808692786</v>
      </c>
      <c r="Q47" s="3">
        <v>-159.65080234815056</v>
      </c>
      <c r="R47" s="3">
        <v>-133.82134389311184</v>
      </c>
      <c r="S47" s="3">
        <v>-111.15008837860827</v>
      </c>
      <c r="T47" s="3">
        <v>-83.956228741053707</v>
      </c>
      <c r="U47" s="3">
        <v>-68.53774863082964</v>
      </c>
      <c r="V47" s="3">
        <v>-65.660826197410159</v>
      </c>
      <c r="W47" s="3">
        <v>-67.902363927239094</v>
      </c>
      <c r="X47" s="3">
        <v>-76.610998930658752</v>
      </c>
      <c r="Y47" s="3">
        <v>-82.103340489792231</v>
      </c>
      <c r="Z47" s="3">
        <v>-85.802780208912679</v>
      </c>
      <c r="AA47" s="3">
        <v>-84.676135839385239</v>
      </c>
      <c r="AB47" s="3">
        <v>-79.157176293048821</v>
      </c>
      <c r="AC47" s="3">
        <v>-71.517023927008665</v>
      </c>
      <c r="AD47" s="3">
        <v>-62.081220824214512</v>
      </c>
      <c r="AE47" s="3">
        <v>-53.698634991571851</v>
      </c>
      <c r="AF47" s="3">
        <v>-46.527202528226439</v>
      </c>
      <c r="AG47" s="3">
        <v>-41.514714606605708</v>
      </c>
      <c r="AH47" s="3">
        <v>-38.635130186718413</v>
      </c>
      <c r="AI47" s="3">
        <v>-37.239352429451515</v>
      </c>
      <c r="AJ47" s="3">
        <v>-36.935279923249652</v>
      </c>
      <c r="AK47" s="3">
        <v>-36.630979501860963</v>
      </c>
      <c r="AL47" s="3">
        <v>-35.862544927161935</v>
      </c>
      <c r="AM47" s="3">
        <v>-34.138441632033391</v>
      </c>
      <c r="AN47" s="3">
        <v>-31.399865375554327</v>
      </c>
      <c r="AO47" s="3">
        <v>-27.925263979061754</v>
      </c>
      <c r="AP47" s="3">
        <v>-24.049591651753701</v>
      </c>
      <c r="AQ47" s="3">
        <v>-20.289784577761793</v>
      </c>
      <c r="AR47" s="3">
        <v>-16.961104232798675</v>
      </c>
      <c r="AS47" s="3">
        <v>-14.279479972757088</v>
      </c>
      <c r="AT47" s="3">
        <v>-12.252622570652022</v>
      </c>
      <c r="AU47" s="3">
        <v>-10.728489186569561</v>
      </c>
      <c r="AV47" s="3">
        <v>-9.5033445739541662</v>
      </c>
      <c r="AW47" s="3">
        <v>-8.3339483823984892</v>
      </c>
      <c r="AX47" s="3">
        <v>-7.0536908860801759</v>
      </c>
      <c r="AY47" s="3">
        <v>-5.562782300726667</v>
      </c>
    </row>
    <row r="48" spans="2:51" x14ac:dyDescent="0.25">
      <c r="B48" t="s">
        <v>51</v>
      </c>
      <c r="C48" s="3">
        <v>224.64177375162382</v>
      </c>
      <c r="D48" s="3">
        <v>304.8005003731156</v>
      </c>
      <c r="E48" s="3">
        <v>218.40958526688505</v>
      </c>
      <c r="F48" s="3">
        <v>272.12489927779416</v>
      </c>
      <c r="G48" s="3">
        <v>195.70008120009857</v>
      </c>
      <c r="H48" s="3">
        <v>199.57942435612506</v>
      </c>
      <c r="I48" s="3">
        <v>174.68998826588808</v>
      </c>
      <c r="J48" s="3">
        <v>157.00488315265946</v>
      </c>
      <c r="K48" s="3">
        <v>171.2959058079571</v>
      </c>
      <c r="L48" s="3">
        <v>150.21430247166776</v>
      </c>
      <c r="M48" s="3">
        <v>153.62238473770057</v>
      </c>
      <c r="N48" s="3">
        <v>136.44652248903881</v>
      </c>
      <c r="O48" s="3">
        <v>127.13900108014164</v>
      </c>
      <c r="P48" s="3">
        <v>119.88903641616338</v>
      </c>
      <c r="Q48" s="3">
        <v>107.52087956883463</v>
      </c>
      <c r="R48" s="3">
        <v>103.58964880530471</v>
      </c>
      <c r="S48" s="3">
        <v>94.012951484608038</v>
      </c>
      <c r="T48" s="3">
        <v>89.343402079866678</v>
      </c>
      <c r="U48" s="3">
        <v>83.364148473088335</v>
      </c>
      <c r="V48" s="3">
        <v>77.338975528467643</v>
      </c>
      <c r="W48" s="3">
        <v>72.946600181608346</v>
      </c>
      <c r="X48" s="3">
        <v>67.070581926297848</v>
      </c>
      <c r="Y48" s="3">
        <v>62.83933622121333</v>
      </c>
      <c r="Z48" s="3">
        <v>57.665123808045507</v>
      </c>
      <c r="AA48" s="3">
        <v>52.790170096365273</v>
      </c>
      <c r="AB48" s="3">
        <v>47.925620350644351</v>
      </c>
      <c r="AC48" s="3">
        <v>42.792770756559946</v>
      </c>
      <c r="AD48" s="3">
        <v>38.253367973075115</v>
      </c>
      <c r="AE48" s="3">
        <v>33.686290054583651</v>
      </c>
      <c r="AF48" s="3">
        <v>29.694108208906187</v>
      </c>
      <c r="AG48" s="3">
        <v>25.947674019107922</v>
      </c>
      <c r="AH48" s="3">
        <v>22.428925276458131</v>
      </c>
      <c r="AI48" s="3">
        <v>19.12614617297686</v>
      </c>
      <c r="AJ48" s="3">
        <v>15.792231005301915</v>
      </c>
      <c r="AK48" s="3">
        <v>12.556315655402273</v>
      </c>
      <c r="AL48" s="3">
        <v>9.2954221242700896</v>
      </c>
      <c r="AM48" s="3">
        <v>6.1062389856614345</v>
      </c>
      <c r="AN48" s="3">
        <v>3.0100900656296403</v>
      </c>
      <c r="AO48" s="3">
        <v>1.4696210855106528E-2</v>
      </c>
      <c r="AP48" s="3">
        <v>-2.825867610357534</v>
      </c>
      <c r="AQ48" s="3">
        <v>-5.546786478465151</v>
      </c>
      <c r="AR48" s="3">
        <v>-8.1255820362383702</v>
      </c>
      <c r="AS48" s="3">
        <v>-10.58891052928891</v>
      </c>
      <c r="AT48" s="3">
        <v>-12.947403496496008</v>
      </c>
      <c r="AU48" s="3">
        <v>-15.210590849210632</v>
      </c>
      <c r="AV48" s="3">
        <v>-17.401065992986389</v>
      </c>
      <c r="AW48" s="3">
        <v>-19.521526550809426</v>
      </c>
      <c r="AX48" s="3">
        <v>-21.585757270509077</v>
      </c>
      <c r="AY48" s="3">
        <v>-23.592430783549219</v>
      </c>
    </row>
    <row r="49" spans="2:51" x14ac:dyDescent="0.25">
      <c r="B49" t="s">
        <v>52</v>
      </c>
      <c r="C49" s="3">
        <v>616.03446674718225</v>
      </c>
      <c r="D49" s="3">
        <v>2005.1941421257668</v>
      </c>
      <c r="E49" s="3">
        <v>1631.5292777473733</v>
      </c>
      <c r="F49" s="3">
        <v>2011.8954718441446</v>
      </c>
      <c r="G49" s="3">
        <v>1743.913471403459</v>
      </c>
      <c r="H49" s="3">
        <v>932.98616573064271</v>
      </c>
      <c r="I49" s="3">
        <v>840.3522911682071</v>
      </c>
      <c r="J49" s="3">
        <v>623.5498594174062</v>
      </c>
      <c r="K49" s="3">
        <v>850.42184432547583</v>
      </c>
      <c r="L49" s="3">
        <v>803.32470030884178</v>
      </c>
      <c r="M49" s="3">
        <v>735.73581190176048</v>
      </c>
      <c r="N49" s="3">
        <v>767.74133408117768</v>
      </c>
      <c r="O49" s="3">
        <v>721.05986465378021</v>
      </c>
      <c r="P49" s="3">
        <v>777.96770104702796</v>
      </c>
      <c r="Q49" s="3">
        <v>731.45021099496978</v>
      </c>
      <c r="R49" s="3">
        <v>709.23311528988916</v>
      </c>
      <c r="S49" s="3">
        <v>672.42528930460833</v>
      </c>
      <c r="T49" s="3">
        <v>613.9313743840986</v>
      </c>
      <c r="U49" s="3">
        <v>577.25502048932822</v>
      </c>
      <c r="V49" s="3">
        <v>518.86091737982645</v>
      </c>
      <c r="W49" s="3">
        <v>489.58799057774911</v>
      </c>
      <c r="X49" s="3">
        <v>464.39369132077707</v>
      </c>
      <c r="Y49" s="3">
        <v>450.26691511776312</v>
      </c>
      <c r="Z49" s="3">
        <v>443.66214348214135</v>
      </c>
      <c r="AA49" s="3">
        <v>430.31561981356919</v>
      </c>
      <c r="AB49" s="3">
        <v>419.16041592412336</v>
      </c>
      <c r="AC49" s="3">
        <v>399.50607239638788</v>
      </c>
      <c r="AD49" s="3">
        <v>378.11896559935519</v>
      </c>
      <c r="AE49" s="3">
        <v>354.25593914515491</v>
      </c>
      <c r="AF49" s="3">
        <v>329.32278219035334</v>
      </c>
      <c r="AG49" s="3">
        <v>307.10551579633534</v>
      </c>
      <c r="AH49" s="3">
        <v>285.82888126303504</v>
      </c>
      <c r="AI49" s="3">
        <v>267.99991250912262</v>
      </c>
      <c r="AJ49" s="3">
        <v>252.09508015696153</v>
      </c>
      <c r="AK49" s="3">
        <v>238.24863307704979</v>
      </c>
      <c r="AL49" s="3">
        <v>225.9989906235495</v>
      </c>
      <c r="AM49" s="3">
        <v>214.13157954242433</v>
      </c>
      <c r="AN49" s="3">
        <v>202.58934889364573</v>
      </c>
      <c r="AO49" s="3">
        <v>190.38838524909136</v>
      </c>
      <c r="AP49" s="3">
        <v>177.65739827662043</v>
      </c>
      <c r="AQ49" s="3">
        <v>164.39822571385275</v>
      </c>
      <c r="AR49" s="3">
        <v>150.93992612577543</v>
      </c>
      <c r="AS49" s="3">
        <v>137.87283876124366</v>
      </c>
      <c r="AT49" s="3">
        <v>125.48525816918144</v>
      </c>
      <c r="AU49" s="3">
        <v>114.15215607712851</v>
      </c>
      <c r="AV49" s="3">
        <v>103.84251166334505</v>
      </c>
      <c r="AW49" s="3">
        <v>94.431166623762024</v>
      </c>
      <c r="AX49" s="3">
        <v>85.662237446246394</v>
      </c>
      <c r="AY49" s="3">
        <v>77.227148955714824</v>
      </c>
    </row>
    <row r="50" spans="2:51" x14ac:dyDescent="0.25">
      <c r="B50" t="s">
        <v>53</v>
      </c>
      <c r="C50" s="3">
        <v>872.86134740952207</v>
      </c>
      <c r="D50" s="3">
        <v>2006.674979344986</v>
      </c>
      <c r="E50" s="3">
        <v>1279.6986452241902</v>
      </c>
      <c r="F50" s="3">
        <v>2039.6308842373128</v>
      </c>
      <c r="G50" s="3">
        <v>1592.601854168727</v>
      </c>
      <c r="H50" s="3">
        <v>1655.0745340778935</v>
      </c>
      <c r="I50" s="3">
        <v>1526.1025102019144</v>
      </c>
      <c r="J50" s="3">
        <v>1346.9163524317421</v>
      </c>
      <c r="K50" s="3">
        <v>1551.0765596362248</v>
      </c>
      <c r="L50" s="3">
        <v>1392.8087456354599</v>
      </c>
      <c r="M50" s="3">
        <v>1428.8598880069362</v>
      </c>
      <c r="N50" s="3">
        <v>1281.9686144144987</v>
      </c>
      <c r="O50" s="3">
        <v>1164.2686816597409</v>
      </c>
      <c r="P50" s="3">
        <v>1088.4422434421399</v>
      </c>
      <c r="Q50" s="3">
        <v>950.90408501750926</v>
      </c>
      <c r="R50" s="3">
        <v>906.29671478733417</v>
      </c>
      <c r="S50" s="3">
        <v>823.49258150408559</v>
      </c>
      <c r="T50" s="3">
        <v>790.44471577515787</v>
      </c>
      <c r="U50" s="3">
        <v>758.56075423437733</v>
      </c>
      <c r="V50" s="3">
        <v>720.19393171534239</v>
      </c>
      <c r="W50" s="3">
        <v>696.28346789211855</v>
      </c>
      <c r="X50" s="3">
        <v>650.5821847604866</v>
      </c>
      <c r="Y50" s="3">
        <v>612.85792158396953</v>
      </c>
      <c r="Z50" s="3">
        <v>562.72462014533357</v>
      </c>
      <c r="AA50" s="3">
        <v>511.00813284652804</v>
      </c>
      <c r="AB50" s="3">
        <v>460.66394393234896</v>
      </c>
      <c r="AC50" s="3">
        <v>408.76288728216832</v>
      </c>
      <c r="AD50" s="3">
        <v>365.40349422361123</v>
      </c>
      <c r="AE50" s="3">
        <v>324.72646103383568</v>
      </c>
      <c r="AF50" s="3">
        <v>291.26688049781978</v>
      </c>
      <c r="AG50" s="3">
        <v>261.73938424454354</v>
      </c>
      <c r="AH50" s="3">
        <v>234.19664049632001</v>
      </c>
      <c r="AI50" s="3">
        <v>208.10234629222577</v>
      </c>
      <c r="AJ50" s="3">
        <v>180.28808958920035</v>
      </c>
      <c r="AK50" s="3">
        <v>151.77757937359911</v>
      </c>
      <c r="AL50" s="3">
        <v>121.72831547204987</v>
      </c>
      <c r="AM50" s="3">
        <v>91.35494297546893</v>
      </c>
      <c r="AN50" s="3">
        <v>61.636334757376517</v>
      </c>
      <c r="AO50" s="3">
        <v>33.104300245453487</v>
      </c>
      <c r="AP50" s="3">
        <v>6.7077250326756257</v>
      </c>
      <c r="AQ50" s="3">
        <v>-17.755371266597194</v>
      </c>
      <c r="AR50" s="3">
        <v>-40.217037908477778</v>
      </c>
      <c r="AS50" s="3">
        <v>-61.171048575638451</v>
      </c>
      <c r="AT50" s="3">
        <v>-81.098312383164284</v>
      </c>
      <c r="AU50" s="3">
        <v>-100.36260675776339</v>
      </c>
      <c r="AV50" s="3">
        <v>-119.37396462437937</v>
      </c>
      <c r="AW50" s="3">
        <v>-138.20479842351324</v>
      </c>
      <c r="AX50" s="3">
        <v>-156.90496063162436</v>
      </c>
      <c r="AY50" s="3">
        <v>-175.32259598733208</v>
      </c>
    </row>
    <row r="51" spans="2:51" x14ac:dyDescent="0.25">
      <c r="B51" t="s">
        <v>54</v>
      </c>
      <c r="C51" s="3">
        <v>1.4881763560360053</v>
      </c>
      <c r="D51" s="3">
        <v>15.96104021827399</v>
      </c>
      <c r="E51" s="3">
        <v>6.6698796441689741</v>
      </c>
      <c r="F51" s="3">
        <v>7.3082087351233129</v>
      </c>
      <c r="G51" s="3">
        <v>5.1432566315446584</v>
      </c>
      <c r="H51" s="3">
        <v>10.23966975004242</v>
      </c>
      <c r="I51" s="3">
        <v>6.4045741309982596</v>
      </c>
      <c r="J51" s="3">
        <v>4.9065453569797146</v>
      </c>
      <c r="K51" s="3">
        <v>8.2283900206615801</v>
      </c>
      <c r="L51" s="3">
        <v>9.6456884912700591</v>
      </c>
      <c r="M51" s="3">
        <v>10.304706560443163</v>
      </c>
      <c r="N51" s="3">
        <v>8.4280059956894426</v>
      </c>
      <c r="O51" s="3">
        <v>8.1318987777403855</v>
      </c>
      <c r="P51" s="3">
        <v>8.2589331915188318</v>
      </c>
      <c r="Q51" s="3">
        <v>7.9200079287678111</v>
      </c>
      <c r="R51" s="3">
        <v>7.7921911318792834</v>
      </c>
      <c r="S51" s="3">
        <v>7.374819034103453</v>
      </c>
      <c r="T51" s="3">
        <v>7.582929297990427</v>
      </c>
      <c r="U51" s="3">
        <v>7.7228787073192855</v>
      </c>
      <c r="V51" s="3">
        <v>7.861650259006228</v>
      </c>
      <c r="W51" s="3">
        <v>8.0021762802731597</v>
      </c>
      <c r="X51" s="3">
        <v>8.0100064949368246</v>
      </c>
      <c r="Y51" s="3">
        <v>8.0812178921215576</v>
      </c>
      <c r="Z51" s="3">
        <v>8.009823794303415</v>
      </c>
      <c r="AA51" s="3">
        <v>7.915687537207992</v>
      </c>
      <c r="AB51" s="3">
        <v>7.7842102232513639</v>
      </c>
      <c r="AC51" s="3">
        <v>7.6494797253950049</v>
      </c>
      <c r="AD51" s="3">
        <v>7.5724382716384806</v>
      </c>
      <c r="AE51" s="3">
        <v>7.5132959801010752</v>
      </c>
      <c r="AF51" s="3">
        <v>7.5102742994621723</v>
      </c>
      <c r="AG51" s="3">
        <v>7.5266731716614563</v>
      </c>
      <c r="AH51" s="3">
        <v>7.5576230884800131</v>
      </c>
      <c r="AI51" s="3">
        <v>7.5874380436278495</v>
      </c>
      <c r="AJ51" s="3">
        <v>7.5952557166918275</v>
      </c>
      <c r="AK51" s="3">
        <v>7.5875098858580845</v>
      </c>
      <c r="AL51" s="3">
        <v>7.5574399088489157</v>
      </c>
      <c r="AM51" s="3">
        <v>7.5176856661882834</v>
      </c>
      <c r="AN51" s="3">
        <v>7.4736934762471217</v>
      </c>
      <c r="AO51" s="3">
        <v>7.4322966943256104</v>
      </c>
      <c r="AP51" s="3">
        <v>7.4005449630848563</v>
      </c>
      <c r="AQ51" s="3">
        <v>7.3781476404120365</v>
      </c>
      <c r="AR51" s="3">
        <v>7.3665968699858881</v>
      </c>
      <c r="AS51" s="3">
        <v>7.361829592112036</v>
      </c>
      <c r="AT51" s="3">
        <v>7.3606897050889071</v>
      </c>
      <c r="AU51" s="3">
        <v>7.3595755164621508</v>
      </c>
      <c r="AV51" s="3">
        <v>7.3551608270833748</v>
      </c>
      <c r="AW51" s="3">
        <v>7.3464858287591728</v>
      </c>
      <c r="AX51" s="3">
        <v>7.3330306073895892</v>
      </c>
      <c r="AY51" s="3">
        <v>7.3163264060196447</v>
      </c>
    </row>
    <row r="52" spans="2:51" x14ac:dyDescent="0.25">
      <c r="B52" t="s">
        <v>55</v>
      </c>
      <c r="C52" s="3">
        <v>78.644251400591969</v>
      </c>
      <c r="D52" s="3">
        <v>19.496258866689104</v>
      </c>
      <c r="E52" s="3">
        <v>47.741736706418912</v>
      </c>
      <c r="F52" s="3">
        <v>7.5345594576495607</v>
      </c>
      <c r="G52" s="3">
        <v>12.735619074487904</v>
      </c>
      <c r="H52" s="3">
        <v>16.603516073923011</v>
      </c>
      <c r="I52" s="3">
        <v>9.707788219324252</v>
      </c>
      <c r="J52" s="3">
        <v>21.217841575733527</v>
      </c>
      <c r="K52" s="3">
        <v>12.447851213015477</v>
      </c>
      <c r="L52" s="3">
        <v>17.593556509465824</v>
      </c>
      <c r="M52" s="3">
        <v>15.986130780394141</v>
      </c>
      <c r="N52" s="3">
        <v>16.12127797834566</v>
      </c>
      <c r="O52" s="3">
        <v>18.398911261100658</v>
      </c>
      <c r="P52" s="3">
        <v>15.419483077231277</v>
      </c>
      <c r="Q52" s="3">
        <v>16.53075967082783</v>
      </c>
      <c r="R52" s="3">
        <v>14.482505660013773</v>
      </c>
      <c r="S52" s="3">
        <v>14.149569608303581</v>
      </c>
      <c r="T52" s="3">
        <v>13.537967695775773</v>
      </c>
      <c r="U52" s="3">
        <v>12.431624140880411</v>
      </c>
      <c r="V52" s="3">
        <v>12.597503530065589</v>
      </c>
      <c r="W52" s="3">
        <v>11.982833424558276</v>
      </c>
      <c r="X52" s="3">
        <v>12.20902858944577</v>
      </c>
      <c r="Y52" s="3">
        <v>12.058482225519811</v>
      </c>
      <c r="Z52" s="3">
        <v>11.895914672426796</v>
      </c>
      <c r="AA52" s="3">
        <v>11.766429673430046</v>
      </c>
      <c r="AB52" s="3">
        <v>11.281095632119872</v>
      </c>
      <c r="AC52" s="3">
        <v>10.931461385199411</v>
      </c>
      <c r="AD52" s="3">
        <v>10.374189636168177</v>
      </c>
      <c r="AE52" s="3">
        <v>9.9149375555316901</v>
      </c>
      <c r="AF52" s="3">
        <v>9.4956165366371454</v>
      </c>
      <c r="AG52" s="3">
        <v>9.1121646714079425</v>
      </c>
      <c r="AH52" s="3">
        <v>8.8499012425785111</v>
      </c>
      <c r="AI52" s="3">
        <v>8.5866485449656249</v>
      </c>
      <c r="AJ52" s="3">
        <v>8.3902849264111641</v>
      </c>
      <c r="AK52" s="3">
        <v>8.1819536763477458</v>
      </c>
      <c r="AL52" s="3">
        <v>7.9661776443861596</v>
      </c>
      <c r="AM52" s="3">
        <v>7.7386400517376899</v>
      </c>
      <c r="AN52" s="3">
        <v>7.477689832489915</v>
      </c>
      <c r="AO52" s="3">
        <v>7.2131311130731568</v>
      </c>
      <c r="AP52" s="3">
        <v>6.9342883196809986</v>
      </c>
      <c r="AQ52" s="3">
        <v>6.6652410829629769</v>
      </c>
      <c r="AR52" s="3">
        <v>6.4109790211295312</v>
      </c>
      <c r="AS52" s="3">
        <v>6.1764612383958735</v>
      </c>
      <c r="AT52" s="3">
        <v>5.9679443038478155</v>
      </c>
      <c r="AU52" s="3">
        <v>5.7770437081047259</v>
      </c>
      <c r="AV52" s="3">
        <v>5.6026390412395859</v>
      </c>
      <c r="AW52" s="3">
        <v>5.435061323094418</v>
      </c>
      <c r="AX52" s="3">
        <v>5.2695564989688233</v>
      </c>
      <c r="AY52" s="3">
        <v>5.1028449777882283</v>
      </c>
    </row>
    <row r="53" spans="2:51" x14ac:dyDescent="0.25">
      <c r="B53" t="s">
        <v>56</v>
      </c>
      <c r="C53" s="3">
        <v>-228.2502987874683</v>
      </c>
      <c r="D53" s="3">
        <v>2379.0092608007753</v>
      </c>
      <c r="E53" s="3">
        <v>1520.7369530562819</v>
      </c>
      <c r="F53" s="3">
        <v>3429.0963777029597</v>
      </c>
      <c r="G53" s="3">
        <v>3772.93579050786</v>
      </c>
      <c r="H53" s="3">
        <v>1934.6698170639952</v>
      </c>
      <c r="I53" s="3">
        <v>1921.0876591262497</v>
      </c>
      <c r="J53" s="3">
        <v>1374.0389201884798</v>
      </c>
      <c r="K53" s="3">
        <v>1978.8959659425216</v>
      </c>
      <c r="L53" s="3">
        <v>1905.2019714746091</v>
      </c>
      <c r="M53" s="3">
        <v>1685.8469425987059</v>
      </c>
      <c r="N53" s="3">
        <v>1751.4698515997686</v>
      </c>
      <c r="O53" s="3">
        <v>1555.5623247287592</v>
      </c>
      <c r="P53" s="3">
        <v>1666.742831163072</v>
      </c>
      <c r="Q53" s="3">
        <v>1519.7107950847794</v>
      </c>
      <c r="R53" s="3">
        <v>1441.8422445416847</v>
      </c>
      <c r="S53" s="3">
        <v>1363.1638728937985</v>
      </c>
      <c r="T53" s="3">
        <v>1237.909456112759</v>
      </c>
      <c r="U53" s="3">
        <v>1193.2138713869608</v>
      </c>
      <c r="V53" s="3">
        <v>1082.6388980600116</v>
      </c>
      <c r="W53" s="3">
        <v>1032.862276713955</v>
      </c>
      <c r="X53" s="3">
        <v>977.01517313244506</v>
      </c>
      <c r="Y53" s="3">
        <v>931.60615552364698</v>
      </c>
      <c r="Z53" s="3">
        <v>901.11039210434842</v>
      </c>
      <c r="AA53" s="3">
        <v>850.01988092454428</v>
      </c>
      <c r="AB53" s="3">
        <v>810.84580580600164</v>
      </c>
      <c r="AC53" s="3">
        <v>756.99914519114134</v>
      </c>
      <c r="AD53" s="3">
        <v>705.43024739943485</v>
      </c>
      <c r="AE53" s="3">
        <v>653.22578808196317</v>
      </c>
      <c r="AF53" s="3">
        <v>599.74829850353171</v>
      </c>
      <c r="AG53" s="3">
        <v>553.82155098144904</v>
      </c>
      <c r="AH53" s="3">
        <v>508.3955649987073</v>
      </c>
      <c r="AI53" s="3">
        <v>469.38524023651007</v>
      </c>
      <c r="AJ53" s="3">
        <v>432.56783515702989</v>
      </c>
      <c r="AK53" s="3">
        <v>398.20642851831434</v>
      </c>
      <c r="AL53" s="3">
        <v>366.13604397034374</v>
      </c>
      <c r="AM53" s="3">
        <v>333.92098864407996</v>
      </c>
      <c r="AN53" s="3">
        <v>302.73280334826944</v>
      </c>
      <c r="AO53" s="3">
        <v>270.91016732470791</v>
      </c>
      <c r="AP53" s="3">
        <v>239.32769334342515</v>
      </c>
      <c r="AQ53" s="3">
        <v>208.07835104595483</v>
      </c>
      <c r="AR53" s="3">
        <v>177.46842828498524</v>
      </c>
      <c r="AS53" s="3">
        <v>148.34402009045675</v>
      </c>
      <c r="AT53" s="3">
        <v>120.63673542175695</v>
      </c>
      <c r="AU53" s="3">
        <v>94.776612070381987</v>
      </c>
      <c r="AV53" s="3">
        <v>70.465196928950263</v>
      </c>
      <c r="AW53" s="3">
        <v>47.472805538921364</v>
      </c>
      <c r="AX53" s="3">
        <v>25.49261138683255</v>
      </c>
      <c r="AY53" s="3">
        <v>4.1280151201980289</v>
      </c>
    </row>
    <row r="54" spans="2:51" x14ac:dyDescent="0.25">
      <c r="B54" t="s">
        <v>57</v>
      </c>
      <c r="C54" s="3">
        <v>11.001910104056771</v>
      </c>
      <c r="D54" s="3">
        <v>11.546552643458112</v>
      </c>
      <c r="E54" s="3">
        <v>11.704491015998713</v>
      </c>
      <c r="F54" s="3">
        <v>11.454472140018064</v>
      </c>
      <c r="G54" s="3">
        <v>18.092839698694526</v>
      </c>
      <c r="H54" s="3">
        <v>15.109187538622193</v>
      </c>
      <c r="I54" s="3">
        <v>12.037422616029692</v>
      </c>
      <c r="J54" s="3">
        <v>8.5992648910957445</v>
      </c>
      <c r="K54" s="3">
        <v>7.7853134015072261</v>
      </c>
      <c r="L54" s="3">
        <v>8.640096210252862</v>
      </c>
      <c r="M54" s="3">
        <v>7.3191731628706478</v>
      </c>
      <c r="N54" s="3">
        <v>6.7398117232105044</v>
      </c>
      <c r="O54" s="3">
        <v>5.7896485399697077</v>
      </c>
      <c r="P54" s="3">
        <v>5.6373215954116844</v>
      </c>
      <c r="Q54" s="3">
        <v>5.5005518619238281</v>
      </c>
      <c r="R54" s="3">
        <v>4.9002598157768169</v>
      </c>
      <c r="S54" s="3">
        <v>4.4474781183269556</v>
      </c>
      <c r="T54" s="3">
        <v>3.6842607130249512</v>
      </c>
      <c r="U54" s="3">
        <v>3.0674153110354396</v>
      </c>
      <c r="V54" s="3">
        <v>2.3391486045776162</v>
      </c>
      <c r="W54" s="3">
        <v>1.6249180004053017</v>
      </c>
      <c r="X54" s="3">
        <v>1.0522083971743506</v>
      </c>
      <c r="Y54" s="3">
        <v>0.52421459077217847</v>
      </c>
      <c r="Z54" s="3">
        <v>0.14609947836586912</v>
      </c>
      <c r="AA54" s="3">
        <v>-0.22490264172628827</v>
      </c>
      <c r="AB54" s="3">
        <v>-0.56372609800688878</v>
      </c>
      <c r="AC54" s="3">
        <v>-0.90651133808625062</v>
      </c>
      <c r="AD54" s="3">
        <v>-1.2784636939389102</v>
      </c>
      <c r="AE54" s="3">
        <v>-1.6544666220009745</v>
      </c>
      <c r="AF54" s="3">
        <v>-2.0580446622763411</v>
      </c>
      <c r="AG54" s="3">
        <v>-2.4542789348715068</v>
      </c>
      <c r="AH54" s="3">
        <v>-2.8440581512842442</v>
      </c>
      <c r="AI54" s="3">
        <v>-3.2149322969448377</v>
      </c>
      <c r="AJ54" s="3">
        <v>-3.5584289492844583</v>
      </c>
      <c r="AK54" s="3">
        <v>-3.8790330240070823</v>
      </c>
      <c r="AL54" s="3">
        <v>-4.1711849827078069</v>
      </c>
      <c r="AM54" s="3">
        <v>-4.4443473933694086</v>
      </c>
      <c r="AN54" s="3">
        <v>-4.7017972822331124</v>
      </c>
      <c r="AO54" s="3">
        <v>-4.9508143573014287</v>
      </c>
      <c r="AP54" s="3">
        <v>-5.1973137405123921</v>
      </c>
      <c r="AQ54" s="3">
        <v>-5.4425460285391054</v>
      </c>
      <c r="AR54" s="3">
        <v>-5.6880863241880846</v>
      </c>
      <c r="AS54" s="3">
        <v>-5.9305262554828673</v>
      </c>
      <c r="AT54" s="3">
        <v>-6.1671012819652553</v>
      </c>
      <c r="AU54" s="3">
        <v>-6.3942538690436095</v>
      </c>
      <c r="AV54" s="3">
        <v>-6.6094855996246196</v>
      </c>
      <c r="AW54" s="3">
        <v>-6.8124015276804144</v>
      </c>
      <c r="AX54" s="3">
        <v>-7.0034348147001495</v>
      </c>
      <c r="AY54" s="3">
        <v>-7.1846838510644311</v>
      </c>
    </row>
    <row r="55" spans="2:51" x14ac:dyDescent="0.25">
      <c r="B55" t="s">
        <v>58</v>
      </c>
      <c r="C55" s="3">
        <v>15.297171915153875</v>
      </c>
      <c r="D55" s="3">
        <v>72.509002909721318</v>
      </c>
      <c r="E55" s="3">
        <v>53.940702675341996</v>
      </c>
      <c r="F55" s="3">
        <v>132.87681188296571</v>
      </c>
      <c r="G55" s="3">
        <v>107.35309477380365</v>
      </c>
      <c r="H55" s="3">
        <v>56.127534977254399</v>
      </c>
      <c r="I55" s="3">
        <v>74.307272771159461</v>
      </c>
      <c r="J55" s="3">
        <v>65.438699359475294</v>
      </c>
      <c r="K55" s="3">
        <v>85.014800326505338</v>
      </c>
      <c r="L55" s="3">
        <v>71.934617329759362</v>
      </c>
      <c r="M55" s="3">
        <v>68.430603438836499</v>
      </c>
      <c r="N55" s="3">
        <v>71.278233698267641</v>
      </c>
      <c r="O55" s="3">
        <v>64.543540427234177</v>
      </c>
      <c r="P55" s="3">
        <v>65.611422001206591</v>
      </c>
      <c r="Q55" s="3">
        <v>57.225252067056992</v>
      </c>
      <c r="R55" s="3">
        <v>54.891520691550355</v>
      </c>
      <c r="S55" s="3">
        <v>51.859871502681798</v>
      </c>
      <c r="T55" s="3">
        <v>48.791123240368726</v>
      </c>
      <c r="U55" s="3">
        <v>48.084062043453329</v>
      </c>
      <c r="V55" s="3">
        <v>45.328673207694365</v>
      </c>
      <c r="W55" s="3">
        <v>44.798079091271447</v>
      </c>
      <c r="X55" s="3">
        <v>43.147512901726685</v>
      </c>
      <c r="Y55" s="3">
        <v>41.722610855233896</v>
      </c>
      <c r="Z55" s="3">
        <v>40.199127427994455</v>
      </c>
      <c r="AA55" s="3">
        <v>38.00873472360577</v>
      </c>
      <c r="AB55" s="3">
        <v>36.267150114172267</v>
      </c>
      <c r="AC55" s="3">
        <v>34.078263530480115</v>
      </c>
      <c r="AD55" s="3">
        <v>32.231044125676931</v>
      </c>
      <c r="AE55" s="3">
        <v>30.446699425293062</v>
      </c>
      <c r="AF55" s="3">
        <v>28.825747382157743</v>
      </c>
      <c r="AG55" s="3">
        <v>27.513829845441762</v>
      </c>
      <c r="AH55" s="3">
        <v>26.233136109284956</v>
      </c>
      <c r="AI55" s="3">
        <v>25.144852953287128</v>
      </c>
      <c r="AJ55" s="3">
        <v>24.028937225017401</v>
      </c>
      <c r="AK55" s="3">
        <v>22.921755469933004</v>
      </c>
      <c r="AL55" s="3">
        <v>21.790063417895865</v>
      </c>
      <c r="AM55" s="3">
        <v>20.600541197306811</v>
      </c>
      <c r="AN55" s="3">
        <v>19.427095409219817</v>
      </c>
      <c r="AO55" s="3">
        <v>18.248777266127206</v>
      </c>
      <c r="AP55" s="3">
        <v>17.131076253783831</v>
      </c>
      <c r="AQ55" s="3">
        <v>16.076120268819651</v>
      </c>
      <c r="AR55" s="3">
        <v>15.094334076365726</v>
      </c>
      <c r="AS55" s="3">
        <v>14.190345628888366</v>
      </c>
      <c r="AT55" s="3">
        <v>13.339882598845364</v>
      </c>
      <c r="AU55" s="3">
        <v>12.538321720842916</v>
      </c>
      <c r="AV55" s="3">
        <v>11.761381106840048</v>
      </c>
      <c r="AW55" s="3">
        <v>11.000948577195032</v>
      </c>
      <c r="AX55" s="3">
        <v>10.250093302453124</v>
      </c>
      <c r="AY55" s="3">
        <v>9.5063307097270666</v>
      </c>
    </row>
    <row r="56" spans="2:51" x14ac:dyDescent="0.25">
      <c r="B56" t="s">
        <v>59</v>
      </c>
      <c r="C56" s="3">
        <v>403.05672484791023</v>
      </c>
      <c r="D56" s="3">
        <v>452.75656391488911</v>
      </c>
      <c r="E56" s="3">
        <v>329.23058589989353</v>
      </c>
      <c r="F56" s="3">
        <v>468.41489155887803</v>
      </c>
      <c r="G56" s="3">
        <v>482.88698218603776</v>
      </c>
      <c r="H56" s="3">
        <v>418.93839545989772</v>
      </c>
      <c r="I56" s="3">
        <v>366.18532075972615</v>
      </c>
      <c r="J56" s="3">
        <v>335.62794244330138</v>
      </c>
      <c r="K56" s="3">
        <v>381.45642366295181</v>
      </c>
      <c r="L56" s="3">
        <v>373.52639763265165</v>
      </c>
      <c r="M56" s="3">
        <v>359.75588944161183</v>
      </c>
      <c r="N56" s="3">
        <v>334.59652510240852</v>
      </c>
      <c r="O56" s="3">
        <v>309.92546664092026</v>
      </c>
      <c r="P56" s="3">
        <v>298.19442318387632</v>
      </c>
      <c r="Q56" s="3">
        <v>276.08987545402755</v>
      </c>
      <c r="R56" s="3">
        <v>262.47295761740139</v>
      </c>
      <c r="S56" s="3">
        <v>247.43208177332525</v>
      </c>
      <c r="T56" s="3">
        <v>236.8153508641044</v>
      </c>
      <c r="U56" s="3">
        <v>228.81848736811747</v>
      </c>
      <c r="V56" s="3">
        <v>218.75775930531023</v>
      </c>
      <c r="W56" s="3">
        <v>210.92516341233608</v>
      </c>
      <c r="X56" s="3">
        <v>201.26217710500879</v>
      </c>
      <c r="Y56" s="3">
        <v>192.28586201403522</v>
      </c>
      <c r="Z56" s="3">
        <v>182.38997245734697</v>
      </c>
      <c r="AA56" s="3">
        <v>171.6124449141073</v>
      </c>
      <c r="AB56" s="3">
        <v>161.14970924747382</v>
      </c>
      <c r="AC56" s="3">
        <v>150.48859123348643</v>
      </c>
      <c r="AD56" s="3">
        <v>140.96326520241183</v>
      </c>
      <c r="AE56" s="3">
        <v>132.14829126712078</v>
      </c>
      <c r="AF56" s="3">
        <v>124.34507204395453</v>
      </c>
      <c r="AG56" s="3">
        <v>117.39466026627514</v>
      </c>
      <c r="AH56" s="3">
        <v>110.82951664996887</v>
      </c>
      <c r="AI56" s="3">
        <v>104.57851035818635</v>
      </c>
      <c r="AJ56" s="3">
        <v>98.204526163536684</v>
      </c>
      <c r="AK56" s="3">
        <v>91.762469321740127</v>
      </c>
      <c r="AL56" s="3">
        <v>85.221487855689247</v>
      </c>
      <c r="AM56" s="3">
        <v>78.686430244014559</v>
      </c>
      <c r="AN56" s="3">
        <v>72.328251452508425</v>
      </c>
      <c r="AO56" s="3">
        <v>66.205270353055653</v>
      </c>
      <c r="AP56" s="3">
        <v>60.437882194337476</v>
      </c>
      <c r="AQ56" s="3">
        <v>55.016274503107411</v>
      </c>
      <c r="AR56" s="3">
        <v>49.934472597627405</v>
      </c>
      <c r="AS56" s="3">
        <v>45.144047462376989</v>
      </c>
      <c r="AT56" s="3">
        <v>40.573300960224969</v>
      </c>
      <c r="AU56" s="3">
        <v>36.173371409158904</v>
      </c>
      <c r="AV56" s="3">
        <v>31.883522362264557</v>
      </c>
      <c r="AW56" s="3">
        <v>27.680580453608513</v>
      </c>
      <c r="AX56" s="3">
        <v>23.552786464634096</v>
      </c>
      <c r="AY56" s="3">
        <v>19.511064828189774</v>
      </c>
    </row>
    <row r="57" spans="2:51" x14ac:dyDescent="0.25">
      <c r="B57" t="s">
        <v>60</v>
      </c>
      <c r="C57" s="3">
        <v>397.31503064775382</v>
      </c>
      <c r="D57" s="3">
        <v>-95.670978446862392</v>
      </c>
      <c r="E57" s="3">
        <v>-108.91600773100639</v>
      </c>
      <c r="F57" s="3">
        <v>50.302340744501024</v>
      </c>
      <c r="G57" s="3">
        <v>-61.804345082599653</v>
      </c>
      <c r="H57" s="3">
        <v>105.91941215054426</v>
      </c>
      <c r="I57" s="3">
        <v>-19.465631602909468</v>
      </c>
      <c r="J57" s="3">
        <v>43.313895279240199</v>
      </c>
      <c r="K57" s="3">
        <v>50.036686038450142</v>
      </c>
      <c r="L57" s="3">
        <v>34.492392950352553</v>
      </c>
      <c r="M57" s="3">
        <v>57.181837697823255</v>
      </c>
      <c r="N57" s="3">
        <v>2.4615878953373453</v>
      </c>
      <c r="O57" s="3">
        <v>19.596288161417675</v>
      </c>
      <c r="P57" s="3">
        <v>3.6815847742758194</v>
      </c>
      <c r="Q57" s="3">
        <v>3.9339014687006966</v>
      </c>
      <c r="R57" s="3">
        <v>8.3412452723466686</v>
      </c>
      <c r="S57" s="3">
        <v>2.5570245866947232</v>
      </c>
      <c r="T57" s="3">
        <v>15.578808480078834</v>
      </c>
      <c r="U57" s="3">
        <v>13.659381969224881</v>
      </c>
      <c r="V57" s="3">
        <v>18.607428355358365</v>
      </c>
      <c r="W57" s="3">
        <v>18.076099504127939</v>
      </c>
      <c r="X57" s="3">
        <v>15.307780168456134</v>
      </c>
      <c r="Y57" s="3">
        <v>14.62490218644399</v>
      </c>
      <c r="Z57" s="3">
        <v>9.5943186103176856</v>
      </c>
      <c r="AA57" s="3">
        <v>7.9452122793904039</v>
      </c>
      <c r="AB57" s="3">
        <v>5.0117749450992619</v>
      </c>
      <c r="AC57" s="3">
        <v>3.8984461828688097</v>
      </c>
      <c r="AD57" s="3">
        <v>3.9448770094581107</v>
      </c>
      <c r="AE57" s="3">
        <v>3.9420542036900201</v>
      </c>
      <c r="AF57" s="3">
        <v>5.1083959096422689</v>
      </c>
      <c r="AG57" s="3">
        <v>5.4690554474972828</v>
      </c>
      <c r="AH57" s="3">
        <v>5.9389531357836063</v>
      </c>
      <c r="AI57" s="3">
        <v>5.7395968501394634</v>
      </c>
      <c r="AJ57" s="3">
        <v>5.0141497080167312</v>
      </c>
      <c r="AK57" s="3">
        <v>4.1182030882038134</v>
      </c>
      <c r="AL57" s="3">
        <v>2.88819095666679</v>
      </c>
      <c r="AM57" s="3">
        <v>1.8899220026037256</v>
      </c>
      <c r="AN57" s="3">
        <v>0.9968913965477384</v>
      </c>
      <c r="AO57" s="3">
        <v>0.42043055197362378</v>
      </c>
      <c r="AP57" s="3">
        <v>0.12291511794606436</v>
      </c>
      <c r="AQ57" s="3">
        <v>-1.6167242006218885E-2</v>
      </c>
      <c r="AR57" s="3">
        <v>-1.4313673835573582E-2</v>
      </c>
      <c r="AS57" s="3">
        <v>-5.7027354697567034E-2</v>
      </c>
      <c r="AT57" s="3">
        <v>-0.15902181132005921</v>
      </c>
      <c r="AU57" s="3">
        <v>-0.39025818133561074</v>
      </c>
      <c r="AV57" s="3">
        <v>-0.7426201843030924</v>
      </c>
      <c r="AW57" s="3">
        <v>-1.1709498809896388</v>
      </c>
      <c r="AX57" s="3">
        <v>-1.6441595094356956</v>
      </c>
      <c r="AY57" s="3">
        <v>-2.0913566767196414</v>
      </c>
    </row>
    <row r="58" spans="2:51" x14ac:dyDescent="0.25">
      <c r="B58" t="s">
        <v>61</v>
      </c>
      <c r="C58" s="3">
        <v>169.50114716654454</v>
      </c>
      <c r="D58" s="3">
        <v>16.954501808917044</v>
      </c>
      <c r="E58" s="3">
        <v>-175.4647014834986</v>
      </c>
      <c r="F58" s="3">
        <v>-170.62487465488601</v>
      </c>
      <c r="G58" s="3">
        <v>-176.23984833726729</v>
      </c>
      <c r="H58" s="3">
        <v>-156.71523994762788</v>
      </c>
      <c r="I58" s="3">
        <v>-119.11806967655701</v>
      </c>
      <c r="J58" s="3">
        <v>-82.305097706606176</v>
      </c>
      <c r="K58" s="3">
        <v>-48.459993969227455</v>
      </c>
      <c r="L58" s="3">
        <v>-43.062453642075226</v>
      </c>
      <c r="M58" s="3">
        <v>-46.003346815016656</v>
      </c>
      <c r="N58" s="3">
        <v>-63.35740347234217</v>
      </c>
      <c r="O58" s="3">
        <v>-82.87678121531772</v>
      </c>
      <c r="P58" s="3">
        <v>-97.073620542886104</v>
      </c>
      <c r="Q58" s="3">
        <v>-105.08481777713364</v>
      </c>
      <c r="R58" s="3">
        <v>-100.42390435944182</v>
      </c>
      <c r="S58" s="3">
        <v>-88.506035870841004</v>
      </c>
      <c r="T58" s="3">
        <v>-70.51011764583086</v>
      </c>
      <c r="U58" s="3">
        <v>-52.326115156646765</v>
      </c>
      <c r="V58" s="3">
        <v>-38.149060629190288</v>
      </c>
      <c r="W58" s="3">
        <v>-29.334367092365653</v>
      </c>
      <c r="X58" s="3">
        <v>-27.186276420978686</v>
      </c>
      <c r="Y58" s="3">
        <v>-29.372845221946065</v>
      </c>
      <c r="Z58" s="3">
        <v>-34.178273365230154</v>
      </c>
      <c r="AA58" s="3">
        <v>-38.921612066149237</v>
      </c>
      <c r="AB58" s="3">
        <v>-41.672468162388171</v>
      </c>
      <c r="AC58" s="3">
        <v>-41.667010386496472</v>
      </c>
      <c r="AD58" s="3">
        <v>-38.653724726364686</v>
      </c>
      <c r="AE58" s="3">
        <v>-33.578413010977428</v>
      </c>
      <c r="AF58" s="3">
        <v>-27.425141640351896</v>
      </c>
      <c r="AG58" s="3">
        <v>-21.400405873998722</v>
      </c>
      <c r="AH58" s="3">
        <v>-16.419218643092037</v>
      </c>
      <c r="AI58" s="3">
        <v>-12.929865349050033</v>
      </c>
      <c r="AJ58" s="3">
        <v>-11.038632433784954</v>
      </c>
      <c r="AK58" s="3">
        <v>-10.376481050036972</v>
      </c>
      <c r="AL58" s="3">
        <v>-10.430554034022563</v>
      </c>
      <c r="AM58" s="3">
        <v>-10.593965437797848</v>
      </c>
      <c r="AN58" s="3">
        <v>-10.370721362640595</v>
      </c>
      <c r="AO58" s="3">
        <v>-9.4804605128535826</v>
      </c>
      <c r="AP58" s="3">
        <v>-7.8556348920464529</v>
      </c>
      <c r="AQ58" s="3">
        <v>-5.6589370011443236</v>
      </c>
      <c r="AR58" s="3">
        <v>-3.1645805043010711</v>
      </c>
      <c r="AS58" s="3">
        <v>-0.69029059327623088</v>
      </c>
      <c r="AT58" s="3">
        <v>1.5009861936118654</v>
      </c>
      <c r="AU58" s="3">
        <v>3.2587546267202185</v>
      </c>
      <c r="AV58" s="3">
        <v>4.5541165049763066</v>
      </c>
      <c r="AW58" s="3">
        <v>5.4724609711444572</v>
      </c>
      <c r="AX58" s="3">
        <v>6.1615993438648786</v>
      </c>
      <c r="AY58" s="3">
        <v>6.7874764073839629</v>
      </c>
    </row>
    <row r="59" spans="2:51" x14ac:dyDescent="0.25">
      <c r="B59" t="s">
        <v>62</v>
      </c>
      <c r="C59" s="3">
        <v>295.31988274861021</v>
      </c>
      <c r="D59" s="3">
        <v>293.97277825341996</v>
      </c>
      <c r="E59" s="3">
        <v>121.80340613314016</v>
      </c>
      <c r="F59" s="3">
        <v>250.67967707663971</v>
      </c>
      <c r="G59" s="3">
        <v>136.64222546925629</v>
      </c>
      <c r="H59" s="3">
        <v>238.53213179520239</v>
      </c>
      <c r="I59" s="3">
        <v>187.45006431130508</v>
      </c>
      <c r="J59" s="3">
        <v>192.12027548198631</v>
      </c>
      <c r="K59" s="3">
        <v>212.07415784946431</v>
      </c>
      <c r="L59" s="3">
        <v>174.95370076749884</v>
      </c>
      <c r="M59" s="3">
        <v>191.92686548531606</v>
      </c>
      <c r="N59" s="3">
        <v>151.52323249822757</v>
      </c>
      <c r="O59" s="3">
        <v>143.70151911610941</v>
      </c>
      <c r="P59" s="3">
        <v>127.39257769311121</v>
      </c>
      <c r="Q59" s="3">
        <v>111.93932923836985</v>
      </c>
      <c r="R59" s="3">
        <v>112.49677014708516</v>
      </c>
      <c r="S59" s="3">
        <v>101.96575928809233</v>
      </c>
      <c r="T59" s="3">
        <v>105.14598342616313</v>
      </c>
      <c r="U59" s="3">
        <v>101.16876292785662</v>
      </c>
      <c r="V59" s="3">
        <v>98.70632474852647</v>
      </c>
      <c r="W59" s="3">
        <v>95.324891266931502</v>
      </c>
      <c r="X59" s="3">
        <v>87.528839654524461</v>
      </c>
      <c r="Y59" s="3">
        <v>81.905902057796595</v>
      </c>
      <c r="Z59" s="3">
        <v>73.158401275036908</v>
      </c>
      <c r="AA59" s="3">
        <v>66.280452320970426</v>
      </c>
      <c r="AB59" s="3">
        <v>59.519614736278413</v>
      </c>
      <c r="AC59" s="3">
        <v>53.564475777505493</v>
      </c>
      <c r="AD59" s="3">
        <v>49.304776621818348</v>
      </c>
      <c r="AE59" s="3">
        <v>45.175465121257787</v>
      </c>
      <c r="AF59" s="3">
        <v>42.226090919550529</v>
      </c>
      <c r="AG59" s="3">
        <v>39.117554021080934</v>
      </c>
      <c r="AH59" s="3">
        <v>36.054216675167538</v>
      </c>
      <c r="AI59" s="3">
        <v>32.754349658057379</v>
      </c>
      <c r="AJ59" s="3">
        <v>28.961169216964265</v>
      </c>
      <c r="AK59" s="3">
        <v>25.067348325407181</v>
      </c>
      <c r="AL59" s="3">
        <v>20.927323070465775</v>
      </c>
      <c r="AM59" s="3">
        <v>16.960408170631183</v>
      </c>
      <c r="AN59" s="3">
        <v>13.218097381146549</v>
      </c>
      <c r="AO59" s="3">
        <v>9.8165855885195015</v>
      </c>
      <c r="AP59" s="3">
        <v>6.8195250827401424</v>
      </c>
      <c r="AQ59" s="3">
        <v>4.1010549433108281</v>
      </c>
      <c r="AR59" s="3">
        <v>1.6361715692493135</v>
      </c>
      <c r="AS59" s="3">
        <v>-0.73226878751586355</v>
      </c>
      <c r="AT59" s="3">
        <v>-3.066557305704805</v>
      </c>
      <c r="AU59" s="3">
        <v>-5.4231576715909569</v>
      </c>
      <c r="AV59" s="3">
        <v>-7.8257555870617352</v>
      </c>
      <c r="AW59" s="3">
        <v>-10.237009809779124</v>
      </c>
      <c r="AX59" s="3">
        <v>-12.631953647874298</v>
      </c>
      <c r="AY59" s="3">
        <v>-14.952233666408006</v>
      </c>
    </row>
    <row r="60" spans="2:51" x14ac:dyDescent="0.25">
      <c r="B60" t="s">
        <v>63</v>
      </c>
      <c r="C60" s="3">
        <v>121.85971967954561</v>
      </c>
      <c r="D60" s="3">
        <v>31.62170835285503</v>
      </c>
      <c r="E60" s="3">
        <v>-5.1791342868452261</v>
      </c>
      <c r="F60" s="3">
        <v>17.965068633421602</v>
      </c>
      <c r="G60" s="3">
        <v>10.967915469430665</v>
      </c>
      <c r="H60" s="3">
        <v>41.954368597649832</v>
      </c>
      <c r="I60" s="3">
        <v>22.776102309935681</v>
      </c>
      <c r="J60" s="3">
        <v>31.29252681602199</v>
      </c>
      <c r="K60" s="3">
        <v>32.967410189708346</v>
      </c>
      <c r="L60" s="3">
        <v>28.275322733489645</v>
      </c>
      <c r="M60" s="3">
        <v>29.981466193101355</v>
      </c>
      <c r="N60" s="3">
        <v>18.649136857826093</v>
      </c>
      <c r="O60" s="3">
        <v>18.269537590539755</v>
      </c>
      <c r="P60" s="3">
        <v>13.633036742533946</v>
      </c>
      <c r="Q60" s="3">
        <v>12.223958823379434</v>
      </c>
      <c r="R60" s="3">
        <v>12.559553920443619</v>
      </c>
      <c r="S60" s="3">
        <v>11.318130945937028</v>
      </c>
      <c r="T60" s="3">
        <v>13.220248319714543</v>
      </c>
      <c r="U60" s="3">
        <v>12.781162995834791</v>
      </c>
      <c r="V60" s="3">
        <v>13.108290534828839</v>
      </c>
      <c r="W60" s="3">
        <v>12.302054864810984</v>
      </c>
      <c r="X60" s="3">
        <v>10.751486459278681</v>
      </c>
      <c r="Y60" s="3">
        <v>9.4253855095045367</v>
      </c>
      <c r="Z60" s="3">
        <v>7.386174565920939</v>
      </c>
      <c r="AA60" s="3">
        <v>5.9703588703333565</v>
      </c>
      <c r="AB60" s="3">
        <v>4.5405658619336293</v>
      </c>
      <c r="AC60" s="3">
        <v>3.5743044288618364</v>
      </c>
      <c r="AD60" s="3">
        <v>2.9900858317293455</v>
      </c>
      <c r="AE60" s="3">
        <v>2.512416396262239</v>
      </c>
      <c r="AF60" s="3">
        <v>2.2796891641406773</v>
      </c>
      <c r="AG60" s="3">
        <v>1.9157752747662471</v>
      </c>
      <c r="AH60" s="3">
        <v>1.5160311609415658</v>
      </c>
      <c r="AI60" s="3">
        <v>0.9493643132979912</v>
      </c>
      <c r="AJ60" s="3">
        <v>0.23504973063327839</v>
      </c>
      <c r="AK60" s="3">
        <v>-0.53958993016615864</v>
      </c>
      <c r="AL60" s="3">
        <v>-1.3699610737805301</v>
      </c>
      <c r="AM60" s="3">
        <v>-2.1334437474102685</v>
      </c>
      <c r="AN60" s="3">
        <v>-2.825022225350267</v>
      </c>
      <c r="AO60" s="3">
        <v>-3.4038074605471422</v>
      </c>
      <c r="AP60" s="3">
        <v>-3.8775354007948977</v>
      </c>
      <c r="AQ60" s="3">
        <v>-4.2808957423846721</v>
      </c>
      <c r="AR60" s="3">
        <v>-4.6348541979052982</v>
      </c>
      <c r="AS60" s="3">
        <v>-4.986986481480443</v>
      </c>
      <c r="AT60" s="3">
        <v>-5.3530651546213335</v>
      </c>
      <c r="AU60" s="3">
        <v>-5.7494613864753035</v>
      </c>
      <c r="AV60" s="3">
        <v>-6.1740922507800065</v>
      </c>
      <c r="AW60" s="3">
        <v>-6.6129805917634883</v>
      </c>
      <c r="AX60" s="3">
        <v>-7.0524894261316717</v>
      </c>
      <c r="AY60" s="3">
        <v>-7.4729168188129051</v>
      </c>
    </row>
    <row r="61" spans="2:51" x14ac:dyDescent="0.25">
      <c r="B61" t="s">
        <v>64</v>
      </c>
      <c r="C61" s="3">
        <v>1128.957260112797</v>
      </c>
      <c r="D61" s="3">
        <v>952.62919877065087</v>
      </c>
      <c r="E61" s="3">
        <v>511.81038075715401</v>
      </c>
      <c r="F61" s="3">
        <v>1316.7885369217879</v>
      </c>
      <c r="G61" s="3">
        <v>580.5686507107921</v>
      </c>
      <c r="H61" s="3">
        <v>1182.3008967937453</v>
      </c>
      <c r="I61" s="3">
        <v>784.52509778252056</v>
      </c>
      <c r="J61" s="3">
        <v>918.62859165271539</v>
      </c>
      <c r="K61" s="3">
        <v>961.07416950037896</v>
      </c>
      <c r="L61" s="3">
        <v>789.11929301368286</v>
      </c>
      <c r="M61" s="3">
        <v>906.04137012844853</v>
      </c>
      <c r="N61" s="3">
        <v>702.42861368430567</v>
      </c>
      <c r="O61" s="3">
        <v>714.21910856426939</v>
      </c>
      <c r="P61" s="3">
        <v>615.48287790705012</v>
      </c>
      <c r="Q61" s="3">
        <v>539.97634335331554</v>
      </c>
      <c r="R61" s="3">
        <v>518.96574563536797</v>
      </c>
      <c r="S61" s="3">
        <v>436.31414289660233</v>
      </c>
      <c r="T61" s="3">
        <v>432.20789371469027</v>
      </c>
      <c r="U61" s="3">
        <v>383.3270592590552</v>
      </c>
      <c r="V61" s="3">
        <v>361.57840841762209</v>
      </c>
      <c r="W61" s="3">
        <v>335.392189724731</v>
      </c>
      <c r="X61" s="3">
        <v>296.29755214087618</v>
      </c>
      <c r="Y61" s="3">
        <v>270.87999607159782</v>
      </c>
      <c r="Z61" s="3">
        <v>227.09027270056868</v>
      </c>
      <c r="AA61" s="3">
        <v>193.39914946228828</v>
      </c>
      <c r="AB61" s="3">
        <v>154.35122748569484</v>
      </c>
      <c r="AC61" s="3">
        <v>117.95967729140648</v>
      </c>
      <c r="AD61" s="3">
        <v>87.007346786529979</v>
      </c>
      <c r="AE61" s="3">
        <v>55.634932967700024</v>
      </c>
      <c r="AF61" s="3">
        <v>31.003674479665733</v>
      </c>
      <c r="AG61" s="3">
        <v>6.1527178995984286</v>
      </c>
      <c r="AH61" s="3">
        <v>-16.030438050908288</v>
      </c>
      <c r="AI61" s="3">
        <v>-37.903227602505012</v>
      </c>
      <c r="AJ61" s="3">
        <v>-60.51382183304213</v>
      </c>
      <c r="AK61" s="3">
        <v>-82.65381559726211</v>
      </c>
      <c r="AL61" s="3">
        <v>-105.88967278680229</v>
      </c>
      <c r="AM61" s="3">
        <v>-128.43140345943948</v>
      </c>
      <c r="AN61" s="3">
        <v>-150.68939711011535</v>
      </c>
      <c r="AO61" s="3">
        <v>-171.93362923059021</v>
      </c>
      <c r="AP61" s="3">
        <v>-191.8040432124053</v>
      </c>
      <c r="AQ61" s="3">
        <v>-210.56390809408731</v>
      </c>
      <c r="AR61" s="3">
        <v>-227.92571685590246</v>
      </c>
      <c r="AS61" s="3">
        <v>-244.42708409938405</v>
      </c>
      <c r="AT61" s="3">
        <v>-260.13028913642756</v>
      </c>
      <c r="AU61" s="3">
        <v>-275.34551686295436</v>
      </c>
      <c r="AV61" s="3">
        <v>-290.26799279633315</v>
      </c>
      <c r="AW61" s="3">
        <v>-304.90109801716653</v>
      </c>
      <c r="AX61" s="3">
        <v>-319.32640190401708</v>
      </c>
      <c r="AY61" s="3">
        <v>-333.3987855686205</v>
      </c>
    </row>
    <row r="62" spans="2:51" x14ac:dyDescent="0.25">
      <c r="B62" t="s">
        <v>65</v>
      </c>
      <c r="C62" s="3">
        <v>313.39206745385076</v>
      </c>
      <c r="D62" s="3">
        <v>134.49343776277567</v>
      </c>
      <c r="E62" s="3">
        <v>12.150687399458519</v>
      </c>
      <c r="F62" s="3">
        <v>97.606310375111448</v>
      </c>
      <c r="G62" s="3">
        <v>18.158144315306401</v>
      </c>
      <c r="H62" s="3">
        <v>137.52183560760048</v>
      </c>
      <c r="I62" s="3">
        <v>75.511666643112363</v>
      </c>
      <c r="J62" s="3">
        <v>106.82450711718741</v>
      </c>
      <c r="K62" s="3">
        <v>116.02216243586963</v>
      </c>
      <c r="L62" s="3">
        <v>99.342722339386199</v>
      </c>
      <c r="M62" s="3">
        <v>116.43466099061527</v>
      </c>
      <c r="N62" s="3">
        <v>80.517136983583583</v>
      </c>
      <c r="O62" s="3">
        <v>81.606940874995985</v>
      </c>
      <c r="P62" s="3">
        <v>64.331107080486817</v>
      </c>
      <c r="Q62" s="3">
        <v>54.496732550016503</v>
      </c>
      <c r="R62" s="3">
        <v>51.393607129688945</v>
      </c>
      <c r="S62" s="3">
        <v>40.48768064304187</v>
      </c>
      <c r="T62" s="3">
        <v>42.715286920907602</v>
      </c>
      <c r="U62" s="3">
        <v>37.994132892472294</v>
      </c>
      <c r="V62" s="3">
        <v>38.114935633438279</v>
      </c>
      <c r="W62" s="3">
        <v>36.287634715443403</v>
      </c>
      <c r="X62" s="3">
        <v>32.1855613727638</v>
      </c>
      <c r="Y62" s="3">
        <v>29.248163275292484</v>
      </c>
      <c r="Z62" s="3">
        <v>22.860368162345708</v>
      </c>
      <c r="AA62" s="3">
        <v>17.830817208330302</v>
      </c>
      <c r="AB62" s="3">
        <v>11.806525911336053</v>
      </c>
      <c r="AC62" s="3">
        <v>6.6412804953325804</v>
      </c>
      <c r="AD62" s="3">
        <v>2.6234446196173167</v>
      </c>
      <c r="AE62" s="3">
        <v>-1.043637066224619</v>
      </c>
      <c r="AF62" s="3">
        <v>-3.4424807679770879</v>
      </c>
      <c r="AG62" s="3">
        <v>-5.8562349368256719</v>
      </c>
      <c r="AH62" s="3">
        <v>-7.920438165512337</v>
      </c>
      <c r="AI62" s="3">
        <v>-10.173966200889708</v>
      </c>
      <c r="AJ62" s="3">
        <v>-12.751042480390595</v>
      </c>
      <c r="AK62" s="3">
        <v>-15.472968382722286</v>
      </c>
      <c r="AL62" s="3">
        <v>-18.509565556060295</v>
      </c>
      <c r="AM62" s="3">
        <v>-21.502640545815154</v>
      </c>
      <c r="AN62" s="3">
        <v>-24.465535776128206</v>
      </c>
      <c r="AO62" s="3">
        <v>-27.220431565637057</v>
      </c>
      <c r="AP62" s="3">
        <v>-29.701658216418423</v>
      </c>
      <c r="AQ62" s="3">
        <v>-31.942871997995212</v>
      </c>
      <c r="AR62" s="3">
        <v>-33.922770024043359</v>
      </c>
      <c r="AS62" s="3">
        <v>-35.759653896124405</v>
      </c>
      <c r="AT62" s="3">
        <v>-37.495452368536291</v>
      </c>
      <c r="AU62" s="3">
        <v>-39.211450119552808</v>
      </c>
      <c r="AV62" s="3">
        <v>-40.9508478039686</v>
      </c>
      <c r="AW62" s="3">
        <v>-42.71645846413702</v>
      </c>
      <c r="AX62" s="3">
        <v>-44.507501155514831</v>
      </c>
      <c r="AY62" s="3">
        <v>-46.280235038072078</v>
      </c>
    </row>
    <row r="63" spans="2:51" x14ac:dyDescent="0.25">
      <c r="B63" t="s">
        <v>66</v>
      </c>
      <c r="C63" s="3">
        <v>359.13091023805782</v>
      </c>
      <c r="D63" s="3">
        <v>42.890833868065315</v>
      </c>
      <c r="E63" s="3">
        <v>-148.19182186367141</v>
      </c>
      <c r="F63" s="3">
        <v>-69.852780961975711</v>
      </c>
      <c r="G63" s="3">
        <v>-78.131523870074076</v>
      </c>
      <c r="H63" s="3">
        <v>194.14289170645952</v>
      </c>
      <c r="I63" s="3">
        <v>169.98398092308457</v>
      </c>
      <c r="J63" s="3">
        <v>156.28339344526245</v>
      </c>
      <c r="K63" s="3">
        <v>147.40029951214083</v>
      </c>
      <c r="L63" s="3">
        <v>134.59116907921143</v>
      </c>
      <c r="M63" s="3">
        <v>153.11974933668105</v>
      </c>
      <c r="N63" s="3">
        <v>91.677362349462356</v>
      </c>
      <c r="O63" s="3">
        <v>75.645635057640249</v>
      </c>
      <c r="P63" s="3">
        <v>52.28715393767547</v>
      </c>
      <c r="Q63" s="3">
        <v>38.887124614749098</v>
      </c>
      <c r="R63" s="3">
        <v>34.51969259554474</v>
      </c>
      <c r="S63" s="3">
        <v>22.556498949173175</v>
      </c>
      <c r="T63" s="3">
        <v>30.337683779152115</v>
      </c>
      <c r="U63" s="3">
        <v>33.392557485720744</v>
      </c>
      <c r="V63" s="3">
        <v>40.996395311254986</v>
      </c>
      <c r="W63" s="3">
        <v>43.741181068166071</v>
      </c>
      <c r="X63" s="3">
        <v>39.554882932196278</v>
      </c>
      <c r="Y63" s="3">
        <v>33.649015143287045</v>
      </c>
      <c r="Z63" s="3">
        <v>21.865339598638741</v>
      </c>
      <c r="AA63" s="3">
        <v>11.292519762052279</v>
      </c>
      <c r="AB63" s="3">
        <v>0.85643366936761822</v>
      </c>
      <c r="AC63" s="3">
        <v>-6.7067707464383375</v>
      </c>
      <c r="AD63" s="3">
        <v>-10.842820885894923</v>
      </c>
      <c r="AE63" s="3">
        <v>-13.241572789207055</v>
      </c>
      <c r="AF63" s="3">
        <v>-13.664783432283855</v>
      </c>
      <c r="AG63" s="3">
        <v>-14.30342537914936</v>
      </c>
      <c r="AH63" s="3">
        <v>-15.213289724127947</v>
      </c>
      <c r="AI63" s="3">
        <v>-17.105154080058298</v>
      </c>
      <c r="AJ63" s="3">
        <v>-20.116035713457791</v>
      </c>
      <c r="AK63" s="3">
        <v>-23.816881974525813</v>
      </c>
      <c r="AL63" s="3">
        <v>-28.166015459340827</v>
      </c>
      <c r="AM63" s="3">
        <v>-32.508544011541574</v>
      </c>
      <c r="AN63" s="3">
        <v>-36.644109547131222</v>
      </c>
      <c r="AO63" s="3">
        <v>-40.238978300745657</v>
      </c>
      <c r="AP63" s="3">
        <v>-43.145624187352666</v>
      </c>
      <c r="AQ63" s="3">
        <v>-45.437491666202732</v>
      </c>
      <c r="AR63" s="3">
        <v>-47.195333980719511</v>
      </c>
      <c r="AS63" s="3">
        <v>-48.710224635292434</v>
      </c>
      <c r="AT63" s="3">
        <v>-50.189656528865783</v>
      </c>
      <c r="AU63" s="3">
        <v>-51.837765806473897</v>
      </c>
      <c r="AV63" s="3">
        <v>-53.750018162070489</v>
      </c>
      <c r="AW63" s="3">
        <v>-55.899390198436606</v>
      </c>
      <c r="AX63" s="3">
        <v>-58.20518674991979</v>
      </c>
      <c r="AY63" s="3">
        <v>-60.517863145829324</v>
      </c>
    </row>
    <row r="64" spans="2:51" x14ac:dyDescent="0.25">
      <c r="B64" t="s">
        <v>67</v>
      </c>
      <c r="C64" s="3">
        <v>189.39649497679264</v>
      </c>
      <c r="D64" s="3">
        <v>-13.737498090109256</v>
      </c>
      <c r="E64" s="3">
        <v>-79.834556011513484</v>
      </c>
      <c r="F64" s="3">
        <v>-0.49645909352494755</v>
      </c>
      <c r="G64" s="3">
        <v>-92.606446195455888</v>
      </c>
      <c r="H64" s="3">
        <v>2.7895386546593244</v>
      </c>
      <c r="I64" s="3">
        <v>-26.55421422714717</v>
      </c>
      <c r="J64" s="3">
        <v>29.437112537812794</v>
      </c>
      <c r="K64" s="3">
        <v>58.840933489609569</v>
      </c>
      <c r="L64" s="3">
        <v>48.981407763080341</v>
      </c>
      <c r="M64" s="3">
        <v>60.720548625304303</v>
      </c>
      <c r="N64" s="3">
        <v>22.720125251232304</v>
      </c>
      <c r="O64" s="3">
        <v>14.510755800916399</v>
      </c>
      <c r="P64" s="3">
        <v>-7.520108618264203</v>
      </c>
      <c r="Q64" s="3">
        <v>-19.405585196221693</v>
      </c>
      <c r="R64" s="3">
        <v>-19.414679469617511</v>
      </c>
      <c r="S64" s="3">
        <v>-21.827582268387744</v>
      </c>
      <c r="T64" s="3">
        <v>-10.533718732931618</v>
      </c>
      <c r="U64" s="3">
        <v>-4.7667233805870524</v>
      </c>
      <c r="V64" s="3">
        <v>3.8729556135581049</v>
      </c>
      <c r="W64" s="3">
        <v>8.8950160465578278</v>
      </c>
      <c r="X64" s="3">
        <v>9.3343980513431575</v>
      </c>
      <c r="Y64" s="3">
        <v>8.469537718547457</v>
      </c>
      <c r="Z64" s="3">
        <v>2.9632126462516339</v>
      </c>
      <c r="AA64" s="3">
        <v>-2.0875289153840413</v>
      </c>
      <c r="AB64" s="3">
        <v>-7.6885855729556738</v>
      </c>
      <c r="AC64" s="3">
        <v>-11.616315080864467</v>
      </c>
      <c r="AD64" s="3">
        <v>-13.24826700068337</v>
      </c>
      <c r="AE64" s="3">
        <v>-13.390049086572589</v>
      </c>
      <c r="AF64" s="3">
        <v>-11.644012775145853</v>
      </c>
      <c r="AG64" s="3">
        <v>-9.6755402382252385</v>
      </c>
      <c r="AH64" s="3">
        <v>-7.7266841378863376</v>
      </c>
      <c r="AI64" s="3">
        <v>-6.615504938378109</v>
      </c>
      <c r="AJ64" s="3">
        <v>-6.6035336268570859</v>
      </c>
      <c r="AK64" s="3">
        <v>-7.4400157428145519</v>
      </c>
      <c r="AL64" s="3">
        <v>-9.0359098493963472</v>
      </c>
      <c r="AM64" s="3">
        <v>-10.791534682441522</v>
      </c>
      <c r="AN64" s="3">
        <v>-12.453974738998767</v>
      </c>
      <c r="AO64" s="3">
        <v>-13.701575978581928</v>
      </c>
      <c r="AP64" s="3">
        <v>-14.412648652127444</v>
      </c>
      <c r="AQ64" s="3">
        <v>-14.655215115373295</v>
      </c>
      <c r="AR64" s="3">
        <v>-14.51529145604546</v>
      </c>
      <c r="AS64" s="3">
        <v>-14.227446144119597</v>
      </c>
      <c r="AT64" s="3">
        <v>-13.952615626709559</v>
      </c>
      <c r="AU64" s="3">
        <v>-13.847858959118497</v>
      </c>
      <c r="AV64" s="3">
        <v>-13.988957329839963</v>
      </c>
      <c r="AW64" s="3">
        <v>-14.365743874224094</v>
      </c>
      <c r="AX64" s="3">
        <v>-14.926919971344006</v>
      </c>
      <c r="AY64" s="3">
        <v>-15.564239424178794</v>
      </c>
    </row>
    <row r="65" spans="2:51" x14ac:dyDescent="0.25">
      <c r="B65" t="s">
        <v>68</v>
      </c>
      <c r="C65" s="3">
        <v>171.37633184141458</v>
      </c>
      <c r="D65" s="3">
        <v>92.606128042843139</v>
      </c>
      <c r="E65" s="3">
        <v>3.6635782435047588</v>
      </c>
      <c r="F65" s="3">
        <v>116.39312305578736</v>
      </c>
      <c r="G65" s="3">
        <v>-12.106094155793869</v>
      </c>
      <c r="H65" s="3">
        <v>85.685700168058972</v>
      </c>
      <c r="I65" s="3">
        <v>49.172131568212706</v>
      </c>
      <c r="J65" s="3">
        <v>80.158759507604003</v>
      </c>
      <c r="K65" s="3">
        <v>115.25346956430147</v>
      </c>
      <c r="L65" s="3">
        <v>96.872612005665133</v>
      </c>
      <c r="M65" s="3">
        <v>125.26561078079993</v>
      </c>
      <c r="N65" s="3">
        <v>95.744585726471087</v>
      </c>
      <c r="O65" s="3">
        <v>93.524428523289998</v>
      </c>
      <c r="P65" s="3">
        <v>75.726800183608049</v>
      </c>
      <c r="Q65" s="3">
        <v>56.90250674145841</v>
      </c>
      <c r="R65" s="3">
        <v>51.230564085549219</v>
      </c>
      <c r="S65" s="3">
        <v>36.680932433719505</v>
      </c>
      <c r="T65" s="3">
        <v>37.670471674518552</v>
      </c>
      <c r="U65" s="3">
        <v>34.532242800672265</v>
      </c>
      <c r="V65" s="3">
        <v>36.050124784726961</v>
      </c>
      <c r="W65" s="3">
        <v>38.008559946891296</v>
      </c>
      <c r="X65" s="3">
        <v>36.305518242444919</v>
      </c>
      <c r="Y65" s="3">
        <v>35.566896394274465</v>
      </c>
      <c r="Z65" s="3">
        <v>30.139252488790589</v>
      </c>
      <c r="AA65" s="3">
        <v>24.770626527017214</v>
      </c>
      <c r="AB65" s="3">
        <v>17.998892076046047</v>
      </c>
      <c r="AC65" s="3">
        <v>11.317403624358747</v>
      </c>
      <c r="AD65" s="3">
        <v>6.1009355247055055</v>
      </c>
      <c r="AE65" s="3">
        <v>1.4799230892170385</v>
      </c>
      <c r="AF65" s="3">
        <v>-1.2790164897387513</v>
      </c>
      <c r="AG65" s="3">
        <v>-3.435184265897874</v>
      </c>
      <c r="AH65" s="3">
        <v>-4.9143707654314994</v>
      </c>
      <c r="AI65" s="3">
        <v>-6.3020824913024285</v>
      </c>
      <c r="AJ65" s="3">
        <v>-8.1066027650988985</v>
      </c>
      <c r="AK65" s="3">
        <v>-10.227422485677948</v>
      </c>
      <c r="AL65" s="3">
        <v>-12.961508188129187</v>
      </c>
      <c r="AM65" s="3">
        <v>-15.95728595132681</v>
      </c>
      <c r="AN65" s="3">
        <v>-19.122665819558847</v>
      </c>
      <c r="AO65" s="3">
        <v>-22.208199584638635</v>
      </c>
      <c r="AP65" s="3">
        <v>-24.999296386365529</v>
      </c>
      <c r="AQ65" s="3">
        <v>-27.461554139168015</v>
      </c>
      <c r="AR65" s="3">
        <v>-29.517459606044099</v>
      </c>
      <c r="AS65" s="3">
        <v>-31.280786228508362</v>
      </c>
      <c r="AT65" s="3">
        <v>-32.835256912115653</v>
      </c>
      <c r="AU65" s="3">
        <v>-34.308617776442816</v>
      </c>
      <c r="AV65" s="3">
        <v>-35.810995543934325</v>
      </c>
      <c r="AW65" s="3">
        <v>-37.387818901941557</v>
      </c>
      <c r="AX65" s="3">
        <v>-39.066543684316969</v>
      </c>
      <c r="AY65" s="3">
        <v>-40.806667581264492</v>
      </c>
    </row>
    <row r="66" spans="2:51" x14ac:dyDescent="0.25">
      <c r="B66" t="s">
        <v>69</v>
      </c>
      <c r="C66" s="3">
        <v>79.994304871791314</v>
      </c>
      <c r="D66" s="3">
        <v>113.60346712031486</v>
      </c>
      <c r="E66" s="3">
        <v>0.29726378274857268</v>
      </c>
      <c r="F66" s="3">
        <v>-47.486901592832922</v>
      </c>
      <c r="G66" s="3">
        <v>-115.59120236116841</v>
      </c>
      <c r="H66" s="3">
        <v>-49.039799950638979</v>
      </c>
      <c r="I66" s="3">
        <v>-7.4035039167499335</v>
      </c>
      <c r="J66" s="3">
        <v>3.8306325729898134</v>
      </c>
      <c r="K66" s="3">
        <v>23.875976354079057</v>
      </c>
      <c r="L66" s="3">
        <v>21.525273804179641</v>
      </c>
      <c r="M66" s="3">
        <v>34.421734986062489</v>
      </c>
      <c r="N66" s="3">
        <v>25.867035642447874</v>
      </c>
      <c r="O66" s="3">
        <v>19.788292942587987</v>
      </c>
      <c r="P66" s="3">
        <v>16.988426240993455</v>
      </c>
      <c r="Q66" s="3">
        <v>12.625095965630919</v>
      </c>
      <c r="R66" s="3">
        <v>13.937730024905612</v>
      </c>
      <c r="S66" s="3">
        <v>9.7694777830265593</v>
      </c>
      <c r="T66" s="3">
        <v>8.3859748320243028</v>
      </c>
      <c r="U66" s="3">
        <v>6.8035614172504424</v>
      </c>
      <c r="V66" s="3">
        <v>6.6004872521295326</v>
      </c>
      <c r="W66" s="3">
        <v>8.7619347613467085</v>
      </c>
      <c r="X66" s="3">
        <v>10.439349136722349</v>
      </c>
      <c r="Y66" s="3">
        <v>13.100983219618108</v>
      </c>
      <c r="Z66" s="3">
        <v>14.250558727561838</v>
      </c>
      <c r="AA66" s="3">
        <v>14.365963299150415</v>
      </c>
      <c r="AB66" s="3">
        <v>13.279957264504887</v>
      </c>
      <c r="AC66" s="3">
        <v>11.228657043556488</v>
      </c>
      <c r="AD66" s="3">
        <v>9.402472689675669</v>
      </c>
      <c r="AE66" s="3">
        <v>7.820932184284402</v>
      </c>
      <c r="AF66" s="3">
        <v>7.1155974849631747</v>
      </c>
      <c r="AG66" s="3">
        <v>7.0269422108566317</v>
      </c>
      <c r="AH66" s="3">
        <v>7.3747098169302845</v>
      </c>
      <c r="AI66" s="3">
        <v>7.9406906008084235</v>
      </c>
      <c r="AJ66" s="3">
        <v>8.3701872112539277</v>
      </c>
      <c r="AK66" s="3">
        <v>8.6416026910920465</v>
      </c>
      <c r="AL66" s="3">
        <v>8.6250985149146189</v>
      </c>
      <c r="AM66" s="3">
        <v>8.3974890233908255</v>
      </c>
      <c r="AN66" s="3">
        <v>8.0121804023055958</v>
      </c>
      <c r="AO66" s="3">
        <v>7.5288022107973376</v>
      </c>
      <c r="AP66" s="3">
        <v>7.0484045422626878</v>
      </c>
      <c r="AQ66" s="3">
        <v>6.6102919120902044</v>
      </c>
      <c r="AR66" s="3">
        <v>6.2849134177359787</v>
      </c>
      <c r="AS66" s="3">
        <v>6.0862441160145409</v>
      </c>
      <c r="AT66" s="3">
        <v>6.0101093877033946</v>
      </c>
      <c r="AU66" s="3">
        <v>6.0246682497297641</v>
      </c>
      <c r="AV66" s="3">
        <v>6.0703890044666409</v>
      </c>
      <c r="AW66" s="3">
        <v>6.098665972282987</v>
      </c>
      <c r="AX66" s="3">
        <v>6.0647868059966044</v>
      </c>
      <c r="AY66" s="3">
        <v>5.955659283564728</v>
      </c>
    </row>
    <row r="67" spans="2:51" x14ac:dyDescent="0.25">
      <c r="B67" t="s">
        <v>70</v>
      </c>
      <c r="C67" s="3">
        <v>96.517983037415945</v>
      </c>
      <c r="D67" s="3">
        <v>5.8759042458077744</v>
      </c>
      <c r="E67" s="3">
        <v>-34.942421255994269</v>
      </c>
      <c r="F67" s="3">
        <v>2.8142754722330707</v>
      </c>
      <c r="G67" s="3">
        <v>-29.297415121127997</v>
      </c>
      <c r="H67" s="3">
        <v>2.9235436841485836</v>
      </c>
      <c r="I67" s="3">
        <v>-13.612677272325826</v>
      </c>
      <c r="J67" s="3">
        <v>1.1722333098227438</v>
      </c>
      <c r="K67" s="3">
        <v>16.688429764690397</v>
      </c>
      <c r="L67" s="3">
        <v>14.988948119239836</v>
      </c>
      <c r="M67" s="3">
        <v>24.344441003461576</v>
      </c>
      <c r="N67" s="3">
        <v>15.009798051325909</v>
      </c>
      <c r="O67" s="3">
        <v>15.743593160497497</v>
      </c>
      <c r="P67" s="3">
        <v>10.319566081572894</v>
      </c>
      <c r="Q67" s="3">
        <v>4.4958163145720036</v>
      </c>
      <c r="R67" s="3">
        <v>1.7156782743763017</v>
      </c>
      <c r="S67" s="3">
        <v>-3.5617229619119826</v>
      </c>
      <c r="T67" s="3">
        <v>-3.3658786272151033</v>
      </c>
      <c r="U67" s="3">
        <v>-4.057701672892037</v>
      </c>
      <c r="V67" s="3">
        <v>-2.5401834500274134</v>
      </c>
      <c r="W67" s="3">
        <v>-0.74215126609294657</v>
      </c>
      <c r="X67" s="3">
        <v>8.2929601653589202E-2</v>
      </c>
      <c r="Y67" s="3">
        <v>0.94612389620036197</v>
      </c>
      <c r="Z67" s="3">
        <v>-8.2661999589049628E-2</v>
      </c>
      <c r="AA67" s="3">
        <v>-1.4528176417205856</v>
      </c>
      <c r="AB67" s="3">
        <v>-3.5861790918273755</v>
      </c>
      <c r="AC67" s="3">
        <v>-5.740506487287405</v>
      </c>
      <c r="AD67" s="3">
        <v>-7.410402383139008</v>
      </c>
      <c r="AE67" s="3">
        <v>-8.7546971604200081</v>
      </c>
      <c r="AF67" s="3">
        <v>-9.3620995932659099</v>
      </c>
      <c r="AG67" s="3">
        <v>-9.6681314781940699</v>
      </c>
      <c r="AH67" s="3">
        <v>-9.6758693993579925</v>
      </c>
      <c r="AI67" s="3">
        <v>-9.6434390912026089</v>
      </c>
      <c r="AJ67" s="3">
        <v>-9.7576623474538806</v>
      </c>
      <c r="AK67" s="3">
        <v>-10.024060966638736</v>
      </c>
      <c r="AL67" s="3">
        <v>-10.55100911449351</v>
      </c>
      <c r="AM67" s="3">
        <v>-11.228787880393014</v>
      </c>
      <c r="AN67" s="3">
        <v>-12.025566652069529</v>
      </c>
      <c r="AO67" s="3">
        <v>-12.838991473558195</v>
      </c>
      <c r="AP67" s="3">
        <v>-13.579508465464372</v>
      </c>
      <c r="AQ67" s="3">
        <v>-14.20888861194701</v>
      </c>
      <c r="AR67" s="3">
        <v>-14.684391570802141</v>
      </c>
      <c r="AS67" s="3">
        <v>-15.035504257343455</v>
      </c>
      <c r="AT67" s="3">
        <v>-15.292543819548804</v>
      </c>
      <c r="AU67" s="3">
        <v>-15.510974711142616</v>
      </c>
      <c r="AV67" s="3">
        <v>-15.742126991267554</v>
      </c>
      <c r="AW67" s="3">
        <v>-16.015738880184465</v>
      </c>
      <c r="AX67" s="3">
        <v>-16.348978499154306</v>
      </c>
      <c r="AY67" s="3">
        <v>-16.729870616759698</v>
      </c>
    </row>
    <row r="68" spans="2:51" x14ac:dyDescent="0.25">
      <c r="B68" t="s">
        <v>71</v>
      </c>
      <c r="C68" s="3">
        <v>2023.56177904372</v>
      </c>
      <c r="D68" s="3">
        <v>445.58086590460061</v>
      </c>
      <c r="E68" s="3">
        <v>-523.1728876241126</v>
      </c>
      <c r="F68" s="3">
        <v>-86.666687394056908</v>
      </c>
      <c r="G68" s="3">
        <v>-697.2251229069999</v>
      </c>
      <c r="H68" s="3">
        <v>218.73810575482196</v>
      </c>
      <c r="I68" s="3">
        <v>11.94510627047805</v>
      </c>
      <c r="J68" s="3">
        <v>365.31326796231008</v>
      </c>
      <c r="K68" s="3">
        <v>603.9747062833012</v>
      </c>
      <c r="L68" s="3">
        <v>501.77820586921723</v>
      </c>
      <c r="M68" s="3">
        <v>583.22783724626072</v>
      </c>
      <c r="N68" s="3">
        <v>260.63653411178984</v>
      </c>
      <c r="O68" s="3">
        <v>191.83444072404359</v>
      </c>
      <c r="P68" s="3">
        <v>46.902491944244048</v>
      </c>
      <c r="Q68" s="3">
        <v>-28.981099271206404</v>
      </c>
      <c r="R68" s="3">
        <v>-12.426901569064967</v>
      </c>
      <c r="S68" s="3">
        <v>-34.830904809923595</v>
      </c>
      <c r="T68" s="3">
        <v>45.375944533280972</v>
      </c>
      <c r="U68" s="3">
        <v>80.412922677074675</v>
      </c>
      <c r="V68" s="3">
        <v>135.82829594772375</v>
      </c>
      <c r="W68" s="3">
        <v>167.65485207069173</v>
      </c>
      <c r="X68" s="3">
        <v>163.53779075328839</v>
      </c>
      <c r="Y68" s="3">
        <v>153.14377153657711</v>
      </c>
      <c r="Z68" s="3">
        <v>107.40702137776361</v>
      </c>
      <c r="AA68" s="3">
        <v>66.235074905415104</v>
      </c>
      <c r="AB68" s="3">
        <v>22.420239234443898</v>
      </c>
      <c r="AC68" s="3">
        <v>-7.8906754130534864</v>
      </c>
      <c r="AD68" s="3">
        <v>-19.088210248648465</v>
      </c>
      <c r="AE68" s="3">
        <v>-19.399713408925891</v>
      </c>
      <c r="AF68" s="3">
        <v>-6.1427394927607111</v>
      </c>
      <c r="AG68" s="3">
        <v>7.123344961576322</v>
      </c>
      <c r="AH68" s="3">
        <v>18.610076446137555</v>
      </c>
      <c r="AI68" s="3">
        <v>22.980961830953447</v>
      </c>
      <c r="AJ68" s="3">
        <v>18.848849639360424</v>
      </c>
      <c r="AK68" s="3">
        <v>9.140543125411341</v>
      </c>
      <c r="AL68" s="3">
        <v>-5.2472018068356192</v>
      </c>
      <c r="AM68" s="3">
        <v>-19.752871319108408</v>
      </c>
      <c r="AN68" s="3">
        <v>-32.832066604621559</v>
      </c>
      <c r="AO68" s="3">
        <v>-42.582732465940126</v>
      </c>
      <c r="AP68" s="3">
        <v>-48.408469197602699</v>
      </c>
      <c r="AQ68" s="3">
        <v>-51.085520064816365</v>
      </c>
      <c r="AR68" s="3">
        <v>-51.242510836673091</v>
      </c>
      <c r="AS68" s="3">
        <v>-50.566736399372758</v>
      </c>
      <c r="AT68" s="3">
        <v>-50.129784296554817</v>
      </c>
      <c r="AU68" s="3">
        <v>-50.973481035804298</v>
      </c>
      <c r="AV68" s="3">
        <v>-53.589071012503382</v>
      </c>
      <c r="AW68" s="3">
        <v>-57.82696118500121</v>
      </c>
      <c r="AX68" s="3">
        <v>-63.279535024920051</v>
      </c>
      <c r="AY68" s="3">
        <v>-69.121870393234076</v>
      </c>
    </row>
    <row r="69" spans="2:51" x14ac:dyDescent="0.25">
      <c r="B69" t="s">
        <v>72</v>
      </c>
      <c r="C69" s="3">
        <v>348.38388372622774</v>
      </c>
      <c r="D69" s="3">
        <v>81.208093512213395</v>
      </c>
      <c r="E69" s="3">
        <v>-105.76361159578178</v>
      </c>
      <c r="F69" s="3">
        <v>-51.240956113485794</v>
      </c>
      <c r="G69" s="3">
        <v>-66.580735824582305</v>
      </c>
      <c r="H69" s="3">
        <v>18.75393167343293</v>
      </c>
      <c r="I69" s="3">
        <v>-38.096506546591769</v>
      </c>
      <c r="J69" s="3">
        <v>-15.952256361796827</v>
      </c>
      <c r="K69" s="3">
        <v>9.7018546894452413</v>
      </c>
      <c r="L69" s="3">
        <v>10.357992980246252</v>
      </c>
      <c r="M69" s="3">
        <v>24.660832831779516</v>
      </c>
      <c r="N69" s="3">
        <v>0.89977985779520964</v>
      </c>
      <c r="O69" s="3">
        <v>5.2058167134508153</v>
      </c>
      <c r="P69" s="3">
        <v>-1.2409834316669333</v>
      </c>
      <c r="Q69" s="3">
        <v>-5.2546727117322831</v>
      </c>
      <c r="R69" s="3">
        <v>-6.6614373732970478</v>
      </c>
      <c r="S69" s="3">
        <v>-14.372311363459971</v>
      </c>
      <c r="T69" s="3">
        <v>-12.594028102039516</v>
      </c>
      <c r="U69" s="3">
        <v>-14.541031635381373</v>
      </c>
      <c r="V69" s="3">
        <v>-12.393374292253839</v>
      </c>
      <c r="W69" s="3">
        <v>-10.5872875329392</v>
      </c>
      <c r="X69" s="3">
        <v>-9.9043543361792103</v>
      </c>
      <c r="Y69" s="3">
        <v>-8.4863034485306059</v>
      </c>
      <c r="Z69" s="3">
        <v>-10.118198853133791</v>
      </c>
      <c r="AA69" s="3">
        <v>-11.763025991222662</v>
      </c>
      <c r="AB69" s="3">
        <v>-14.79008909183527</v>
      </c>
      <c r="AC69" s="3">
        <v>-17.629079363069252</v>
      </c>
      <c r="AD69" s="3">
        <v>-19.694394954236571</v>
      </c>
      <c r="AE69" s="3">
        <v>-21.350516799916591</v>
      </c>
      <c r="AF69" s="3">
        <v>-21.886473138535578</v>
      </c>
      <c r="AG69" s="3">
        <v>-22.202581121233891</v>
      </c>
      <c r="AH69" s="3">
        <v>-22.153243688127745</v>
      </c>
      <c r="AI69" s="3">
        <v>-22.192910975023707</v>
      </c>
      <c r="AJ69" s="3">
        <v>-22.502427989664298</v>
      </c>
      <c r="AK69" s="3">
        <v>-22.999384248323608</v>
      </c>
      <c r="AL69" s="3">
        <v>-23.827002048056187</v>
      </c>
      <c r="AM69" s="3">
        <v>-24.755583001583787</v>
      </c>
      <c r="AN69" s="3">
        <v>-25.793061820769921</v>
      </c>
      <c r="AO69" s="3">
        <v>-26.806351639017265</v>
      </c>
      <c r="AP69" s="3">
        <v>-27.714720214061757</v>
      </c>
      <c r="AQ69" s="3">
        <v>-28.497911415993627</v>
      </c>
      <c r="AR69" s="3">
        <v>-29.097377242899327</v>
      </c>
      <c r="AS69" s="3">
        <v>-29.564349020564961</v>
      </c>
      <c r="AT69" s="3">
        <v>-29.921161978843443</v>
      </c>
      <c r="AU69" s="3">
        <v>-30.237546701116642</v>
      </c>
      <c r="AV69" s="3">
        <v>-30.572721787249407</v>
      </c>
      <c r="AW69" s="3">
        <v>-30.959787967387925</v>
      </c>
      <c r="AX69" s="3">
        <v>-31.421588232621318</v>
      </c>
      <c r="AY69" s="3">
        <v>-31.937530508709642</v>
      </c>
    </row>
    <row r="70" spans="2:51" x14ac:dyDescent="0.25">
      <c r="B70" t="s">
        <v>73</v>
      </c>
      <c r="C70" s="3">
        <v>4701.8868899654772</v>
      </c>
      <c r="D70" s="3">
        <v>2928.0556957976787</v>
      </c>
      <c r="E70" s="3">
        <v>913.04256316799137</v>
      </c>
      <c r="F70" s="3">
        <v>2216.0581742562763</v>
      </c>
      <c r="G70" s="3">
        <v>1418.1959444791191</v>
      </c>
      <c r="H70" s="3">
        <v>2488.7408588497192</v>
      </c>
      <c r="I70" s="3">
        <v>1857.9602394236717</v>
      </c>
      <c r="J70" s="3">
        <v>2007.5776888693963</v>
      </c>
      <c r="K70" s="3">
        <v>2237.9866551192736</v>
      </c>
      <c r="L70" s="3">
        <v>1917.5219072338241</v>
      </c>
      <c r="M70" s="3">
        <v>2001.8580902016483</v>
      </c>
      <c r="N70" s="3">
        <v>1514.6459122553024</v>
      </c>
      <c r="O70" s="3">
        <v>1396.9459026470795</v>
      </c>
      <c r="P70" s="3">
        <v>1192.5244212840244</v>
      </c>
      <c r="Q70" s="3">
        <v>1034.260923493508</v>
      </c>
      <c r="R70" s="3">
        <v>1015.1272163714075</v>
      </c>
      <c r="S70" s="3">
        <v>898.1775506960148</v>
      </c>
      <c r="T70" s="3">
        <v>914.44220419796693</v>
      </c>
      <c r="U70" s="3">
        <v>852.79899254453903</v>
      </c>
      <c r="V70" s="3">
        <v>810.01723980132101</v>
      </c>
      <c r="W70" s="3">
        <v>751.73446354027146</v>
      </c>
      <c r="X70" s="3">
        <v>656.55631344375342</v>
      </c>
      <c r="Y70" s="3">
        <v>581.62735904840156</v>
      </c>
      <c r="Z70" s="3">
        <v>475.19958365527418</v>
      </c>
      <c r="AA70" s="3">
        <v>386.06949980106037</v>
      </c>
      <c r="AB70" s="3">
        <v>295.15691592975327</v>
      </c>
      <c r="AC70" s="3">
        <v>214.08061495088259</v>
      </c>
      <c r="AD70" s="3">
        <v>150.80662752531043</v>
      </c>
      <c r="AE70" s="3">
        <v>92.416497011796309</v>
      </c>
      <c r="AF70" s="3">
        <v>48.578727499928391</v>
      </c>
      <c r="AG70" s="3">
        <v>4.9603686875143467</v>
      </c>
      <c r="AH70" s="3">
        <v>-37.200072775723129</v>
      </c>
      <c r="AI70" s="3">
        <v>-82.52994734143158</v>
      </c>
      <c r="AJ70" s="3">
        <v>-133.51091546097996</v>
      </c>
      <c r="AK70" s="3">
        <v>-186.46886173116854</v>
      </c>
      <c r="AL70" s="3">
        <v>-242.12134826728106</v>
      </c>
      <c r="AM70" s="3">
        <v>-295.63765296127622</v>
      </c>
      <c r="AN70" s="3">
        <v>-346.18100976369715</v>
      </c>
      <c r="AO70" s="3">
        <v>-392.26658520155797</v>
      </c>
      <c r="AP70" s="3">
        <v>-433.45353311842882</v>
      </c>
      <c r="AQ70" s="3">
        <v>-471.08239801650234</v>
      </c>
      <c r="AR70" s="3">
        <v>-505.62824247829121</v>
      </c>
      <c r="AS70" s="3">
        <v>-538.80882125860444</v>
      </c>
      <c r="AT70" s="3">
        <v>-571.31512384776215</v>
      </c>
      <c r="AU70" s="3">
        <v>-603.81418332307567</v>
      </c>
      <c r="AV70" s="3">
        <v>-636.56437824123623</v>
      </c>
      <c r="AW70" s="3">
        <v>-669.2497590622761</v>
      </c>
      <c r="AX70" s="3">
        <v>-701.61918920154676</v>
      </c>
      <c r="AY70" s="3">
        <v>-733.05701393972959</v>
      </c>
    </row>
    <row r="71" spans="2:51" x14ac:dyDescent="0.25">
      <c r="B71" t="s">
        <v>74</v>
      </c>
      <c r="C71" s="3">
        <v>358.03724718926651</v>
      </c>
      <c r="D71" s="3">
        <v>274.16085622453664</v>
      </c>
      <c r="E71" s="3">
        <v>-19.98322511239644</v>
      </c>
      <c r="F71" s="3">
        <v>184.13842347017527</v>
      </c>
      <c r="G71" s="3">
        <v>98.184225626746013</v>
      </c>
      <c r="H71" s="3">
        <v>193.98805561023966</v>
      </c>
      <c r="I71" s="3">
        <v>163.27408833365598</v>
      </c>
      <c r="J71" s="3">
        <v>162.5780432715278</v>
      </c>
      <c r="K71" s="3">
        <v>217.09809881796696</v>
      </c>
      <c r="L71" s="3">
        <v>175.71535526095937</v>
      </c>
      <c r="M71" s="3">
        <v>188.41778469370473</v>
      </c>
      <c r="N71" s="3">
        <v>141.86992816933332</v>
      </c>
      <c r="O71" s="3">
        <v>121.96707411629865</v>
      </c>
      <c r="P71" s="3">
        <v>104.13254308957926</v>
      </c>
      <c r="Q71" s="3">
        <v>78.98621905209626</v>
      </c>
      <c r="R71" s="3">
        <v>76.417114929233833</v>
      </c>
      <c r="S71" s="3">
        <v>61.783676573359912</v>
      </c>
      <c r="T71" s="3">
        <v>62.070724219702129</v>
      </c>
      <c r="U71" s="3">
        <v>57.694984800216218</v>
      </c>
      <c r="V71" s="3">
        <v>53.016640590059581</v>
      </c>
      <c r="W71" s="3">
        <v>49.522144983777935</v>
      </c>
      <c r="X71" s="3">
        <v>40.16612767384737</v>
      </c>
      <c r="Y71" s="3">
        <v>32.938060293592002</v>
      </c>
      <c r="Z71" s="3">
        <v>21.734037324257145</v>
      </c>
      <c r="AA71" s="3">
        <v>11.17055296176278</v>
      </c>
      <c r="AB71" s="3">
        <v>0.76973064642544387</v>
      </c>
      <c r="AC71" s="3">
        <v>-9.23116030480071</v>
      </c>
      <c r="AD71" s="3">
        <v>-16.785693681305474</v>
      </c>
      <c r="AE71" s="3">
        <v>-23.640152045563752</v>
      </c>
      <c r="AF71" s="3">
        <v>-28.622214179021739</v>
      </c>
      <c r="AG71" s="3">
        <v>-33.146155657971235</v>
      </c>
      <c r="AH71" s="3">
        <v>-37.4900871973677</v>
      </c>
      <c r="AI71" s="3">
        <v>-41.984710508231501</v>
      </c>
      <c r="AJ71" s="3">
        <v>-47.22811932673136</v>
      </c>
      <c r="AK71" s="3">
        <v>-52.790073744832739</v>
      </c>
      <c r="AL71" s="3">
        <v>-58.798897693448225</v>
      </c>
      <c r="AM71" s="3">
        <v>-64.762601529525227</v>
      </c>
      <c r="AN71" s="3">
        <v>-70.472673113361338</v>
      </c>
      <c r="AO71" s="3">
        <v>-75.769884006151301</v>
      </c>
      <c r="AP71" s="3">
        <v>-80.492399607137656</v>
      </c>
      <c r="AQ71" s="3">
        <v>-84.76273491423774</v>
      </c>
      <c r="AR71" s="3">
        <v>-88.607649344972003</v>
      </c>
      <c r="AS71" s="3">
        <v>-92.209387296644934</v>
      </c>
      <c r="AT71" s="3">
        <v>-95.686006919034412</v>
      </c>
      <c r="AU71" s="3">
        <v>-99.131313728564805</v>
      </c>
      <c r="AV71" s="3">
        <v>-102.61977261568705</v>
      </c>
      <c r="AW71" s="3">
        <v>-106.13634813277065</v>
      </c>
      <c r="AX71" s="3">
        <v>-109.66460780474753</v>
      </c>
      <c r="AY71" s="3">
        <v>-113.13598485338201</v>
      </c>
    </row>
    <row r="72" spans="2:51" x14ac:dyDescent="0.25">
      <c r="B72" t="s">
        <v>75</v>
      </c>
      <c r="C72" s="3">
        <v>1269.0074575042754</v>
      </c>
      <c r="D72" s="3">
        <v>140.66393758047963</v>
      </c>
      <c r="E72" s="3">
        <v>-572.72250943297524</v>
      </c>
      <c r="F72" s="3">
        <v>-168.43904530385208</v>
      </c>
      <c r="G72" s="3">
        <v>-174.29964277474016</v>
      </c>
      <c r="H72" s="3">
        <v>179.27243033651825</v>
      </c>
      <c r="I72" s="3">
        <v>-60.105295382537406</v>
      </c>
      <c r="J72" s="3">
        <v>54.059202872924232</v>
      </c>
      <c r="K72" s="3">
        <v>178.22296671918969</v>
      </c>
      <c r="L72" s="3">
        <v>163.4167133454394</v>
      </c>
      <c r="M72" s="3">
        <v>197.73981881335334</v>
      </c>
      <c r="N72" s="3">
        <v>72.080645696575232</v>
      </c>
      <c r="O72" s="3">
        <v>74.15161880199372</v>
      </c>
      <c r="P72" s="3">
        <v>35.909867910842081</v>
      </c>
      <c r="Q72" s="3">
        <v>12.221551111388635</v>
      </c>
      <c r="R72" s="3">
        <v>8.3129094054012853</v>
      </c>
      <c r="S72" s="3">
        <v>-16.935109456213013</v>
      </c>
      <c r="T72" s="3">
        <v>0.66360723323731463</v>
      </c>
      <c r="U72" s="3">
        <v>3.2483869183977276E-2</v>
      </c>
      <c r="V72" s="3">
        <v>12.505466971741612</v>
      </c>
      <c r="W72" s="3">
        <v>19.668074187269042</v>
      </c>
      <c r="X72" s="3">
        <v>18.660076047923781</v>
      </c>
      <c r="Y72" s="3">
        <v>19.242807596801754</v>
      </c>
      <c r="Z72" s="3">
        <v>6.5155102173325758</v>
      </c>
      <c r="AA72" s="3">
        <v>-5.1420734583617786</v>
      </c>
      <c r="AB72" s="3">
        <v>-20.799340638658748</v>
      </c>
      <c r="AC72" s="3">
        <v>-33.782187005024525</v>
      </c>
      <c r="AD72" s="3">
        <v>-41.873349062274144</v>
      </c>
      <c r="AE72" s="3">
        <v>-47.348707652736039</v>
      </c>
      <c r="AF72" s="3">
        <v>-47.76417839737212</v>
      </c>
      <c r="AG72" s="3">
        <v>-47.559618247278252</v>
      </c>
      <c r="AH72" s="3">
        <v>-46.531329265546901</v>
      </c>
      <c r="AI72" s="3">
        <v>-46.7733710282929</v>
      </c>
      <c r="AJ72" s="3">
        <v>-49.017425357253728</v>
      </c>
      <c r="AK72" s="3">
        <v>-52.624694110855046</v>
      </c>
      <c r="AL72" s="3">
        <v>-57.853881315969431</v>
      </c>
      <c r="AM72" s="3">
        <v>-63.35684422664275</v>
      </c>
      <c r="AN72" s="3">
        <v>-68.897827920828774</v>
      </c>
      <c r="AO72" s="3">
        <v>-73.79733966445832</v>
      </c>
      <c r="AP72" s="3">
        <v>-77.746333993650069</v>
      </c>
      <c r="AQ72" s="3">
        <v>-80.826437854020526</v>
      </c>
      <c r="AR72" s="3">
        <v>-83.002103689353703</v>
      </c>
      <c r="AS72" s="3">
        <v>-84.695530474389898</v>
      </c>
      <c r="AT72" s="3">
        <v>-86.1386157018419</v>
      </c>
      <c r="AU72" s="3">
        <v>-87.675678506445024</v>
      </c>
      <c r="AV72" s="3">
        <v>-89.527615655099964</v>
      </c>
      <c r="AW72" s="3">
        <v>-91.746744080003339</v>
      </c>
      <c r="AX72" s="3">
        <v>-94.32368986177255</v>
      </c>
      <c r="AY72" s="3">
        <v>-97.074363604963366</v>
      </c>
    </row>
    <row r="73" spans="2:51" x14ac:dyDescent="0.25">
      <c r="B73" t="s">
        <v>76</v>
      </c>
      <c r="C73" s="3">
        <v>1628.4863317056845</v>
      </c>
      <c r="D73" s="3">
        <v>731.18789375126198</v>
      </c>
      <c r="E73" s="3">
        <v>-572.53945377205218</v>
      </c>
      <c r="F73" s="3">
        <v>-775.69850218175407</v>
      </c>
      <c r="G73" s="3">
        <v>-1288.1203701399106</v>
      </c>
      <c r="H73" s="3">
        <v>-722.98667194710515</v>
      </c>
      <c r="I73" s="3">
        <v>-528.98630258451703</v>
      </c>
      <c r="J73" s="3">
        <v>56.028355046110846</v>
      </c>
      <c r="K73" s="3">
        <v>636.97678867907166</v>
      </c>
      <c r="L73" s="3">
        <v>809.51605028979645</v>
      </c>
      <c r="M73" s="3">
        <v>775.16999746277156</v>
      </c>
      <c r="N73" s="3">
        <v>312.21114367151267</v>
      </c>
      <c r="O73" s="3">
        <v>-43.598729570434671</v>
      </c>
      <c r="P73" s="3">
        <v>-315.95088301243709</v>
      </c>
      <c r="Q73" s="3">
        <v>-418.28625508998971</v>
      </c>
      <c r="R73" s="3">
        <v>-354.70532107017061</v>
      </c>
      <c r="S73" s="3">
        <v>-259.39717529542929</v>
      </c>
      <c r="T73" s="3">
        <v>-111.76260252085285</v>
      </c>
      <c r="U73" s="3">
        <v>-25.250245548700832</v>
      </c>
      <c r="V73" s="3">
        <v>24.058889819839351</v>
      </c>
      <c r="W73" s="3">
        <v>34.185263220038905</v>
      </c>
      <c r="X73" s="3">
        <v>16.072824798117949</v>
      </c>
      <c r="Y73" s="3">
        <v>-1.6388626686361931</v>
      </c>
      <c r="Z73" s="3">
        <v>-35.902868610509358</v>
      </c>
      <c r="AA73" s="3">
        <v>-72.06454357927214</v>
      </c>
      <c r="AB73" s="3">
        <v>-115.96534572435803</v>
      </c>
      <c r="AC73" s="3">
        <v>-156.77271956093091</v>
      </c>
      <c r="AD73" s="3">
        <v>-182.92971825728557</v>
      </c>
      <c r="AE73" s="3">
        <v>-191.7013657927879</v>
      </c>
      <c r="AF73" s="3">
        <v>-178.56167819839015</v>
      </c>
      <c r="AG73" s="3">
        <v>-153.74138540910258</v>
      </c>
      <c r="AH73" s="3">
        <v>-126.07807459954995</v>
      </c>
      <c r="AI73" s="3">
        <v>-106.60164348601415</v>
      </c>
      <c r="AJ73" s="3">
        <v>-101.80976298977214</v>
      </c>
      <c r="AK73" s="3">
        <v>-110.96589560145412</v>
      </c>
      <c r="AL73" s="3">
        <v>-130.40741259300125</v>
      </c>
      <c r="AM73" s="3">
        <v>-152.53760528455803</v>
      </c>
      <c r="AN73" s="3">
        <v>-171.69517476063845</v>
      </c>
      <c r="AO73" s="3">
        <v>-184.15650245383858</v>
      </c>
      <c r="AP73" s="3">
        <v>-189.17997348112021</v>
      </c>
      <c r="AQ73" s="3">
        <v>-188.56300911306266</v>
      </c>
      <c r="AR73" s="3">
        <v>-184.68635788736549</v>
      </c>
      <c r="AS73" s="3">
        <v>-180.27196140468288</v>
      </c>
      <c r="AT73" s="3">
        <v>-177.05875585151239</v>
      </c>
      <c r="AU73" s="3">
        <v>-176.05350036957441</v>
      </c>
      <c r="AV73" s="3">
        <v>-177.52102040302884</v>
      </c>
      <c r="AW73" s="3">
        <v>-181.13424689691396</v>
      </c>
      <c r="AX73" s="3">
        <v>-186.3293385391795</v>
      </c>
      <c r="AY73" s="3">
        <v>-192.25121294289579</v>
      </c>
    </row>
    <row r="74" spans="2:51" x14ac:dyDescent="0.25">
      <c r="B74" t="s">
        <v>77</v>
      </c>
      <c r="C74" s="3">
        <v>102.59554131866248</v>
      </c>
      <c r="D74" s="3">
        <v>91.049840591818636</v>
      </c>
      <c r="E74" s="3">
        <v>-71.866813240251005</v>
      </c>
      <c r="F74" s="3">
        <v>-19.749447741771419</v>
      </c>
      <c r="G74" s="3">
        <v>-58.84938354098999</v>
      </c>
      <c r="H74" s="3">
        <v>-7.1220688573663011</v>
      </c>
      <c r="I74" s="3">
        <v>1.5195091697522969</v>
      </c>
      <c r="J74" s="3">
        <v>8.2529619916226125</v>
      </c>
      <c r="K74" s="3">
        <v>50.785276018398051</v>
      </c>
      <c r="L74" s="3">
        <v>50.456559127893428</v>
      </c>
      <c r="M74" s="3">
        <v>63.377447116567311</v>
      </c>
      <c r="N74" s="3">
        <v>46.103911537875462</v>
      </c>
      <c r="O74" s="3">
        <v>33.107674537569238</v>
      </c>
      <c r="P74" s="3">
        <v>23.181293527024877</v>
      </c>
      <c r="Q74" s="3">
        <v>8.4527057734092352</v>
      </c>
      <c r="R74" s="3">
        <v>3.8446554409642033</v>
      </c>
      <c r="S74" s="3">
        <v>-4.4234873428839308</v>
      </c>
      <c r="T74" s="3">
        <v>-4.8231744479756742</v>
      </c>
      <c r="U74" s="3">
        <v>-3.7620208566241047</v>
      </c>
      <c r="V74" s="3">
        <v>-1.3914157173016122</v>
      </c>
      <c r="W74" s="3">
        <v>2.7743687707419724</v>
      </c>
      <c r="X74" s="3">
        <v>4.0697326029431906</v>
      </c>
      <c r="Y74" s="3">
        <v>4.9112889072411861</v>
      </c>
      <c r="Z74" s="3">
        <v>2.4209151019659885</v>
      </c>
      <c r="AA74" s="3">
        <v>-1.7453577636728426</v>
      </c>
      <c r="AB74" s="3">
        <v>-6.8961972389180346</v>
      </c>
      <c r="AC74" s="3">
        <v>-12.334058139570516</v>
      </c>
      <c r="AD74" s="3">
        <v>-16.348834177252456</v>
      </c>
      <c r="AE74" s="3">
        <v>-19.245482378534831</v>
      </c>
      <c r="AF74" s="3">
        <v>-20.494682933511683</v>
      </c>
      <c r="AG74" s="3">
        <v>-20.798901121462535</v>
      </c>
      <c r="AH74" s="3">
        <v>-20.676890482524442</v>
      </c>
      <c r="AI74" s="3">
        <v>-20.562505956553622</v>
      </c>
      <c r="AJ74" s="3">
        <v>-21.002135682254789</v>
      </c>
      <c r="AK74" s="3">
        <v>-21.965032380419956</v>
      </c>
      <c r="AL74" s="3">
        <v>-23.527405618746201</v>
      </c>
      <c r="AM74" s="3">
        <v>-25.443161112940857</v>
      </c>
      <c r="AN74" s="3">
        <v>-27.494171073832746</v>
      </c>
      <c r="AO74" s="3">
        <v>-29.48744410503889</v>
      </c>
      <c r="AP74" s="3">
        <v>-31.217727979408522</v>
      </c>
      <c r="AQ74" s="3">
        <v>-32.636184388529841</v>
      </c>
      <c r="AR74" s="3">
        <v>-33.704782894014755</v>
      </c>
      <c r="AS74" s="3">
        <v>-34.498833919365012</v>
      </c>
      <c r="AT74" s="3">
        <v>-35.122068378583123</v>
      </c>
      <c r="AU74" s="3">
        <v>-35.690230772283996</v>
      </c>
      <c r="AV74" s="3">
        <v>-36.318594470076789</v>
      </c>
      <c r="AW74" s="3">
        <v>-37.064327521395967</v>
      </c>
      <c r="AX74" s="3">
        <v>-37.94981031180896</v>
      </c>
      <c r="AY74" s="3">
        <v>-38.940853459123957</v>
      </c>
    </row>
    <row r="75" spans="2:51" x14ac:dyDescent="0.25">
      <c r="B75" t="s">
        <v>78</v>
      </c>
      <c r="C75" s="3">
        <v>772.02662167493611</v>
      </c>
      <c r="D75" s="3">
        <v>313.29384104868319</v>
      </c>
      <c r="E75" s="3">
        <v>-120.64881020133441</v>
      </c>
      <c r="F75" s="3">
        <v>-56.599134402817015</v>
      </c>
      <c r="G75" s="3">
        <v>-50.941279183046959</v>
      </c>
      <c r="H75" s="3">
        <v>161.54473262602778</v>
      </c>
      <c r="I75" s="3">
        <v>48.815827591543211</v>
      </c>
      <c r="J75" s="3">
        <v>155.27637369566628</v>
      </c>
      <c r="K75" s="3">
        <v>236.60904805395717</v>
      </c>
      <c r="L75" s="3">
        <v>264.91472132663614</v>
      </c>
      <c r="M75" s="3">
        <v>289.2493314754206</v>
      </c>
      <c r="N75" s="3">
        <v>217.49642438125727</v>
      </c>
      <c r="O75" s="3">
        <v>201.22730319838024</v>
      </c>
      <c r="P75" s="3">
        <v>147.95494005292085</v>
      </c>
      <c r="Q75" s="3">
        <v>108.10729923046051</v>
      </c>
      <c r="R75" s="3">
        <v>75.420084069893392</v>
      </c>
      <c r="S75" s="3">
        <v>41.888749534141084</v>
      </c>
      <c r="T75" s="3">
        <v>39.647083221435423</v>
      </c>
      <c r="U75" s="3">
        <v>37.335295343770099</v>
      </c>
      <c r="V75" s="3">
        <v>50.976631688126986</v>
      </c>
      <c r="W75" s="3">
        <v>62.705766878322606</v>
      </c>
      <c r="X75" s="3">
        <v>69.506701568336894</v>
      </c>
      <c r="Y75" s="3">
        <v>71.159435297543268</v>
      </c>
      <c r="Z75" s="3">
        <v>59.828350344256933</v>
      </c>
      <c r="AA75" s="3">
        <v>43.981129534838942</v>
      </c>
      <c r="AB75" s="3">
        <v>22.711765154674822</v>
      </c>
      <c r="AC75" s="3">
        <v>3.0085467649029169</v>
      </c>
      <c r="AD75" s="3">
        <v>-12.502819896981123</v>
      </c>
      <c r="AE75" s="3">
        <v>-23.362006989108068</v>
      </c>
      <c r="AF75" s="3">
        <v>-28.426313574605729</v>
      </c>
      <c r="AG75" s="3">
        <v>-30.713474938595709</v>
      </c>
      <c r="AH75" s="3">
        <v>-31.062881782240424</v>
      </c>
      <c r="AI75" s="3">
        <v>-31.848744083009706</v>
      </c>
      <c r="AJ75" s="3">
        <v>-34.15622102941802</v>
      </c>
      <c r="AK75" s="3">
        <v>-38.277242211899079</v>
      </c>
      <c r="AL75" s="3">
        <v>-44.440438433056556</v>
      </c>
      <c r="AM75" s="3">
        <v>-51.765549087452314</v>
      </c>
      <c r="AN75" s="3">
        <v>-59.763279993333981</v>
      </c>
      <c r="AO75" s="3">
        <v>-67.536805126663467</v>
      </c>
      <c r="AP75" s="3">
        <v>-74.483015909661276</v>
      </c>
      <c r="AQ75" s="3">
        <v>-80.268669768256359</v>
      </c>
      <c r="AR75" s="3">
        <v>-84.73258033231275</v>
      </c>
      <c r="AS75" s="3">
        <v>-88.152028774820224</v>
      </c>
      <c r="AT75" s="3">
        <v>-90.864185937364823</v>
      </c>
      <c r="AU75" s="3">
        <v>-93.365360443575014</v>
      </c>
      <c r="AV75" s="3">
        <v>-96.058234243131778</v>
      </c>
      <c r="AW75" s="3">
        <v>-99.183848075559808</v>
      </c>
      <c r="AX75" s="3">
        <v>-102.81594635598185</v>
      </c>
      <c r="AY75" s="3">
        <v>-106.81613891619122</v>
      </c>
    </row>
    <row r="76" spans="2:51" x14ac:dyDescent="0.25">
      <c r="B76" t="s">
        <v>79</v>
      </c>
      <c r="C76" s="3">
        <v>301.45882122217205</v>
      </c>
      <c r="D76" s="3">
        <v>20.175334774183398</v>
      </c>
      <c r="E76" s="3">
        <v>-30.55189160637201</v>
      </c>
      <c r="F76" s="3">
        <v>4.3182949083487365</v>
      </c>
      <c r="G76" s="3">
        <v>77.985473750839105</v>
      </c>
      <c r="H76" s="3">
        <v>58.075210342593962</v>
      </c>
      <c r="I76" s="3">
        <v>36.024081087101401</v>
      </c>
      <c r="J76" s="3">
        <v>67.443755370093157</v>
      </c>
      <c r="K76" s="3">
        <v>77.879871037865072</v>
      </c>
      <c r="L76" s="3">
        <v>85.993771067700308</v>
      </c>
      <c r="M76" s="3">
        <v>66.696239916674472</v>
      </c>
      <c r="N76" s="3">
        <v>56.775778408460212</v>
      </c>
      <c r="O76" s="3">
        <v>49.877520778729917</v>
      </c>
      <c r="P76" s="3">
        <v>39.070005250902142</v>
      </c>
      <c r="Q76" s="3">
        <v>33.372788934328938</v>
      </c>
      <c r="R76" s="3">
        <v>25.249340071081335</v>
      </c>
      <c r="S76" s="3">
        <v>24.310969849392336</v>
      </c>
      <c r="T76" s="3">
        <v>24.899384717497213</v>
      </c>
      <c r="U76" s="3">
        <v>26.914284431817507</v>
      </c>
      <c r="V76" s="3">
        <v>29.68950932193853</v>
      </c>
      <c r="W76" s="3">
        <v>30.239009552962543</v>
      </c>
      <c r="X76" s="3">
        <v>30.30186588831711</v>
      </c>
      <c r="Y76" s="3">
        <v>27.790721232120376</v>
      </c>
      <c r="Z76" s="3">
        <v>24.123481988930124</v>
      </c>
      <c r="AA76" s="3">
        <v>19.728431891847109</v>
      </c>
      <c r="AB76" s="3">
        <v>15.325746340215829</v>
      </c>
      <c r="AC76" s="3">
        <v>12.045141243600796</v>
      </c>
      <c r="AD76" s="3">
        <v>9.6129050904877289</v>
      </c>
      <c r="AE76" s="3">
        <v>8.3711378221839681</v>
      </c>
      <c r="AF76" s="3">
        <v>7.7737574262785927</v>
      </c>
      <c r="AG76" s="3">
        <v>7.511691517038571</v>
      </c>
      <c r="AH76" s="3">
        <v>7.2588348901849997</v>
      </c>
      <c r="AI76" s="3">
        <v>6.6416612368306858</v>
      </c>
      <c r="AJ76" s="3">
        <v>5.665542023590092</v>
      </c>
      <c r="AK76" s="3">
        <v>4.2553341192254095</v>
      </c>
      <c r="AL76" s="3">
        <v>2.5837582124677567</v>
      </c>
      <c r="AM76" s="3">
        <v>0.7956197684002575</v>
      </c>
      <c r="AN76" s="3">
        <v>-0.95377396727074881</v>
      </c>
      <c r="AO76" s="3">
        <v>-2.5046532683336693</v>
      </c>
      <c r="AP76" s="3">
        <v>-3.8062239319356621</v>
      </c>
      <c r="AQ76" s="3">
        <v>-4.8241789643641653</v>
      </c>
      <c r="AR76" s="3">
        <v>-5.6184192675135449</v>
      </c>
      <c r="AS76" s="3">
        <v>-6.2713191452479293</v>
      </c>
      <c r="AT76" s="3">
        <v>-6.8784922736984697</v>
      </c>
      <c r="AU76" s="3">
        <v>-7.5292843215575687</v>
      </c>
      <c r="AV76" s="3">
        <v>-8.2674307833138272</v>
      </c>
      <c r="AW76" s="3">
        <v>-9.1073830189090756</v>
      </c>
      <c r="AX76" s="3">
        <v>-10.020149897283417</v>
      </c>
      <c r="AY76" s="3">
        <v>-10.958804738534084</v>
      </c>
    </row>
    <row r="77" spans="2:51" x14ac:dyDescent="0.25">
      <c r="B77" t="s">
        <v>80</v>
      </c>
      <c r="C77" s="3">
        <v>564.55865120185547</v>
      </c>
      <c r="D77" s="3">
        <v>-222.12268410487877</v>
      </c>
      <c r="E77" s="3">
        <v>-358.09517703703784</v>
      </c>
      <c r="F77" s="3">
        <v>-188.20779028579892</v>
      </c>
      <c r="G77" s="3">
        <v>52.843406187679804</v>
      </c>
      <c r="H77" s="3">
        <v>118.94958532779063</v>
      </c>
      <c r="I77" s="3">
        <v>2.9425606736481811</v>
      </c>
      <c r="J77" s="3">
        <v>85.054847242583079</v>
      </c>
      <c r="K77" s="3">
        <v>114.99599385788336</v>
      </c>
      <c r="L77" s="3">
        <v>138.67293987343587</v>
      </c>
      <c r="M77" s="3">
        <v>86.209114014059566</v>
      </c>
      <c r="N77" s="3">
        <v>32.26946237030208</v>
      </c>
      <c r="O77" s="3">
        <v>21.179490911647918</v>
      </c>
      <c r="P77" s="3">
        <v>-7.9932179489447037</v>
      </c>
      <c r="Q77" s="3">
        <v>-17.78941260504476</v>
      </c>
      <c r="R77" s="3">
        <v>-34.31138536364287</v>
      </c>
      <c r="S77" s="3">
        <v>-32.638647422590822</v>
      </c>
      <c r="T77" s="3">
        <v>-18.074965639413193</v>
      </c>
      <c r="U77" s="3">
        <v>-4.3949931836459655</v>
      </c>
      <c r="V77" s="3">
        <v>12.074923933983882</v>
      </c>
      <c r="W77" s="3">
        <v>17.368440505455993</v>
      </c>
      <c r="X77" s="3">
        <v>17.947406317875505</v>
      </c>
      <c r="Y77" s="3">
        <v>10.429448813700105</v>
      </c>
      <c r="Z77" s="3">
        <v>-2.1125818752149144</v>
      </c>
      <c r="AA77" s="3">
        <v>-14.63049520710544</v>
      </c>
      <c r="AB77" s="3">
        <v>-26.093444099239406</v>
      </c>
      <c r="AC77" s="3">
        <v>-32.206559839818368</v>
      </c>
      <c r="AD77" s="3">
        <v>-34.586678040491933</v>
      </c>
      <c r="AE77" s="3">
        <v>-33.470853331532766</v>
      </c>
      <c r="AF77" s="3">
        <v>-30.62150360036182</v>
      </c>
      <c r="AG77" s="3">
        <v>-27.908359332334385</v>
      </c>
      <c r="AH77" s="3">
        <v>-25.922145167385253</v>
      </c>
      <c r="AI77" s="3">
        <v>-25.807373330940209</v>
      </c>
      <c r="AJ77" s="3">
        <v>-27.242350994594233</v>
      </c>
      <c r="AK77" s="3">
        <v>-30.095624136127896</v>
      </c>
      <c r="AL77" s="3">
        <v>-33.777978136371445</v>
      </c>
      <c r="AM77" s="3">
        <v>-37.592207826269174</v>
      </c>
      <c r="AN77" s="3">
        <v>-41.106521456632493</v>
      </c>
      <c r="AO77" s="3">
        <v>-43.793350827598545</v>
      </c>
      <c r="AP77" s="3">
        <v>-45.557819712943797</v>
      </c>
      <c r="AQ77" s="3">
        <v>-46.411790444897207</v>
      </c>
      <c r="AR77" s="3">
        <v>-46.621851853043552</v>
      </c>
      <c r="AS77" s="3">
        <v>-46.578036257638075</v>
      </c>
      <c r="AT77" s="3">
        <v>-46.622290890614266</v>
      </c>
      <c r="AU77" s="3">
        <v>-47.05386662096501</v>
      </c>
      <c r="AV77" s="3">
        <v>-47.966198108870259</v>
      </c>
      <c r="AW77" s="3">
        <v>-49.321545807301021</v>
      </c>
      <c r="AX77" s="3">
        <v>-50.951733597852808</v>
      </c>
      <c r="AY77" s="3">
        <v>-52.636163598832525</v>
      </c>
    </row>
    <row r="78" spans="2:51" x14ac:dyDescent="0.25">
      <c r="B78" t="s">
        <v>81</v>
      </c>
      <c r="C78" s="3">
        <v>869.11200165272601</v>
      </c>
      <c r="D78" s="3">
        <v>817.89554937679281</v>
      </c>
      <c r="E78" s="3">
        <v>440.51230634977003</v>
      </c>
      <c r="F78" s="3">
        <v>825.11211846961089</v>
      </c>
      <c r="G78" s="3">
        <v>445.77893028698372</v>
      </c>
      <c r="H78" s="3">
        <v>683.07987504527227</v>
      </c>
      <c r="I78" s="3">
        <v>502.311757448344</v>
      </c>
      <c r="J78" s="3">
        <v>508.21665707384091</v>
      </c>
      <c r="K78" s="3">
        <v>566.06133242086071</v>
      </c>
      <c r="L78" s="3">
        <v>460.16079347936306</v>
      </c>
      <c r="M78" s="3">
        <v>518.93841305433511</v>
      </c>
      <c r="N78" s="3">
        <v>415.34530661077929</v>
      </c>
      <c r="O78" s="3">
        <v>402.18647167078325</v>
      </c>
      <c r="P78" s="3">
        <v>355.44623834156687</v>
      </c>
      <c r="Q78" s="3">
        <v>303.45791814176891</v>
      </c>
      <c r="R78" s="3">
        <v>293.01050318857983</v>
      </c>
      <c r="S78" s="3">
        <v>248.02551642319781</v>
      </c>
      <c r="T78" s="3">
        <v>242.78784094270213</v>
      </c>
      <c r="U78" s="3">
        <v>218.93147255865256</v>
      </c>
      <c r="V78" s="3">
        <v>203.25917301210234</v>
      </c>
      <c r="W78" s="3">
        <v>189.01890567110399</v>
      </c>
      <c r="X78" s="3">
        <v>165.1834257099456</v>
      </c>
      <c r="Y78" s="3">
        <v>149.28081496288564</v>
      </c>
      <c r="Z78" s="3">
        <v>124.30105520791017</v>
      </c>
      <c r="AA78" s="3">
        <v>103.50440565588792</v>
      </c>
      <c r="AB78" s="3">
        <v>81.149051116902228</v>
      </c>
      <c r="AC78" s="3">
        <v>59.232317541993552</v>
      </c>
      <c r="AD78" s="3">
        <v>40.858687924471042</v>
      </c>
      <c r="AE78" s="3">
        <v>22.307452255310636</v>
      </c>
      <c r="AF78" s="3">
        <v>7.4510811151599228</v>
      </c>
      <c r="AG78" s="3">
        <v>-6.9941543080410611</v>
      </c>
      <c r="AH78" s="3">
        <v>-20.15283872702571</v>
      </c>
      <c r="AI78" s="3">
        <v>-32.878852610403328</v>
      </c>
      <c r="AJ78" s="3">
        <v>-46.184786413522033</v>
      </c>
      <c r="AK78" s="3">
        <v>-59.318569937585835</v>
      </c>
      <c r="AL78" s="3">
        <v>-73.093356920742053</v>
      </c>
      <c r="AM78" s="3">
        <v>-86.593414215434905</v>
      </c>
      <c r="AN78" s="3">
        <v>-99.830916260786125</v>
      </c>
      <c r="AO78" s="3">
        <v>-112.48070962624161</v>
      </c>
      <c r="AP78" s="3">
        <v>-124.24921015517907</v>
      </c>
      <c r="AQ78" s="3">
        <v>-135.3204388047559</v>
      </c>
      <c r="AR78" s="3">
        <v>-145.57033484449448</v>
      </c>
      <c r="AS78" s="3">
        <v>-155.29384382574131</v>
      </c>
      <c r="AT78" s="3">
        <v>-164.57966000940792</v>
      </c>
      <c r="AU78" s="3">
        <v>-173.5802495076764</v>
      </c>
      <c r="AV78" s="3">
        <v>-182.42249108636042</v>
      </c>
      <c r="AW78" s="3">
        <v>-191.0992186741455</v>
      </c>
      <c r="AX78" s="3">
        <v>-199.6492688450478</v>
      </c>
      <c r="AY78" s="3">
        <v>-207.99510814312134</v>
      </c>
    </row>
    <row r="79" spans="2:51" x14ac:dyDescent="0.25">
      <c r="B79" t="s">
        <v>82</v>
      </c>
      <c r="C79" s="3">
        <v>133.13468509775862</v>
      </c>
      <c r="D79" s="3">
        <v>45.878185011244653</v>
      </c>
      <c r="E79" s="3">
        <v>-59.767216682501186</v>
      </c>
      <c r="F79" s="3">
        <v>-1.7326986946753848</v>
      </c>
      <c r="G79" s="3">
        <v>-77.941412367321306</v>
      </c>
      <c r="H79" s="3">
        <v>10.551251444141741</v>
      </c>
      <c r="I79" s="3">
        <v>-10.159151950897211</v>
      </c>
      <c r="J79" s="3">
        <v>13.767926751688606</v>
      </c>
      <c r="K79" s="3">
        <v>41.714706645071601</v>
      </c>
      <c r="L79" s="3">
        <v>34.754997453318381</v>
      </c>
      <c r="M79" s="3">
        <v>55.579339262675617</v>
      </c>
      <c r="N79" s="3">
        <v>33.131383273470917</v>
      </c>
      <c r="O79" s="3">
        <v>30.744999581728237</v>
      </c>
      <c r="P79" s="3">
        <v>18.106123579221801</v>
      </c>
      <c r="Q79" s="3">
        <v>6.1068240469459028</v>
      </c>
      <c r="R79" s="3">
        <v>3.1611829677149927</v>
      </c>
      <c r="S79" s="3">
        <v>-5.2816385170168587</v>
      </c>
      <c r="T79" s="3">
        <v>-2.1650641451469994</v>
      </c>
      <c r="U79" s="3">
        <v>-1.5916532075575276</v>
      </c>
      <c r="V79" s="3">
        <v>2.4102978284900018</v>
      </c>
      <c r="W79" s="3">
        <v>6.1963596989564849</v>
      </c>
      <c r="X79" s="3">
        <v>6.9703618897965782</v>
      </c>
      <c r="Y79" s="3">
        <v>7.8051484561335087</v>
      </c>
      <c r="Z79" s="3">
        <v>4.8839963684633574</v>
      </c>
      <c r="AA79" s="3">
        <v>1.7433725668664977</v>
      </c>
      <c r="AB79" s="3">
        <v>-2.466148483843341</v>
      </c>
      <c r="AC79" s="3">
        <v>-6.4196354560152713</v>
      </c>
      <c r="AD79" s="3">
        <v>-9.1081417443694193</v>
      </c>
      <c r="AE79" s="3">
        <v>-11.119263527966467</v>
      </c>
      <c r="AF79" s="3">
        <v>-11.667714851766135</v>
      </c>
      <c r="AG79" s="3">
        <v>-11.759864082178609</v>
      </c>
      <c r="AH79" s="3">
        <v>-11.436532217044117</v>
      </c>
      <c r="AI79" s="3">
        <v>-11.197842058712411</v>
      </c>
      <c r="AJ79" s="3">
        <v>-11.41705855031725</v>
      </c>
      <c r="AK79" s="3">
        <v>-12.021652048744755</v>
      </c>
      <c r="AL79" s="3">
        <v>-13.179654347905171</v>
      </c>
      <c r="AM79" s="3">
        <v>-14.593980852618614</v>
      </c>
      <c r="AN79" s="3">
        <v>-16.155591414867075</v>
      </c>
      <c r="AO79" s="3">
        <v>-17.648621526704488</v>
      </c>
      <c r="AP79" s="3">
        <v>-18.903942473914924</v>
      </c>
      <c r="AQ79" s="3">
        <v>-19.891208958202441</v>
      </c>
      <c r="AR79" s="3">
        <v>-20.567760069272822</v>
      </c>
      <c r="AS79" s="3">
        <v>-21.035393613826329</v>
      </c>
      <c r="AT79" s="3">
        <v>-21.377472566994555</v>
      </c>
      <c r="AU79" s="3">
        <v>-21.706442395131631</v>
      </c>
      <c r="AV79" s="3">
        <v>-22.112123176504923</v>
      </c>
      <c r="AW79" s="3">
        <v>-22.629005536288105</v>
      </c>
      <c r="AX79" s="3">
        <v>-23.268387742302281</v>
      </c>
      <c r="AY79" s="3">
        <v>-23.98753471974311</v>
      </c>
    </row>
    <row r="80" spans="2:51" x14ac:dyDescent="0.25">
      <c r="B80" t="s">
        <v>83</v>
      </c>
      <c r="C80" s="3">
        <v>117.35027477000571</v>
      </c>
      <c r="D80" s="3">
        <v>50.822415438360842</v>
      </c>
      <c r="E80" s="3">
        <v>-13.94874454448205</v>
      </c>
      <c r="F80" s="3">
        <v>34.242940016637945</v>
      </c>
      <c r="G80" s="3">
        <v>-5.1327026294206846</v>
      </c>
      <c r="H80" s="3">
        <v>42.012586938371321</v>
      </c>
      <c r="I80" s="3">
        <v>14.716730746590521</v>
      </c>
      <c r="J80" s="3">
        <v>21.985275368827821</v>
      </c>
      <c r="K80" s="3">
        <v>34.757094725214515</v>
      </c>
      <c r="L80" s="3">
        <v>25.686211631470066</v>
      </c>
      <c r="M80" s="3">
        <v>36.209820009981179</v>
      </c>
      <c r="N80" s="3">
        <v>22.997373373984715</v>
      </c>
      <c r="O80" s="3">
        <v>24.960074727266225</v>
      </c>
      <c r="P80" s="3">
        <v>20.845807739994171</v>
      </c>
      <c r="Q80" s="3">
        <v>16.567479807204769</v>
      </c>
      <c r="R80" s="3">
        <v>16.897922191704545</v>
      </c>
      <c r="S80" s="3">
        <v>12.487603415842266</v>
      </c>
      <c r="T80" s="3">
        <v>14.102019419582724</v>
      </c>
      <c r="U80" s="3">
        <v>13.079001854303883</v>
      </c>
      <c r="V80" s="3">
        <v>13.761690844438903</v>
      </c>
      <c r="W80" s="3">
        <v>14.414528601476235</v>
      </c>
      <c r="X80" s="3">
        <v>13.748755895791305</v>
      </c>
      <c r="Y80" s="3">
        <v>13.897926351447879</v>
      </c>
      <c r="Z80" s="3">
        <v>12.412187190935157</v>
      </c>
      <c r="AA80" s="3">
        <v>11.325160649783271</v>
      </c>
      <c r="AB80" s="3">
        <v>9.795213572623382</v>
      </c>
      <c r="AC80" s="3">
        <v>8.3642801405052722</v>
      </c>
      <c r="AD80" s="3">
        <v>7.4343919810482646</v>
      </c>
      <c r="AE80" s="3">
        <v>6.528904854190472</v>
      </c>
      <c r="AF80" s="3">
        <v>6.1629309707393389</v>
      </c>
      <c r="AG80" s="3">
        <v>5.8102085373517554</v>
      </c>
      <c r="AH80" s="3">
        <v>5.600645612804513</v>
      </c>
      <c r="AI80" s="3">
        <v>5.366236691422543</v>
      </c>
      <c r="AJ80" s="3">
        <v>4.9833473303622782</v>
      </c>
      <c r="AK80" s="3">
        <v>4.5510731413615844</v>
      </c>
      <c r="AL80" s="3">
        <v>3.9582761096277039</v>
      </c>
      <c r="AM80" s="3">
        <v>3.3424104653826419</v>
      </c>
      <c r="AN80" s="3">
        <v>2.6971354824840148</v>
      </c>
      <c r="AO80" s="3">
        <v>2.0830668756535857</v>
      </c>
      <c r="AP80" s="3">
        <v>1.5477429952604496</v>
      </c>
      <c r="AQ80" s="3">
        <v>1.0794019947656039</v>
      </c>
      <c r="AR80" s="3">
        <v>0.7042598046958517</v>
      </c>
      <c r="AS80" s="3">
        <v>0.38207895292809724</v>
      </c>
      <c r="AT80" s="3">
        <v>9.8822011172828184E-2</v>
      </c>
      <c r="AU80" s="3">
        <v>-0.17597888786066562</v>
      </c>
      <c r="AV80" s="3">
        <v>-0.46675497721390968</v>
      </c>
      <c r="AW80" s="3">
        <v>-0.77794672567176804</v>
      </c>
      <c r="AX80" s="3">
        <v>-1.1156983740657296</v>
      </c>
      <c r="AY80" s="3">
        <v>-1.4654383682090781</v>
      </c>
    </row>
    <row r="81" spans="2:51" x14ac:dyDescent="0.25">
      <c r="B81" t="s">
        <v>84</v>
      </c>
      <c r="C81" s="3">
        <v>626.3185921974673</v>
      </c>
      <c r="D81" s="3">
        <v>351.22525982432694</v>
      </c>
      <c r="E81" s="3">
        <v>133.4675578716936</v>
      </c>
      <c r="F81" s="3">
        <v>101.94107711625125</v>
      </c>
      <c r="G81" s="3">
        <v>142.39646902314701</v>
      </c>
      <c r="H81" s="3">
        <v>259.20010288682124</v>
      </c>
      <c r="I81" s="3">
        <v>209.00884910896741</v>
      </c>
      <c r="J81" s="3">
        <v>263.14611462419424</v>
      </c>
      <c r="K81" s="3">
        <v>289.14610730259375</v>
      </c>
      <c r="L81" s="3">
        <v>303.21820677962415</v>
      </c>
      <c r="M81" s="3">
        <v>301.14673927141814</v>
      </c>
      <c r="N81" s="3">
        <v>252.66333779581487</v>
      </c>
      <c r="O81" s="3">
        <v>228.7985591270272</v>
      </c>
      <c r="P81" s="3">
        <v>188.54982298114612</v>
      </c>
      <c r="Q81" s="3">
        <v>163.43765576745102</v>
      </c>
      <c r="R81" s="3">
        <v>143.51789170927594</v>
      </c>
      <c r="S81" s="3">
        <v>128.71955069832831</v>
      </c>
      <c r="T81" s="3">
        <v>128.93059317483824</v>
      </c>
      <c r="U81" s="3">
        <v>128.1385396077373</v>
      </c>
      <c r="V81" s="3">
        <v>132.80050942236647</v>
      </c>
      <c r="W81" s="3">
        <v>132.83578706517636</v>
      </c>
      <c r="X81" s="3">
        <v>129.19474518960249</v>
      </c>
      <c r="Y81" s="3">
        <v>121.97607471088162</v>
      </c>
      <c r="Z81" s="3">
        <v>109.4137689196001</v>
      </c>
      <c r="AA81" s="3">
        <v>95.951393829375036</v>
      </c>
      <c r="AB81" s="3">
        <v>81.179467632247224</v>
      </c>
      <c r="AC81" s="3">
        <v>68.470653519790346</v>
      </c>
      <c r="AD81" s="3">
        <v>58.326531728953512</v>
      </c>
      <c r="AE81" s="3">
        <v>50.843055313414936</v>
      </c>
      <c r="AF81" s="3">
        <v>46.098246359555048</v>
      </c>
      <c r="AG81" s="3">
        <v>42.529460599174854</v>
      </c>
      <c r="AH81" s="3">
        <v>39.663684521444168</v>
      </c>
      <c r="AI81" s="3">
        <v>36.267151658572743</v>
      </c>
      <c r="AJ81" s="3">
        <v>31.926562511480824</v>
      </c>
      <c r="AK81" s="3">
        <v>26.534111493916612</v>
      </c>
      <c r="AL81" s="3">
        <v>20.17123714581237</v>
      </c>
      <c r="AM81" s="3">
        <v>13.418316463278074</v>
      </c>
      <c r="AN81" s="3">
        <v>6.6471495980993041</v>
      </c>
      <c r="AO81" s="3">
        <v>0.37179626438319247</v>
      </c>
      <c r="AP81" s="3">
        <v>-5.157778023375954</v>
      </c>
      <c r="AQ81" s="3">
        <v>-9.8642537256736205</v>
      </c>
      <c r="AR81" s="3">
        <v>-13.812327989506457</v>
      </c>
      <c r="AS81" s="3">
        <v>-17.255077399423499</v>
      </c>
      <c r="AT81" s="3">
        <v>-20.431072586020491</v>
      </c>
      <c r="AU81" s="3">
        <v>-23.601013284537885</v>
      </c>
      <c r="AV81" s="3">
        <v>-26.922401647404058</v>
      </c>
      <c r="AW81" s="3">
        <v>-30.453860709914352</v>
      </c>
      <c r="AX81" s="3">
        <v>-34.164870278805097</v>
      </c>
      <c r="AY81" s="3">
        <v>-37.941434024054047</v>
      </c>
    </row>
    <row r="82" spans="2:51" x14ac:dyDescent="0.25">
      <c r="B82" t="s">
        <v>85</v>
      </c>
      <c r="C82" s="3">
        <v>187.52461141132625</v>
      </c>
      <c r="D82" s="3">
        <v>189.6843411734983</v>
      </c>
      <c r="E82" s="3">
        <v>96.919547372503416</v>
      </c>
      <c r="F82" s="3">
        <v>140.91327622493259</v>
      </c>
      <c r="G82" s="3">
        <v>69.555370270356036</v>
      </c>
      <c r="H82" s="3">
        <v>122.0706763117671</v>
      </c>
      <c r="I82" s="3">
        <v>107.61067723568618</v>
      </c>
      <c r="J82" s="3">
        <v>103.67924111230818</v>
      </c>
      <c r="K82" s="3">
        <v>121.46833021622231</v>
      </c>
      <c r="L82" s="3">
        <v>105.9786135183671</v>
      </c>
      <c r="M82" s="3">
        <v>120.50541825108917</v>
      </c>
      <c r="N82" s="3">
        <v>102.67904574214123</v>
      </c>
      <c r="O82" s="3">
        <v>96.023914862446901</v>
      </c>
      <c r="P82" s="3">
        <v>86.41785661076139</v>
      </c>
      <c r="Q82" s="3">
        <v>73.70643819413263</v>
      </c>
      <c r="R82" s="3">
        <v>70.263915069544851</v>
      </c>
      <c r="S82" s="3">
        <v>60.59562396354093</v>
      </c>
      <c r="T82" s="3">
        <v>58.758968033404045</v>
      </c>
      <c r="U82" s="3">
        <v>55.279462742471196</v>
      </c>
      <c r="V82" s="3">
        <v>53.246022533719042</v>
      </c>
      <c r="W82" s="3">
        <v>52.228906650690789</v>
      </c>
      <c r="X82" s="3">
        <v>48.889975665362698</v>
      </c>
      <c r="Y82" s="3">
        <v>46.605072294636557</v>
      </c>
      <c r="Z82" s="3">
        <v>42.184803569864698</v>
      </c>
      <c r="AA82" s="3">
        <v>37.86334066670787</v>
      </c>
      <c r="AB82" s="3">
        <v>33.110578429496314</v>
      </c>
      <c r="AC82" s="3">
        <v>28.23516549047406</v>
      </c>
      <c r="AD82" s="3">
        <v>24.226487955624691</v>
      </c>
      <c r="AE82" s="3">
        <v>20.436968052348249</v>
      </c>
      <c r="AF82" s="3">
        <v>17.593988504580636</v>
      </c>
      <c r="AG82" s="3">
        <v>15.099411721343756</v>
      </c>
      <c r="AH82" s="3">
        <v>12.939640147516656</v>
      </c>
      <c r="AI82" s="3">
        <v>10.921288024483601</v>
      </c>
      <c r="AJ82" s="3">
        <v>8.7224090997882229</v>
      </c>
      <c r="AK82" s="3">
        <v>6.443702521796439</v>
      </c>
      <c r="AL82" s="3">
        <v>3.9192930707462494</v>
      </c>
      <c r="AM82" s="3">
        <v>1.3202239091053798</v>
      </c>
      <c r="AN82" s="3">
        <v>-1.2974625430522337</v>
      </c>
      <c r="AO82" s="3">
        <v>-3.8392827230956357</v>
      </c>
      <c r="AP82" s="3">
        <v>-6.1930830113604998</v>
      </c>
      <c r="AQ82" s="3">
        <v>-8.3624420592203421</v>
      </c>
      <c r="AR82" s="3">
        <v>-10.309849614000569</v>
      </c>
      <c r="AS82" s="3">
        <v>-12.091417790134614</v>
      </c>
      <c r="AT82" s="3">
        <v>-13.748428111517768</v>
      </c>
      <c r="AU82" s="3">
        <v>-15.33390924007989</v>
      </c>
      <c r="AV82" s="3">
        <v>-16.901132487040883</v>
      </c>
      <c r="AW82" s="3">
        <v>-18.467413345237674</v>
      </c>
      <c r="AX82" s="3">
        <v>-20.047770895477441</v>
      </c>
      <c r="AY82" s="3">
        <v>-21.625220032417417</v>
      </c>
    </row>
    <row r="83" spans="2:51" x14ac:dyDescent="0.25">
      <c r="B83" t="s">
        <v>86</v>
      </c>
      <c r="C83" s="3">
        <v>61.985839099512241</v>
      </c>
      <c r="D83" s="3">
        <v>114.50661928636181</v>
      </c>
      <c r="E83" s="3">
        <v>70.98769425317802</v>
      </c>
      <c r="F83" s="3">
        <v>218.59118605303269</v>
      </c>
      <c r="G83" s="3">
        <v>91.890630120664582</v>
      </c>
      <c r="H83" s="3">
        <v>150.2514525934385</v>
      </c>
      <c r="I83" s="3">
        <v>125.182163336702</v>
      </c>
      <c r="J83" s="3">
        <v>116.99626131300953</v>
      </c>
      <c r="K83" s="3">
        <v>141.48787610785953</v>
      </c>
      <c r="L83" s="3">
        <v>109.26041626597564</v>
      </c>
      <c r="M83" s="3">
        <v>133.23665356636374</v>
      </c>
      <c r="N83" s="3">
        <v>113.82180364388236</v>
      </c>
      <c r="O83" s="3">
        <v>112.96490498320134</v>
      </c>
      <c r="P83" s="3">
        <v>106.96252968619052</v>
      </c>
      <c r="Q83" s="3">
        <v>92.720373126118488</v>
      </c>
      <c r="R83" s="3">
        <v>92.37759923876996</v>
      </c>
      <c r="S83" s="3">
        <v>80.454447790458914</v>
      </c>
      <c r="T83" s="3">
        <v>79.13601717379666</v>
      </c>
      <c r="U83" s="3">
        <v>74.12156995274708</v>
      </c>
      <c r="V83" s="3">
        <v>70.619409776613537</v>
      </c>
      <c r="W83" s="3">
        <v>69.3228211406512</v>
      </c>
      <c r="X83" s="3">
        <v>64.955668840214031</v>
      </c>
      <c r="Y83" s="3">
        <v>63.213239612771559</v>
      </c>
      <c r="Z83" s="3">
        <v>58.968480483558665</v>
      </c>
      <c r="AA83" s="3">
        <v>55.455762882069877</v>
      </c>
      <c r="AB83" s="3">
        <v>51.56329614208866</v>
      </c>
      <c r="AC83" s="3">
        <v>47.192730452941134</v>
      </c>
      <c r="AD83" s="3">
        <v>43.664262287609915</v>
      </c>
      <c r="AE83" s="3">
        <v>39.774595795214793</v>
      </c>
      <c r="AF83" s="3">
        <v>36.754579320270977</v>
      </c>
      <c r="AG83" s="3">
        <v>33.87813348523764</v>
      </c>
      <c r="AH83" s="3">
        <v>31.345815058044252</v>
      </c>
      <c r="AI83" s="3">
        <v>29.109038418870455</v>
      </c>
      <c r="AJ83" s="3">
        <v>26.786032253941698</v>
      </c>
      <c r="AK83" s="3">
        <v>24.594710449222646</v>
      </c>
      <c r="AL83" s="3">
        <v>22.227771692562214</v>
      </c>
      <c r="AM83" s="3">
        <v>19.852668809730744</v>
      </c>
      <c r="AN83" s="3">
        <v>17.449488790914813</v>
      </c>
      <c r="AO83" s="3">
        <v>15.060831722655109</v>
      </c>
      <c r="AP83" s="3">
        <v>12.803603974841451</v>
      </c>
      <c r="AQ83" s="3">
        <v>10.646145140426427</v>
      </c>
      <c r="AR83" s="3">
        <v>8.6635967696086595</v>
      </c>
      <c r="AS83" s="3">
        <v>6.8116731974324125</v>
      </c>
      <c r="AT83" s="3">
        <v>5.0802483146791246</v>
      </c>
      <c r="AU83" s="3">
        <v>3.4418297904142037</v>
      </c>
      <c r="AV83" s="3">
        <v>1.8518304513355019</v>
      </c>
      <c r="AW83" s="3">
        <v>0.30315498437653332</v>
      </c>
      <c r="AX83" s="3">
        <v>-1.2303612860254702</v>
      </c>
      <c r="AY83" s="3">
        <v>-2.7418775619859161</v>
      </c>
    </row>
    <row r="84" spans="2:51" x14ac:dyDescent="0.25">
      <c r="B84" t="s">
        <v>87</v>
      </c>
      <c r="C84" s="3">
        <v>258.31475773660725</v>
      </c>
      <c r="D84" s="3">
        <v>437.00261692320004</v>
      </c>
      <c r="E84" s="3">
        <v>221.65875830016682</v>
      </c>
      <c r="F84" s="3">
        <v>345.67369817135119</v>
      </c>
      <c r="G84" s="3">
        <v>246.20010232135655</v>
      </c>
      <c r="H84" s="3">
        <v>290.79461498527922</v>
      </c>
      <c r="I84" s="3">
        <v>293.92860770042466</v>
      </c>
      <c r="J84" s="3">
        <v>267.48561642563033</v>
      </c>
      <c r="K84" s="3">
        <v>307.67651061037566</v>
      </c>
      <c r="L84" s="3">
        <v>266.79431923363813</v>
      </c>
      <c r="M84" s="3">
        <v>273.93864290717255</v>
      </c>
      <c r="N84" s="3">
        <v>241.09390997351329</v>
      </c>
      <c r="O84" s="3">
        <v>214.10291229376082</v>
      </c>
      <c r="P84" s="3">
        <v>196.35995984465421</v>
      </c>
      <c r="Q84" s="3">
        <v>167.53405904559014</v>
      </c>
      <c r="R84" s="3">
        <v>160.92795057196196</v>
      </c>
      <c r="S84" s="3">
        <v>146.13352336630879</v>
      </c>
      <c r="T84" s="3">
        <v>141.99865929992723</v>
      </c>
      <c r="U84" s="3">
        <v>137.29050679250645</v>
      </c>
      <c r="V84" s="3">
        <v>130.44401499024718</v>
      </c>
      <c r="W84" s="3">
        <v>125.74032105196943</v>
      </c>
      <c r="X84" s="3">
        <v>115.33959426667479</v>
      </c>
      <c r="Y84" s="3">
        <v>106.24423537703069</v>
      </c>
      <c r="Z84" s="3">
        <v>94.418744069386662</v>
      </c>
      <c r="AA84" s="3">
        <v>82.689277581298825</v>
      </c>
      <c r="AB84" s="3">
        <v>71.777518723106368</v>
      </c>
      <c r="AC84" s="3">
        <v>61.023794873210704</v>
      </c>
      <c r="AD84" s="3">
        <v>52.479928561254837</v>
      </c>
      <c r="AE84" s="3">
        <v>44.639242745746287</v>
      </c>
      <c r="AF84" s="3">
        <v>38.313993249206874</v>
      </c>
      <c r="AG84" s="3">
        <v>32.623357442392262</v>
      </c>
      <c r="AH84" s="3">
        <v>27.099979316520148</v>
      </c>
      <c r="AI84" s="3">
        <v>21.642675486483313</v>
      </c>
      <c r="AJ84" s="3">
        <v>15.629328392405228</v>
      </c>
      <c r="AK84" s="3">
        <v>9.3780403592462562</v>
      </c>
      <c r="AL84" s="3">
        <v>2.7869325679251915</v>
      </c>
      <c r="AM84" s="3">
        <v>-3.8051463511709471</v>
      </c>
      <c r="AN84" s="3">
        <v>-10.148523506383299</v>
      </c>
      <c r="AO84" s="3">
        <v>-16.120446402640596</v>
      </c>
      <c r="AP84" s="3">
        <v>-21.537799074028953</v>
      </c>
      <c r="AQ84" s="3">
        <v>-26.489193842149575</v>
      </c>
      <c r="AR84" s="3">
        <v>-31.007767099690454</v>
      </c>
      <c r="AS84" s="3">
        <v>-35.244383769010369</v>
      </c>
      <c r="AT84" s="3">
        <v>-39.328431665124299</v>
      </c>
      <c r="AU84" s="3">
        <v>-43.343888312008403</v>
      </c>
      <c r="AV84" s="3">
        <v>-47.365992243743904</v>
      </c>
      <c r="AW84" s="3">
        <v>-51.384380758700104</v>
      </c>
      <c r="AX84" s="3">
        <v>-55.38170576708103</v>
      </c>
      <c r="AY84" s="3">
        <v>-59.301475963169764</v>
      </c>
    </row>
    <row r="85" spans="2:51" x14ac:dyDescent="0.25">
      <c r="B85" t="s">
        <v>88</v>
      </c>
      <c r="C85" s="3">
        <v>2590.5281271231702</v>
      </c>
      <c r="D85" s="3">
        <v>5411.1915121797392</v>
      </c>
      <c r="E85" s="3">
        <v>1788.2504211163769</v>
      </c>
      <c r="F85" s="3">
        <v>3623.6001373026979</v>
      </c>
      <c r="G85" s="3">
        <v>2522.9952356018616</v>
      </c>
      <c r="H85" s="3">
        <v>3118.3336889322218</v>
      </c>
      <c r="I85" s="3">
        <v>3334.3931774735115</v>
      </c>
      <c r="J85" s="3">
        <v>2902.8143883955545</v>
      </c>
      <c r="K85" s="3">
        <v>3620.7132259527771</v>
      </c>
      <c r="L85" s="3">
        <v>3126.3386578361969</v>
      </c>
      <c r="M85" s="3">
        <v>3297.0394305558852</v>
      </c>
      <c r="N85" s="3">
        <v>2946.1760557572366</v>
      </c>
      <c r="O85" s="3">
        <v>2610.4652468143831</v>
      </c>
      <c r="P85" s="3">
        <v>2445.1520151693776</v>
      </c>
      <c r="Q85" s="3">
        <v>2062.180609333217</v>
      </c>
      <c r="R85" s="3">
        <v>1989.6836173844658</v>
      </c>
      <c r="S85" s="3">
        <v>1795.5091487710433</v>
      </c>
      <c r="T85" s="3">
        <v>1745.2055273306223</v>
      </c>
      <c r="U85" s="3">
        <v>1711.4857675525436</v>
      </c>
      <c r="V85" s="3">
        <v>1645.3557509512402</v>
      </c>
      <c r="W85" s="3">
        <v>1625.4030923934652</v>
      </c>
      <c r="X85" s="3">
        <v>1524.2204319026505</v>
      </c>
      <c r="Y85" s="3">
        <v>1439.4043266920016</v>
      </c>
      <c r="Z85" s="3">
        <v>1313.6073307176503</v>
      </c>
      <c r="AA85" s="3">
        <v>1179.7844153207525</v>
      </c>
      <c r="AB85" s="3">
        <v>1055.0366496967245</v>
      </c>
      <c r="AC85" s="3">
        <v>926.7411564345166</v>
      </c>
      <c r="AD85" s="3">
        <v>828.13515273684334</v>
      </c>
      <c r="AE85" s="3">
        <v>738.46622512094928</v>
      </c>
      <c r="AF85" s="3">
        <v>669.49286603924975</v>
      </c>
      <c r="AG85" s="3">
        <v>610.80387600795257</v>
      </c>
      <c r="AH85" s="3">
        <v>554.73386780802593</v>
      </c>
      <c r="AI85" s="3">
        <v>500.93403735666379</v>
      </c>
      <c r="AJ85" s="3">
        <v>439.6196510679747</v>
      </c>
      <c r="AK85" s="3">
        <v>374.77642746502261</v>
      </c>
      <c r="AL85" s="3">
        <v>304.35244730120758</v>
      </c>
      <c r="AM85" s="3">
        <v>232.17222609633518</v>
      </c>
      <c r="AN85" s="3">
        <v>161.74832074783535</v>
      </c>
      <c r="AO85" s="3">
        <v>94.619475751921527</v>
      </c>
      <c r="AP85" s="3">
        <v>33.89790620880467</v>
      </c>
      <c r="AQ85" s="3">
        <v>-21.144024262966013</v>
      </c>
      <c r="AR85" s="3">
        <v>-70.473663607134768</v>
      </c>
      <c r="AS85" s="3">
        <v>-115.78313452218572</v>
      </c>
      <c r="AT85" s="3">
        <v>-158.84230225681677</v>
      </c>
      <c r="AU85" s="3">
        <v>-200.86239205212769</v>
      </c>
      <c r="AV85" s="3">
        <v>-243.1522349738425</v>
      </c>
      <c r="AW85" s="3">
        <v>-285.80835104780454</v>
      </c>
      <c r="AX85" s="3">
        <v>-328.78257478436353</v>
      </c>
      <c r="AY85" s="3">
        <v>-371.40921096454076</v>
      </c>
    </row>
    <row r="86" spans="2:51" x14ac:dyDescent="0.25">
      <c r="B86" t="s">
        <v>89</v>
      </c>
      <c r="C86" s="3">
        <v>2917.8883825369553</v>
      </c>
      <c r="D86" s="3">
        <v>-224.70836720241024</v>
      </c>
      <c r="E86" s="3">
        <v>-2032.8231674871888</v>
      </c>
      <c r="F86" s="3">
        <v>-233.76077464301795</v>
      </c>
      <c r="G86" s="3">
        <v>-399.97542088617257</v>
      </c>
      <c r="H86" s="3">
        <v>244.30723092826639</v>
      </c>
      <c r="I86" s="3">
        <v>-290.00357991538647</v>
      </c>
      <c r="J86" s="3">
        <v>88.637448605016289</v>
      </c>
      <c r="K86" s="3">
        <v>489.83712337083</v>
      </c>
      <c r="L86" s="3">
        <v>280.90299282293108</v>
      </c>
      <c r="M86" s="3">
        <v>355.94609331240383</v>
      </c>
      <c r="N86" s="3">
        <v>53.212704069712117</v>
      </c>
      <c r="O86" s="3">
        <v>48.744401693910845</v>
      </c>
      <c r="P86" s="3">
        <v>-62.566671399432039</v>
      </c>
      <c r="Q86" s="3">
        <v>-174.15798399270949</v>
      </c>
      <c r="R86" s="3">
        <v>-175.46302332088658</v>
      </c>
      <c r="S86" s="3">
        <v>-226.9110842932422</v>
      </c>
      <c r="T86" s="3">
        <v>-148.87434827023549</v>
      </c>
      <c r="U86" s="3">
        <v>-113.81717085302535</v>
      </c>
      <c r="V86" s="3">
        <v>-59.048797054477518</v>
      </c>
      <c r="W86" s="3">
        <v>-20.906064546265156</v>
      </c>
      <c r="X86" s="3">
        <v>-25.159614385250507</v>
      </c>
      <c r="Y86" s="3">
        <v>-31.625503688766571</v>
      </c>
      <c r="Z86" s="3">
        <v>-77.613868959431329</v>
      </c>
      <c r="AA86" s="3">
        <v>-118.07310213891958</v>
      </c>
      <c r="AB86" s="3">
        <v>-159.9689636682906</v>
      </c>
      <c r="AC86" s="3">
        <v>-190.10615768810783</v>
      </c>
      <c r="AD86" s="3">
        <v>-201.40547363049302</v>
      </c>
      <c r="AE86" s="3">
        <v>-205.19759291138757</v>
      </c>
      <c r="AF86" s="3">
        <v>-196.04336971922203</v>
      </c>
      <c r="AG86" s="3">
        <v>-186.90285045110227</v>
      </c>
      <c r="AH86" s="3">
        <v>-178.26378561072011</v>
      </c>
      <c r="AI86" s="3">
        <v>-174.47877888416508</v>
      </c>
      <c r="AJ86" s="3">
        <v>-177.86326948899716</v>
      </c>
      <c r="AK86" s="3">
        <v>-185.70737243281587</v>
      </c>
      <c r="AL86" s="3">
        <v>-198.51996128428311</v>
      </c>
      <c r="AM86" s="3">
        <v>-212.25936242049988</v>
      </c>
      <c r="AN86" s="3">
        <v>-225.61999881255917</v>
      </c>
      <c r="AO86" s="3">
        <v>-236.58128863571949</v>
      </c>
      <c r="AP86" s="3">
        <v>-243.93831970843166</v>
      </c>
      <c r="AQ86" s="3">
        <v>-248.16586088070176</v>
      </c>
      <c r="AR86" s="3">
        <v>-249.52282018810831</v>
      </c>
      <c r="AS86" s="3">
        <v>-249.66228498844168</v>
      </c>
      <c r="AT86" s="3">
        <v>-249.71187637616674</v>
      </c>
      <c r="AU86" s="3">
        <v>-250.80081596258788</v>
      </c>
      <c r="AV86" s="3">
        <v>-253.56020958280908</v>
      </c>
      <c r="AW86" s="3">
        <v>-257.88347848559545</v>
      </c>
      <c r="AX86" s="3">
        <v>-263.43595540763363</v>
      </c>
      <c r="AY86" s="3">
        <v>-269.42480408955203</v>
      </c>
    </row>
    <row r="87" spans="2:51" x14ac:dyDescent="0.25">
      <c r="B87" t="s">
        <v>90</v>
      </c>
      <c r="C87" s="3">
        <v>5588.3629019737218</v>
      </c>
      <c r="D87" s="3">
        <v>-893.5164858506613</v>
      </c>
      <c r="E87" s="3">
        <v>-3550.9151297000267</v>
      </c>
      <c r="F87" s="3">
        <v>-649.77169228061769</v>
      </c>
      <c r="G87" s="3">
        <v>-1912.9190737871829</v>
      </c>
      <c r="H87" s="3">
        <v>-197.42773646071964</v>
      </c>
      <c r="I87" s="3">
        <v>-1335.7233118233644</v>
      </c>
      <c r="J87" s="3">
        <v>-331.25257362360799</v>
      </c>
      <c r="K87" s="3">
        <v>414.55080983848723</v>
      </c>
      <c r="L87" s="3">
        <v>157.86102521743533</v>
      </c>
      <c r="M87" s="3">
        <v>541.28112003883916</v>
      </c>
      <c r="N87" s="3">
        <v>-48.093215132453679</v>
      </c>
      <c r="O87" s="3">
        <v>38.092159990618939</v>
      </c>
      <c r="P87" s="3">
        <v>-235.39798566792876</v>
      </c>
      <c r="Q87" s="3">
        <v>-458.40229703322143</v>
      </c>
      <c r="R87" s="3">
        <v>-499.32870020827488</v>
      </c>
      <c r="S87" s="3">
        <v>-663.92875028264348</v>
      </c>
      <c r="T87" s="3">
        <v>-529.62787806233234</v>
      </c>
      <c r="U87" s="3">
        <v>-489.26668379794955</v>
      </c>
      <c r="V87" s="3">
        <v>-351.85821761841407</v>
      </c>
      <c r="W87" s="3">
        <v>-238.82786070770794</v>
      </c>
      <c r="X87" s="3">
        <v>-194.51317314133462</v>
      </c>
      <c r="Y87" s="3">
        <v>-152.87164589407939</v>
      </c>
      <c r="Z87" s="3">
        <v>-209.1761888702373</v>
      </c>
      <c r="AA87" s="3">
        <v>-264.02584272006288</v>
      </c>
      <c r="AB87" s="3">
        <v>-344.9105722026211</v>
      </c>
      <c r="AC87" s="3">
        <v>-410.72909282231819</v>
      </c>
      <c r="AD87" s="3">
        <v>-444.35057361492625</v>
      </c>
      <c r="AE87" s="3">
        <v>-461.53538675681807</v>
      </c>
      <c r="AF87" s="3">
        <v>-444.88266599585393</v>
      </c>
      <c r="AG87" s="3">
        <v>-422.44048735583522</v>
      </c>
      <c r="AH87" s="3">
        <v>-392.99213097661948</v>
      </c>
      <c r="AI87" s="3">
        <v>-369.69475480249662</v>
      </c>
      <c r="AJ87" s="3">
        <v>-358.94075626682547</v>
      </c>
      <c r="AK87" s="3">
        <v>-357.87152408207578</v>
      </c>
      <c r="AL87" s="3">
        <v>-369.87761291178128</v>
      </c>
      <c r="AM87" s="3">
        <v>-387.00264985048693</v>
      </c>
      <c r="AN87" s="3">
        <v>-407.36572064459551</v>
      </c>
      <c r="AO87" s="3">
        <v>-425.70438169248098</v>
      </c>
      <c r="AP87" s="3">
        <v>-438.60617916942749</v>
      </c>
      <c r="AQ87" s="3">
        <v>-445.61860771811371</v>
      </c>
      <c r="AR87" s="3">
        <v>-445.91489184663044</v>
      </c>
      <c r="AS87" s="3">
        <v>-442.2282900113662</v>
      </c>
      <c r="AT87" s="3">
        <v>-436.49391868233249</v>
      </c>
      <c r="AU87" s="3">
        <v>-431.47260492201337</v>
      </c>
      <c r="AV87" s="3">
        <v>-429.12196375055851</v>
      </c>
      <c r="AW87" s="3">
        <v>-430.06561801697296</v>
      </c>
      <c r="AX87" s="3">
        <v>-434.34474055561031</v>
      </c>
      <c r="AY87" s="3">
        <v>-440.69991837630675</v>
      </c>
    </row>
    <row r="88" spans="2:51" x14ac:dyDescent="0.25">
      <c r="B88" t="s">
        <v>91</v>
      </c>
      <c r="C88" s="3">
        <v>1716.2308705011797</v>
      </c>
      <c r="D88" s="3">
        <v>50.237392106031791</v>
      </c>
      <c r="E88" s="3">
        <v>-1160.2077209634269</v>
      </c>
      <c r="F88" s="3">
        <v>-339.22299543786886</v>
      </c>
      <c r="G88" s="3">
        <v>-909.93211999752839</v>
      </c>
      <c r="H88" s="3">
        <v>153.33911816115116</v>
      </c>
      <c r="I88" s="3">
        <v>-183.91147469053334</v>
      </c>
      <c r="J88" s="3">
        <v>-69.794424687037747</v>
      </c>
      <c r="K88" s="3">
        <v>133.0522490565732</v>
      </c>
      <c r="L88" s="3">
        <v>23.08079030230499</v>
      </c>
      <c r="M88" s="3">
        <v>206.98334674844563</v>
      </c>
      <c r="N88" s="3">
        <v>-83.164508138928625</v>
      </c>
      <c r="O88" s="3">
        <v>-90.887644764840218</v>
      </c>
      <c r="P88" s="3">
        <v>-158.57922611048909</v>
      </c>
      <c r="Q88" s="3">
        <v>-206.63769389789911</v>
      </c>
      <c r="R88" s="3">
        <v>-177.9138474400319</v>
      </c>
      <c r="S88" s="3">
        <v>-226.55837565742891</v>
      </c>
      <c r="T88" s="3">
        <v>-160.55085408955972</v>
      </c>
      <c r="U88" s="3">
        <v>-139.72889773048377</v>
      </c>
      <c r="V88" s="3">
        <v>-97.516367702836078</v>
      </c>
      <c r="W88" s="3">
        <v>-68.410328146365885</v>
      </c>
      <c r="X88" s="3">
        <v>-71.515786318436199</v>
      </c>
      <c r="Y88" s="3">
        <v>-67.042921598672876</v>
      </c>
      <c r="Z88" s="3">
        <v>-94.315748771377287</v>
      </c>
      <c r="AA88" s="3">
        <v>-114.1827689239629</v>
      </c>
      <c r="AB88" s="3">
        <v>-138.25016973222694</v>
      </c>
      <c r="AC88" s="3">
        <v>-155.03561398422218</v>
      </c>
      <c r="AD88" s="3">
        <v>-158.15746286777744</v>
      </c>
      <c r="AE88" s="3">
        <v>-157.70719127631958</v>
      </c>
      <c r="AF88" s="3">
        <v>-147.15315081351892</v>
      </c>
      <c r="AG88" s="3">
        <v>-137.75308607139391</v>
      </c>
      <c r="AH88" s="3">
        <v>-128.48572099738078</v>
      </c>
      <c r="AI88" s="3">
        <v>-122.79006144317179</v>
      </c>
      <c r="AJ88" s="3">
        <v>-122.43199556608221</v>
      </c>
      <c r="AK88" s="3">
        <v>-124.84533035471998</v>
      </c>
      <c r="AL88" s="3">
        <v>-130.88907670045671</v>
      </c>
      <c r="AM88" s="3">
        <v>-137.20513400023026</v>
      </c>
      <c r="AN88" s="3">
        <v>-143.26917839980928</v>
      </c>
      <c r="AO88" s="3">
        <v>-147.73424870193082</v>
      </c>
      <c r="AP88" s="3">
        <v>-149.85867225622337</v>
      </c>
      <c r="AQ88" s="3">
        <v>-150.18062344864452</v>
      </c>
      <c r="AR88" s="3">
        <v>-148.72843896229335</v>
      </c>
      <c r="AS88" s="3">
        <v>-146.6939171632005</v>
      </c>
      <c r="AT88" s="3">
        <v>-144.69322510169562</v>
      </c>
      <c r="AU88" s="3">
        <v>-143.44665622824249</v>
      </c>
      <c r="AV88" s="3">
        <v>-143.35731524707555</v>
      </c>
      <c r="AW88" s="3">
        <v>-144.31635086047595</v>
      </c>
      <c r="AX88" s="3">
        <v>-146.14935468874918</v>
      </c>
      <c r="AY88" s="3">
        <v>-148.31472556270884</v>
      </c>
    </row>
    <row r="89" spans="2:51" x14ac:dyDescent="0.25">
      <c r="B89" t="s">
        <v>92</v>
      </c>
      <c r="C89" s="3">
        <v>1898.1599487704807</v>
      </c>
      <c r="D89" s="3">
        <v>576.7719833708652</v>
      </c>
      <c r="E89" s="3">
        <v>-829.06366879839061</v>
      </c>
      <c r="F89" s="3">
        <v>83.678090171208396</v>
      </c>
      <c r="G89" s="3">
        <v>-935.17353944791978</v>
      </c>
      <c r="H89" s="3">
        <v>42.057034110970676</v>
      </c>
      <c r="I89" s="3">
        <v>-208.67134668926906</v>
      </c>
      <c r="J89" s="3">
        <v>-5.2770066366801984</v>
      </c>
      <c r="K89" s="3">
        <v>266.2682855537937</v>
      </c>
      <c r="L89" s="3">
        <v>64.426165345048958</v>
      </c>
      <c r="M89" s="3">
        <v>301.91027722626768</v>
      </c>
      <c r="N89" s="3">
        <v>45.89605304582642</v>
      </c>
      <c r="O89" s="3">
        <v>48.281273123937808</v>
      </c>
      <c r="P89" s="3">
        <v>-43.044057278634227</v>
      </c>
      <c r="Q89" s="3">
        <v>-138.09437588577418</v>
      </c>
      <c r="R89" s="3">
        <v>-114.88062008743725</v>
      </c>
      <c r="S89" s="3">
        <v>-185.1609329204432</v>
      </c>
      <c r="T89" s="3">
        <v>-132.95429775418359</v>
      </c>
      <c r="U89" s="3">
        <v>-126.77046048181342</v>
      </c>
      <c r="V89" s="3">
        <v>-91.950116994293808</v>
      </c>
      <c r="W89" s="3">
        <v>-57.159407648069873</v>
      </c>
      <c r="X89" s="3">
        <v>-57.905506097286093</v>
      </c>
      <c r="Y89" s="3">
        <v>-47.63660412306001</v>
      </c>
      <c r="Z89" s="3">
        <v>-74.17690913217325</v>
      </c>
      <c r="AA89" s="3">
        <v>-95.733497166287066</v>
      </c>
      <c r="AB89" s="3">
        <v>-124.68026873189672</v>
      </c>
      <c r="AC89" s="3">
        <v>-150.66533066011152</v>
      </c>
      <c r="AD89" s="3">
        <v>-163.04157515513839</v>
      </c>
      <c r="AE89" s="3">
        <v>-172.27258886043614</v>
      </c>
      <c r="AF89" s="3">
        <v>-168.87663741313077</v>
      </c>
      <c r="AG89" s="3">
        <v>-164.4658060341302</v>
      </c>
      <c r="AH89" s="3">
        <v>-158.22637941386779</v>
      </c>
      <c r="AI89" s="3">
        <v>-153.83701048629223</v>
      </c>
      <c r="AJ89" s="3">
        <v>-154.44127460014238</v>
      </c>
      <c r="AK89" s="3">
        <v>-157.69336477845309</v>
      </c>
      <c r="AL89" s="3">
        <v>-165.35659256019858</v>
      </c>
      <c r="AM89" s="3">
        <v>-174.1238832973645</v>
      </c>
      <c r="AN89" s="3">
        <v>-183.42019171376899</v>
      </c>
      <c r="AO89" s="3">
        <v>-191.7391141522894</v>
      </c>
      <c r="AP89" s="3">
        <v>-197.86206239789419</v>
      </c>
      <c r="AQ89" s="3">
        <v>-202.10094039677131</v>
      </c>
      <c r="AR89" s="3">
        <v>-204.12050507492086</v>
      </c>
      <c r="AS89" s="3">
        <v>-204.99311967605388</v>
      </c>
      <c r="AT89" s="3">
        <v>-205.3172777901035</v>
      </c>
      <c r="AU89" s="3">
        <v>-205.90161621260199</v>
      </c>
      <c r="AV89" s="3">
        <v>-207.36946667680854</v>
      </c>
      <c r="AW89" s="3">
        <v>-209.79364821307729</v>
      </c>
      <c r="AX89" s="3">
        <v>-213.19175385209758</v>
      </c>
      <c r="AY89" s="3">
        <v>-217.11193080670262</v>
      </c>
    </row>
    <row r="90" spans="2:51" x14ac:dyDescent="0.25">
      <c r="B90" t="s">
        <v>93</v>
      </c>
      <c r="C90" s="3">
        <v>1049.3457335196861</v>
      </c>
      <c r="D90" s="3">
        <v>304.96074613995165</v>
      </c>
      <c r="E90" s="3">
        <v>-458.79887760234408</v>
      </c>
      <c r="F90" s="3">
        <v>131.51319324873242</v>
      </c>
      <c r="G90" s="3">
        <v>-619.13505288509839</v>
      </c>
      <c r="H90" s="3">
        <v>-186.99953243382595</v>
      </c>
      <c r="I90" s="3">
        <v>-447.44132515325089</v>
      </c>
      <c r="J90" s="3">
        <v>-206.97147506348938</v>
      </c>
      <c r="K90" s="3">
        <v>86.774449242137052</v>
      </c>
      <c r="L90" s="3">
        <v>49.903526999642281</v>
      </c>
      <c r="M90" s="3">
        <v>241.70689660391395</v>
      </c>
      <c r="N90" s="3">
        <v>109.67186463417596</v>
      </c>
      <c r="O90" s="3">
        <v>126.05342720602073</v>
      </c>
      <c r="P90" s="3">
        <v>39.707886908362354</v>
      </c>
      <c r="Q90" s="3">
        <v>-67.901605570158836</v>
      </c>
      <c r="R90" s="3">
        <v>-110.14792228888786</v>
      </c>
      <c r="S90" s="3">
        <v>-197.26987339355668</v>
      </c>
      <c r="T90" s="3">
        <v>-187.72167943265327</v>
      </c>
      <c r="U90" s="3">
        <v>-188.41098638691784</v>
      </c>
      <c r="V90" s="3">
        <v>-151.40359670634138</v>
      </c>
      <c r="W90" s="3">
        <v>-104.62161765704263</v>
      </c>
      <c r="X90" s="3">
        <v>-76.660588197735251</v>
      </c>
      <c r="Y90" s="3">
        <v>-48.289748789336954</v>
      </c>
      <c r="Z90" s="3">
        <v>-54.49652964014382</v>
      </c>
      <c r="AA90" s="3">
        <v>-69.234718984183758</v>
      </c>
      <c r="AB90" s="3">
        <v>-98.320585578744101</v>
      </c>
      <c r="AC90" s="3">
        <v>-129.9085430168621</v>
      </c>
      <c r="AD90" s="3">
        <v>-153.27967544887645</v>
      </c>
      <c r="AE90" s="3">
        <v>-171.07095702846254</v>
      </c>
      <c r="AF90" s="3">
        <v>-175.43177989746624</v>
      </c>
      <c r="AG90" s="3">
        <v>-173.61735343002499</v>
      </c>
      <c r="AH90" s="3">
        <v>-166.17323021596849</v>
      </c>
      <c r="AI90" s="3">
        <v>-157.5929672779522</v>
      </c>
      <c r="AJ90" s="3">
        <v>-151.79966080926994</v>
      </c>
      <c r="AK90" s="3">
        <v>-149.08896294576482</v>
      </c>
      <c r="AL90" s="3">
        <v>-151.59033018887948</v>
      </c>
      <c r="AM90" s="3">
        <v>-157.47337878640911</v>
      </c>
      <c r="AN90" s="3">
        <v>-166.00861047051245</v>
      </c>
      <c r="AO90" s="3">
        <v>-175.3160953455149</v>
      </c>
      <c r="AP90" s="3">
        <v>-183.58146631994617</v>
      </c>
      <c r="AQ90" s="3">
        <v>-190.00669722673138</v>
      </c>
      <c r="AR90" s="3">
        <v>-193.731591344241</v>
      </c>
      <c r="AS90" s="3">
        <v>-195.21969318612946</v>
      </c>
      <c r="AT90" s="3">
        <v>-195.0382621203554</v>
      </c>
      <c r="AU90" s="3">
        <v>-194.20087609205649</v>
      </c>
      <c r="AV90" s="3">
        <v>-193.70080730733264</v>
      </c>
      <c r="AW90" s="3">
        <v>-194.12929041965299</v>
      </c>
      <c r="AX90" s="3">
        <v>-195.8432996432112</v>
      </c>
      <c r="AY90" s="3">
        <v>-198.65737084751981</v>
      </c>
    </row>
    <row r="91" spans="2:51" x14ac:dyDescent="0.25">
      <c r="B91" t="s">
        <v>94</v>
      </c>
      <c r="C91" s="3">
        <v>2109.3294483772202</v>
      </c>
      <c r="D91" s="3">
        <v>475.94062712494355</v>
      </c>
      <c r="E91" s="3">
        <v>-573.75267601912867</v>
      </c>
      <c r="F91" s="3">
        <v>142.22477669755187</v>
      </c>
      <c r="G91" s="3">
        <v>-392.7279967782805</v>
      </c>
      <c r="H91" s="3">
        <v>314.68691750492962</v>
      </c>
      <c r="I91" s="3">
        <v>-39.815657491540037</v>
      </c>
      <c r="J91" s="3">
        <v>183.18740980259179</v>
      </c>
      <c r="K91" s="3">
        <v>374.50300500565618</v>
      </c>
      <c r="L91" s="3">
        <v>261.50167398150143</v>
      </c>
      <c r="M91" s="3">
        <v>405.93737666026948</v>
      </c>
      <c r="N91" s="3">
        <v>187.67517770993686</v>
      </c>
      <c r="O91" s="3">
        <v>196.06344378673271</v>
      </c>
      <c r="P91" s="3">
        <v>102.7670763454654</v>
      </c>
      <c r="Q91" s="3">
        <v>29.786348715804593</v>
      </c>
      <c r="R91" s="3">
        <v>24.763494638094812</v>
      </c>
      <c r="S91" s="3">
        <v>-36.923770329450804</v>
      </c>
      <c r="T91" s="3">
        <v>-2.9926627185450343</v>
      </c>
      <c r="U91" s="3">
        <v>-6.8614022501043337</v>
      </c>
      <c r="V91" s="3">
        <v>17.946903300686813</v>
      </c>
      <c r="W91" s="3">
        <v>36.163493966214446</v>
      </c>
      <c r="X91" s="3">
        <v>32.236827295209309</v>
      </c>
      <c r="Y91" s="3">
        <v>34.000590607752088</v>
      </c>
      <c r="Z91" s="3">
        <v>7.3177136139933054</v>
      </c>
      <c r="AA91" s="3">
        <v>-15.266267644225422</v>
      </c>
      <c r="AB91" s="3">
        <v>-45.283804283359245</v>
      </c>
      <c r="AC91" s="3">
        <v>-71.348638313503216</v>
      </c>
      <c r="AD91" s="3">
        <v>-87.701444189927997</v>
      </c>
      <c r="AE91" s="3">
        <v>-100.55373626125447</v>
      </c>
      <c r="AF91" s="3">
        <v>-103.22167116106118</v>
      </c>
      <c r="AG91" s="3">
        <v>-104.73660887591495</v>
      </c>
      <c r="AH91" s="3">
        <v>-104.0404110714129</v>
      </c>
      <c r="AI91" s="3">
        <v>-104.85611682039939</v>
      </c>
      <c r="AJ91" s="3">
        <v>-109.18083713239321</v>
      </c>
      <c r="AK91" s="3">
        <v>-115.71125147448561</v>
      </c>
      <c r="AL91" s="3">
        <v>-125.68696111485394</v>
      </c>
      <c r="AM91" s="3">
        <v>-136.51638278681685</v>
      </c>
      <c r="AN91" s="3">
        <v>-147.81882967135641</v>
      </c>
      <c r="AO91" s="3">
        <v>-158.18881597123971</v>
      </c>
      <c r="AP91" s="3">
        <v>-166.74743452374196</v>
      </c>
      <c r="AQ91" s="3">
        <v>-173.59847773746583</v>
      </c>
      <c r="AR91" s="3">
        <v>-178.50779704999218</v>
      </c>
      <c r="AS91" s="3">
        <v>-182.32707120878229</v>
      </c>
      <c r="AT91" s="3">
        <v>-185.52731796370813</v>
      </c>
      <c r="AU91" s="3">
        <v>-188.81456524098894</v>
      </c>
      <c r="AV91" s="3">
        <v>-192.6802185221436</v>
      </c>
      <c r="AW91" s="3">
        <v>-197.23068867099653</v>
      </c>
      <c r="AX91" s="3">
        <v>-202.4858317777464</v>
      </c>
      <c r="AY91" s="3">
        <v>-208.09492014531338</v>
      </c>
    </row>
    <row r="92" spans="2:51" x14ac:dyDescent="0.25">
      <c r="B92" t="s">
        <v>95</v>
      </c>
      <c r="C92" s="3">
        <v>3930.235008300031</v>
      </c>
      <c r="D92" s="3">
        <v>1382.3311572783346</v>
      </c>
      <c r="E92" s="3">
        <v>-352.74760493006238</v>
      </c>
      <c r="F92" s="3">
        <v>988.20845730351516</v>
      </c>
      <c r="G92" s="3">
        <v>-84.718073022090948</v>
      </c>
      <c r="H92" s="3">
        <v>1028.6328052336858</v>
      </c>
      <c r="I92" s="3">
        <v>407.83366421118581</v>
      </c>
      <c r="J92" s="3">
        <v>779.16914889537156</v>
      </c>
      <c r="K92" s="3">
        <v>1096.0055399421176</v>
      </c>
      <c r="L92" s="3">
        <v>811.01299254183641</v>
      </c>
      <c r="M92" s="3">
        <v>987.19776042897183</v>
      </c>
      <c r="N92" s="3">
        <v>534.61122848131799</v>
      </c>
      <c r="O92" s="3">
        <v>489.29137208121438</v>
      </c>
      <c r="P92" s="3">
        <v>301.97555949074103</v>
      </c>
      <c r="Q92" s="3">
        <v>172.6457526725726</v>
      </c>
      <c r="R92" s="3">
        <v>193.57476186397253</v>
      </c>
      <c r="S92" s="3">
        <v>118.25554200117085</v>
      </c>
      <c r="T92" s="3">
        <v>200.4476176442754</v>
      </c>
      <c r="U92" s="3">
        <v>198.39730069023744</v>
      </c>
      <c r="V92" s="3">
        <v>225.3220925846399</v>
      </c>
      <c r="W92" s="3">
        <v>230.41122571592905</v>
      </c>
      <c r="X92" s="3">
        <v>191.0315033758302</v>
      </c>
      <c r="Y92" s="3">
        <v>165.46689051211024</v>
      </c>
      <c r="Z92" s="3">
        <v>97.209897334922061</v>
      </c>
      <c r="AA92" s="3">
        <v>44.021586439615021</v>
      </c>
      <c r="AB92" s="3">
        <v>-14.907779084124286</v>
      </c>
      <c r="AC92" s="3">
        <v>-63.1524777699683</v>
      </c>
      <c r="AD92" s="3">
        <v>-92.173729936951077</v>
      </c>
      <c r="AE92" s="3">
        <v>-115.23355406372048</v>
      </c>
      <c r="AF92" s="3">
        <v>-121.70256220952342</v>
      </c>
      <c r="AG92" s="3">
        <v>-128.18873456847723</v>
      </c>
      <c r="AH92" s="3">
        <v>-133.42344694300709</v>
      </c>
      <c r="AI92" s="3">
        <v>-143.54629472566512</v>
      </c>
      <c r="AJ92" s="3">
        <v>-161.54329183725213</v>
      </c>
      <c r="AK92" s="3">
        <v>-183.88406217705324</v>
      </c>
      <c r="AL92" s="3">
        <v>-211.54502421836105</v>
      </c>
      <c r="AM92" s="3">
        <v>-239.0051470213657</v>
      </c>
      <c r="AN92" s="3">
        <v>-265.08888845765932</v>
      </c>
      <c r="AO92" s="3">
        <v>-287.54803641560966</v>
      </c>
      <c r="AP92" s="3">
        <v>-305.45732691212834</v>
      </c>
      <c r="AQ92" s="3">
        <v>-319.90694752331274</v>
      </c>
      <c r="AR92" s="3">
        <v>-331.27309076540541</v>
      </c>
      <c r="AS92" s="3">
        <v>-341.53571889648492</v>
      </c>
      <c r="AT92" s="3">
        <v>-351.63885290981489</v>
      </c>
      <c r="AU92" s="3">
        <v>-362.59222910393828</v>
      </c>
      <c r="AV92" s="3">
        <v>-374.87077347608647</v>
      </c>
      <c r="AW92" s="3">
        <v>-388.23454453305612</v>
      </c>
      <c r="AX92" s="3">
        <v>-402.3959593145687</v>
      </c>
      <c r="AY92" s="3">
        <v>-416.57049070342873</v>
      </c>
    </row>
    <row r="93" spans="2:51" x14ac:dyDescent="0.25">
      <c r="B93" t="s">
        <v>96</v>
      </c>
      <c r="C93" s="3">
        <v>722.37691242019923</v>
      </c>
      <c r="D93" s="3">
        <v>136.12644338090345</v>
      </c>
      <c r="E93" s="3">
        <v>-468.49228258697724</v>
      </c>
      <c r="F93" s="3">
        <v>-81.840581294955541</v>
      </c>
      <c r="G93" s="3">
        <v>-210.9930868697333</v>
      </c>
      <c r="H93" s="3">
        <v>52.30793725295834</v>
      </c>
      <c r="I93" s="3">
        <v>-31.919674066869447</v>
      </c>
      <c r="J93" s="3">
        <v>39.408441933440827</v>
      </c>
      <c r="K93" s="3">
        <v>153.494831113966</v>
      </c>
      <c r="L93" s="3">
        <v>91.916135595990539</v>
      </c>
      <c r="M93" s="3">
        <v>127.8247049839463</v>
      </c>
      <c r="N93" s="3">
        <v>32.553657581527602</v>
      </c>
      <c r="O93" s="3">
        <v>13.149408706981262</v>
      </c>
      <c r="P93" s="3">
        <v>-21.57373489978815</v>
      </c>
      <c r="Q93" s="3">
        <v>-57.318811823436675</v>
      </c>
      <c r="R93" s="3">
        <v>-52.825644763836635</v>
      </c>
      <c r="S93" s="3">
        <v>-67.187053368784149</v>
      </c>
      <c r="T93" s="3">
        <v>-43.697354028144673</v>
      </c>
      <c r="U93" s="3">
        <v>-31.505047292909921</v>
      </c>
      <c r="V93" s="3">
        <v>-15.817040820215709</v>
      </c>
      <c r="W93" s="3">
        <v>-3.8648230679476683</v>
      </c>
      <c r="X93" s="3">
        <v>-6.4040204949980648</v>
      </c>
      <c r="Y93" s="3">
        <v>-9.1170954984711443</v>
      </c>
      <c r="Z93" s="3">
        <v>-23.527605738544992</v>
      </c>
      <c r="AA93" s="3">
        <v>-36.681038946249316</v>
      </c>
      <c r="AB93" s="3">
        <v>-49.892651242430276</v>
      </c>
      <c r="AC93" s="3">
        <v>-60.000656911524601</v>
      </c>
      <c r="AD93" s="3">
        <v>-63.927319667309661</v>
      </c>
      <c r="AE93" s="3">
        <v>-65.364363337334595</v>
      </c>
      <c r="AF93" s="3">
        <v>-62.622709563778443</v>
      </c>
      <c r="AG93" s="3">
        <v>-59.646331081148759</v>
      </c>
      <c r="AH93" s="3">
        <v>-56.956407812180601</v>
      </c>
      <c r="AI93" s="3">
        <v>-55.783637265035281</v>
      </c>
      <c r="AJ93" s="3">
        <v>-57.052171174311212</v>
      </c>
      <c r="AK93" s="3">
        <v>-59.833122360718704</v>
      </c>
      <c r="AL93" s="3">
        <v>-64.210821462500462</v>
      </c>
      <c r="AM93" s="3">
        <v>-68.882693603614797</v>
      </c>
      <c r="AN93" s="3">
        <v>-73.325067280324447</v>
      </c>
      <c r="AO93" s="3">
        <v>-76.945462099722278</v>
      </c>
      <c r="AP93" s="3">
        <v>-79.355989591051468</v>
      </c>
      <c r="AQ93" s="3">
        <v>-80.757067874639688</v>
      </c>
      <c r="AR93" s="3">
        <v>-81.263943673732712</v>
      </c>
      <c r="AS93" s="3">
        <v>-81.40195289666903</v>
      </c>
      <c r="AT93" s="3">
        <v>-81.541152986304041</v>
      </c>
      <c r="AU93" s="3">
        <v>-82.017224397069896</v>
      </c>
      <c r="AV93" s="3">
        <v>-83.026765601830505</v>
      </c>
      <c r="AW93" s="3">
        <v>-84.526490743501057</v>
      </c>
      <c r="AX93" s="3">
        <v>-86.407477281819638</v>
      </c>
      <c r="AY93" s="3">
        <v>-88.421605701087032</v>
      </c>
    </row>
    <row r="94" spans="2:51" x14ac:dyDescent="0.25">
      <c r="B94" t="s">
        <v>97</v>
      </c>
      <c r="C94" s="3">
        <v>212.78404651141827</v>
      </c>
      <c r="D94" s="3">
        <v>-17.577240807969645</v>
      </c>
      <c r="E94" s="3">
        <v>-110.16670326031426</v>
      </c>
      <c r="F94" s="3">
        <v>-6.2457659501089111</v>
      </c>
      <c r="G94" s="3">
        <v>-2.9957228479994313</v>
      </c>
      <c r="H94" s="3">
        <v>37.275347012736702</v>
      </c>
      <c r="I94" s="3">
        <v>4.8741883725269304</v>
      </c>
      <c r="J94" s="3">
        <v>45.674379022347608</v>
      </c>
      <c r="K94" s="3">
        <v>74.868295716644909</v>
      </c>
      <c r="L94" s="3">
        <v>67.787613355469801</v>
      </c>
      <c r="M94" s="3">
        <v>66.572872674222992</v>
      </c>
      <c r="N94" s="3">
        <v>41.09498497956622</v>
      </c>
      <c r="O94" s="3">
        <v>34.416455451701836</v>
      </c>
      <c r="P94" s="3">
        <v>18.771457795146603</v>
      </c>
      <c r="Q94" s="3">
        <v>7.0351883230848102</v>
      </c>
      <c r="R94" s="3">
        <v>2.7450752455828251</v>
      </c>
      <c r="S94" s="3">
        <v>-0.50088111578298822</v>
      </c>
      <c r="T94" s="3">
        <v>5.9620782161236434</v>
      </c>
      <c r="U94" s="3">
        <v>10.31392532936556</v>
      </c>
      <c r="V94" s="3">
        <v>16.153455179388118</v>
      </c>
      <c r="W94" s="3">
        <v>19.395221843061222</v>
      </c>
      <c r="X94" s="3">
        <v>19.192718665024302</v>
      </c>
      <c r="Y94" s="3">
        <v>17.333219267584724</v>
      </c>
      <c r="Z94" s="3">
        <v>12.208355685888904</v>
      </c>
      <c r="AA94" s="3">
        <v>7.1001992766285866</v>
      </c>
      <c r="AB94" s="3">
        <v>1.9051005029451744</v>
      </c>
      <c r="AC94" s="3">
        <v>-1.9273268642155301</v>
      </c>
      <c r="AD94" s="3">
        <v>-4.0251064938376828</v>
      </c>
      <c r="AE94" s="3">
        <v>-4.9301584780261578</v>
      </c>
      <c r="AF94" s="3">
        <v>-4.5386969344997965</v>
      </c>
      <c r="AG94" s="3">
        <v>-3.8876473201467832</v>
      </c>
      <c r="AH94" s="3">
        <v>-3.2202674121466259</v>
      </c>
      <c r="AI94" s="3">
        <v>-3.0736893660120472</v>
      </c>
      <c r="AJ94" s="3">
        <v>-3.6525517613194722</v>
      </c>
      <c r="AK94" s="3">
        <v>-4.8407813217492048</v>
      </c>
      <c r="AL94" s="3">
        <v>-6.5779912497351347</v>
      </c>
      <c r="AM94" s="3">
        <v>-8.4875055953986305</v>
      </c>
      <c r="AN94" s="3">
        <v>-10.359554365402204</v>
      </c>
      <c r="AO94" s="3">
        <v>-11.942393714720396</v>
      </c>
      <c r="AP94" s="3">
        <v>-13.111429917963193</v>
      </c>
      <c r="AQ94" s="3">
        <v>-13.881709745209093</v>
      </c>
      <c r="AR94" s="3">
        <v>-14.314973177053162</v>
      </c>
      <c r="AS94" s="3">
        <v>-14.582511204781497</v>
      </c>
      <c r="AT94" s="3">
        <v>-14.825304176061678</v>
      </c>
      <c r="AU94" s="3">
        <v>-15.174984552196747</v>
      </c>
      <c r="AV94" s="3">
        <v>-15.699982320664901</v>
      </c>
      <c r="AW94" s="3">
        <v>-16.39917738270222</v>
      </c>
      <c r="AX94" s="3">
        <v>-17.231001201044052</v>
      </c>
      <c r="AY94" s="3">
        <v>-18.112894454007005</v>
      </c>
    </row>
    <row r="95" spans="2:51" x14ac:dyDescent="0.25">
      <c r="B95" t="s">
        <v>98</v>
      </c>
      <c r="C95" s="3">
        <v>790.5916772443104</v>
      </c>
      <c r="D95" s="3">
        <v>15.033563292127184</v>
      </c>
      <c r="E95" s="3">
        <v>-641.71170539207287</v>
      </c>
      <c r="F95" s="3">
        <v>-159.72930050146877</v>
      </c>
      <c r="G95" s="3">
        <v>-363.86424601855759</v>
      </c>
      <c r="H95" s="3">
        <v>-126.34038490142812</v>
      </c>
      <c r="I95" s="3">
        <v>-233.92534159709066</v>
      </c>
      <c r="J95" s="3">
        <v>-146.76505269307307</v>
      </c>
      <c r="K95" s="3">
        <v>12.832351296820093</v>
      </c>
      <c r="L95" s="3">
        <v>-38.014454261240246</v>
      </c>
      <c r="M95" s="3">
        <v>26.925008944799117</v>
      </c>
      <c r="N95" s="3">
        <v>-50.105426149141351</v>
      </c>
      <c r="O95" s="3">
        <v>-49.375854015756317</v>
      </c>
      <c r="P95" s="3">
        <v>-73.522407798188411</v>
      </c>
      <c r="Q95" s="3">
        <v>-114.41502512552712</v>
      </c>
      <c r="R95" s="3">
        <v>-115.92190247293726</v>
      </c>
      <c r="S95" s="3">
        <v>-143.18824285712253</v>
      </c>
      <c r="T95" s="3">
        <v>-127.97083462803279</v>
      </c>
      <c r="U95" s="3">
        <v>-120.75314629815601</v>
      </c>
      <c r="V95" s="3">
        <v>-104.17990658472588</v>
      </c>
      <c r="W95" s="3">
        <v>-84.561169361896418</v>
      </c>
      <c r="X95" s="3">
        <v>-77.368184605432333</v>
      </c>
      <c r="Y95" s="3">
        <v>-68.827082368538328</v>
      </c>
      <c r="Z95" s="3">
        <v>-74.665942521249079</v>
      </c>
      <c r="AA95" s="3">
        <v>-82.184910365331731</v>
      </c>
      <c r="AB95" s="3">
        <v>-92.932418118127828</v>
      </c>
      <c r="AC95" s="3">
        <v>-103.27955928164013</v>
      </c>
      <c r="AD95" s="3">
        <v>-108.42226527205237</v>
      </c>
      <c r="AE95" s="3">
        <v>-111.44372603066471</v>
      </c>
      <c r="AF95" s="3">
        <v>-109.37797997098777</v>
      </c>
      <c r="AG95" s="3">
        <v>-105.93640337429186</v>
      </c>
      <c r="AH95" s="3">
        <v>-101.54422026793439</v>
      </c>
      <c r="AI95" s="3">
        <v>-97.594521790731989</v>
      </c>
      <c r="AJ95" s="3">
        <v>-95.546849496131472</v>
      </c>
      <c r="AK95" s="3">
        <v>-94.816900966599391</v>
      </c>
      <c r="AL95" s="3">
        <v>-96.018383566840456</v>
      </c>
      <c r="AM95" s="3">
        <v>-98.117496682097709</v>
      </c>
      <c r="AN95" s="3">
        <v>-100.74073410001564</v>
      </c>
      <c r="AO95" s="3">
        <v>-103.26359704719032</v>
      </c>
      <c r="AP95" s="3">
        <v>-105.06343015712152</v>
      </c>
      <c r="AQ95" s="3">
        <v>-106.08034314885143</v>
      </c>
      <c r="AR95" s="3">
        <v>-106.12334884826011</v>
      </c>
      <c r="AS95" s="3">
        <v>-105.52347292750189</v>
      </c>
      <c r="AT95" s="3">
        <v>-104.56601629723393</v>
      </c>
      <c r="AU95" s="3">
        <v>-103.62307216872418</v>
      </c>
      <c r="AV95" s="3">
        <v>-103.02699948163881</v>
      </c>
      <c r="AW95" s="3">
        <v>-102.89217537276167</v>
      </c>
      <c r="AX95" s="3">
        <v>-103.26168773491484</v>
      </c>
      <c r="AY95" s="3">
        <v>-103.97921298950489</v>
      </c>
    </row>
    <row r="96" spans="2:51" x14ac:dyDescent="0.25">
      <c r="B96" t="s">
        <v>99</v>
      </c>
      <c r="C96" s="3">
        <v>969.83522022101874</v>
      </c>
      <c r="D96" s="3">
        <v>449.95253167527756</v>
      </c>
      <c r="E96" s="3">
        <v>-1.869056791780082</v>
      </c>
      <c r="F96" s="3">
        <v>277.6525769329271</v>
      </c>
      <c r="G96" s="3">
        <v>125.63750419853974</v>
      </c>
      <c r="H96" s="3">
        <v>297.22194339994292</v>
      </c>
      <c r="I96" s="3">
        <v>141.44069944065109</v>
      </c>
      <c r="J96" s="3">
        <v>168.92516157128554</v>
      </c>
      <c r="K96" s="3">
        <v>219.20002305305937</v>
      </c>
      <c r="L96" s="3">
        <v>169.62533861377366</v>
      </c>
      <c r="M96" s="3">
        <v>210.48544979015958</v>
      </c>
      <c r="N96" s="3">
        <v>150.42331285243696</v>
      </c>
      <c r="O96" s="3">
        <v>163.36642605746383</v>
      </c>
      <c r="P96" s="3">
        <v>149.96713048464554</v>
      </c>
      <c r="Q96" s="3">
        <v>134.92947254553152</v>
      </c>
      <c r="R96" s="3">
        <v>136.68980220784616</v>
      </c>
      <c r="S96" s="3">
        <v>113.55762938356415</v>
      </c>
      <c r="T96" s="3">
        <v>114.83773395120716</v>
      </c>
      <c r="U96" s="3">
        <v>102.90195649573656</v>
      </c>
      <c r="V96" s="3">
        <v>99.139182971691184</v>
      </c>
      <c r="W96" s="3">
        <v>96.75540017022405</v>
      </c>
      <c r="X96" s="3">
        <v>90.691174232994854</v>
      </c>
      <c r="Y96" s="3">
        <v>90.106677664939411</v>
      </c>
      <c r="Z96" s="3">
        <v>83.240492243564347</v>
      </c>
      <c r="AA96" s="3">
        <v>78.475969242394342</v>
      </c>
      <c r="AB96" s="3">
        <v>71.403685108163018</v>
      </c>
      <c r="AC96" s="3">
        <v>64.229583561964034</v>
      </c>
      <c r="AD96" s="3">
        <v>58.640719243381966</v>
      </c>
      <c r="AE96" s="3">
        <v>52.611748294780398</v>
      </c>
      <c r="AF96" s="3">
        <v>48.638339058810232</v>
      </c>
      <c r="AG96" s="3">
        <v>44.567206349362834</v>
      </c>
      <c r="AH96" s="3">
        <v>41.210765038548629</v>
      </c>
      <c r="AI96" s="3">
        <v>37.980194410239505</v>
      </c>
      <c r="AJ96" s="3">
        <v>34.454965932964285</v>
      </c>
      <c r="AK96" s="3">
        <v>31.118453111108636</v>
      </c>
      <c r="AL96" s="3">
        <v>27.425328934935351</v>
      </c>
      <c r="AM96" s="3">
        <v>23.871835376512536</v>
      </c>
      <c r="AN96" s="3">
        <v>20.265193741648034</v>
      </c>
      <c r="AO96" s="3">
        <v>16.732584127662619</v>
      </c>
      <c r="AP96" s="3">
        <v>13.390160360037783</v>
      </c>
      <c r="AQ96" s="3">
        <v>10.164401924824233</v>
      </c>
      <c r="AR96" s="3">
        <v>7.2177474508010278</v>
      </c>
      <c r="AS96" s="3">
        <v>4.4548723252129889</v>
      </c>
      <c r="AT96" s="3">
        <v>1.9071078961319472</v>
      </c>
      <c r="AU96" s="3">
        <v>-0.4907211757127925</v>
      </c>
      <c r="AV96" s="3">
        <v>-2.8123481072253185</v>
      </c>
      <c r="AW96" s="3">
        <v>-5.0807498861108229</v>
      </c>
      <c r="AX96" s="3">
        <v>-7.354495887064104</v>
      </c>
      <c r="AY96" s="3">
        <v>-9.6123437599109138</v>
      </c>
    </row>
    <row r="97" spans="2:51" x14ac:dyDescent="0.25">
      <c r="B97" t="s">
        <v>100</v>
      </c>
      <c r="C97" s="3">
        <v>2341.3893796245275</v>
      </c>
      <c r="D97" s="3">
        <v>1299.7789698408001</v>
      </c>
      <c r="E97" s="3">
        <v>393.63212752665936</v>
      </c>
      <c r="F97" s="3">
        <v>1118.5730145064383</v>
      </c>
      <c r="G97" s="3">
        <v>574.11524178338664</v>
      </c>
      <c r="H97" s="3">
        <v>1126.3845179783809</v>
      </c>
      <c r="I97" s="3">
        <v>738.25582612410585</v>
      </c>
      <c r="J97" s="3">
        <v>843.24005665355776</v>
      </c>
      <c r="K97" s="3">
        <v>921.90791532150638</v>
      </c>
      <c r="L97" s="3">
        <v>730.27935202661934</v>
      </c>
      <c r="M97" s="3">
        <v>794.58741327311736</v>
      </c>
      <c r="N97" s="3">
        <v>558.15583276258394</v>
      </c>
      <c r="O97" s="3">
        <v>536.87355645374487</v>
      </c>
      <c r="P97" s="3">
        <v>446.53117589892304</v>
      </c>
      <c r="Q97" s="3">
        <v>385.36708477512093</v>
      </c>
      <c r="R97" s="3">
        <v>392.96951755602777</v>
      </c>
      <c r="S97" s="3">
        <v>343.87282393542841</v>
      </c>
      <c r="T97" s="3">
        <v>366.78074007312853</v>
      </c>
      <c r="U97" s="3">
        <v>341.97006752074503</v>
      </c>
      <c r="V97" s="3">
        <v>330.16428925830178</v>
      </c>
      <c r="W97" s="3">
        <v>308.00405233683659</v>
      </c>
      <c r="X97" s="3">
        <v>267.08143035006651</v>
      </c>
      <c r="Y97" s="3">
        <v>238.14665885945897</v>
      </c>
      <c r="Z97" s="3">
        <v>192.97304596613139</v>
      </c>
      <c r="AA97" s="3">
        <v>159.65147124171608</v>
      </c>
      <c r="AB97" s="3">
        <v>125.59508495236105</v>
      </c>
      <c r="AC97" s="3">
        <v>97.160826522586376</v>
      </c>
      <c r="AD97" s="3">
        <v>76.921652719673148</v>
      </c>
      <c r="AE97" s="3">
        <v>57.409288311642285</v>
      </c>
      <c r="AF97" s="3">
        <v>44.001421080942691</v>
      </c>
      <c r="AG97" s="3">
        <v>29.019133755098665</v>
      </c>
      <c r="AH97" s="3">
        <v>14.203072540571611</v>
      </c>
      <c r="AI97" s="3">
        <v>-2.5297933566507709</v>
      </c>
      <c r="AJ97" s="3">
        <v>-21.912494578003134</v>
      </c>
      <c r="AK97" s="3">
        <v>-41.852859180266933</v>
      </c>
      <c r="AL97" s="3">
        <v>-62.922942414068075</v>
      </c>
      <c r="AM97" s="3">
        <v>-82.708086259772699</v>
      </c>
      <c r="AN97" s="3">
        <v>-101.13534047239591</v>
      </c>
      <c r="AO97" s="3">
        <v>-117.5637741805067</v>
      </c>
      <c r="AP97" s="3">
        <v>-131.90944066436305</v>
      </c>
      <c r="AQ97" s="3">
        <v>-144.91422420016443</v>
      </c>
      <c r="AR97" s="3">
        <v>-156.77537154369611</v>
      </c>
      <c r="AS97" s="3">
        <v>-168.34853987625957</v>
      </c>
      <c r="AT97" s="3">
        <v>-179.87642460905863</v>
      </c>
      <c r="AU97" s="3">
        <v>-191.62282331181223</v>
      </c>
      <c r="AV97" s="3">
        <v>-203.62698383856787</v>
      </c>
      <c r="AW97" s="3">
        <v>-215.65962937821951</v>
      </c>
      <c r="AX97" s="3">
        <v>-227.56983803276944</v>
      </c>
      <c r="AY97" s="3">
        <v>-239.0440375265357</v>
      </c>
    </row>
    <row r="98" spans="2:51" x14ac:dyDescent="0.25">
      <c r="B98" t="s">
        <v>101</v>
      </c>
      <c r="C98" s="3">
        <v>1244.0795380502359</v>
      </c>
      <c r="D98" s="3">
        <v>1027.5178538396872</v>
      </c>
      <c r="E98" s="3">
        <v>279.78190694109674</v>
      </c>
      <c r="F98" s="3">
        <v>676.52649455793562</v>
      </c>
      <c r="G98" s="3">
        <v>234.68209509203848</v>
      </c>
      <c r="H98" s="3">
        <v>610.20957604063358</v>
      </c>
      <c r="I98" s="3">
        <v>434.25351977448179</v>
      </c>
      <c r="J98" s="3">
        <v>405.25441832846218</v>
      </c>
      <c r="K98" s="3">
        <v>491.59371449818036</v>
      </c>
      <c r="L98" s="3">
        <v>351.67842120165801</v>
      </c>
      <c r="M98" s="3">
        <v>430.36258514943449</v>
      </c>
      <c r="N98" s="3">
        <v>302.43830915169337</v>
      </c>
      <c r="O98" s="3">
        <v>291.63644028486897</v>
      </c>
      <c r="P98" s="3">
        <v>262.66255749213428</v>
      </c>
      <c r="Q98" s="3">
        <v>221.84102799226571</v>
      </c>
      <c r="R98" s="3">
        <v>236.216867328842</v>
      </c>
      <c r="S98" s="3">
        <v>196.22771704403999</v>
      </c>
      <c r="T98" s="3">
        <v>199.61480435421231</v>
      </c>
      <c r="U98" s="3">
        <v>176.39398625753529</v>
      </c>
      <c r="V98" s="3">
        <v>158.17992487980155</v>
      </c>
      <c r="W98" s="3">
        <v>143.4013526934616</v>
      </c>
      <c r="X98" s="3">
        <v>116.16936394862478</v>
      </c>
      <c r="Y98" s="3">
        <v>101.88565742707169</v>
      </c>
      <c r="Z98" s="3">
        <v>78.327096729432014</v>
      </c>
      <c r="AA98" s="3">
        <v>61.18496453206194</v>
      </c>
      <c r="AB98" s="3">
        <v>43.45936749614043</v>
      </c>
      <c r="AC98" s="3">
        <v>25.910242509665295</v>
      </c>
      <c r="AD98" s="3">
        <v>12.727826439980163</v>
      </c>
      <c r="AE98" s="3">
        <v>-1.8263262769480662</v>
      </c>
      <c r="AF98" s="3">
        <v>-13.047615375456189</v>
      </c>
      <c r="AG98" s="3">
        <v>-25.041078390244138</v>
      </c>
      <c r="AH98" s="3">
        <v>-36.693497007914857</v>
      </c>
      <c r="AI98" s="3">
        <v>-48.384870425347344</v>
      </c>
      <c r="AJ98" s="3">
        <v>-61.071908318371925</v>
      </c>
      <c r="AK98" s="3">
        <v>-73.24300194551688</v>
      </c>
      <c r="AL98" s="3">
        <v>-85.705476851627964</v>
      </c>
      <c r="AM98" s="3">
        <v>-97.313068211380369</v>
      </c>
      <c r="AN98" s="3">
        <v>-108.22158768026588</v>
      </c>
      <c r="AO98" s="3">
        <v>-118.38082314256917</v>
      </c>
      <c r="AP98" s="3">
        <v>-127.67389286029288</v>
      </c>
      <c r="AQ98" s="3">
        <v>-136.5668530137807</v>
      </c>
      <c r="AR98" s="3">
        <v>-144.97264513297296</v>
      </c>
      <c r="AS98" s="3">
        <v>-153.21415759313163</v>
      </c>
      <c r="AT98" s="3">
        <v>-161.29093313562271</v>
      </c>
      <c r="AU98" s="3">
        <v>-169.2288244096269</v>
      </c>
      <c r="AV98" s="3">
        <v>-177.0606654189321</v>
      </c>
      <c r="AW98" s="3">
        <v>-184.67779177237162</v>
      </c>
      <c r="AX98" s="3">
        <v>-192.09059792415519</v>
      </c>
      <c r="AY98" s="3">
        <v>-199.21031659231971</v>
      </c>
    </row>
    <row r="99" spans="2:51" x14ac:dyDescent="0.25">
      <c r="B99" t="s">
        <v>102</v>
      </c>
      <c r="C99" s="3">
        <v>33.808108940201286</v>
      </c>
      <c r="D99" s="3">
        <v>56.002771294318826</v>
      </c>
      <c r="E99" s="3">
        <v>11.03334087455049</v>
      </c>
      <c r="F99" s="3">
        <v>100.68959393227735</v>
      </c>
      <c r="G99" s="3">
        <v>35.011043148892838</v>
      </c>
      <c r="H99" s="3">
        <v>46.799327308560642</v>
      </c>
      <c r="I99" s="3">
        <v>43.798521772269616</v>
      </c>
      <c r="J99" s="3">
        <v>38.27861767374516</v>
      </c>
      <c r="K99" s="3">
        <v>54.25981767936851</v>
      </c>
      <c r="L99" s="3">
        <v>33.902693071516794</v>
      </c>
      <c r="M99" s="3">
        <v>43.896498415801055</v>
      </c>
      <c r="N99" s="3">
        <v>36.786392241981133</v>
      </c>
      <c r="O99" s="3">
        <v>35.499295177056858</v>
      </c>
      <c r="P99" s="3">
        <v>34.843839590370777</v>
      </c>
      <c r="Q99" s="3">
        <v>27.928139995962795</v>
      </c>
      <c r="R99" s="3">
        <v>29.393024191173765</v>
      </c>
      <c r="S99" s="3">
        <v>24.932952553139557</v>
      </c>
      <c r="T99" s="3">
        <v>24.825799974022203</v>
      </c>
      <c r="U99" s="3">
        <v>23.331686749911981</v>
      </c>
      <c r="V99" s="3">
        <v>21.589405001123438</v>
      </c>
      <c r="W99" s="3">
        <v>21.408094010569499</v>
      </c>
      <c r="X99" s="3">
        <v>19.428097127036082</v>
      </c>
      <c r="Y99" s="3">
        <v>18.802415631811982</v>
      </c>
      <c r="Z99" s="3">
        <v>17.133889776498805</v>
      </c>
      <c r="AA99" s="3">
        <v>15.740377689101692</v>
      </c>
      <c r="AB99" s="3">
        <v>14.428966112368059</v>
      </c>
      <c r="AC99" s="3">
        <v>12.81130312917027</v>
      </c>
      <c r="AD99" s="3">
        <v>11.679385188966847</v>
      </c>
      <c r="AE99" s="3">
        <v>10.332791777093973</v>
      </c>
      <c r="AF99" s="3">
        <v>9.3283052284719901</v>
      </c>
      <c r="AG99" s="3">
        <v>8.362261352613416</v>
      </c>
      <c r="AH99" s="3">
        <v>7.4507041205014843</v>
      </c>
      <c r="AI99" s="3">
        <v>6.6552608339491286</v>
      </c>
      <c r="AJ99" s="3">
        <v>5.7725249828431657</v>
      </c>
      <c r="AK99" s="3">
        <v>4.9524973322021992</v>
      </c>
      <c r="AL99" s="3">
        <v>4.0684726414356192</v>
      </c>
      <c r="AM99" s="3">
        <v>3.1949902627126789</v>
      </c>
      <c r="AN99" s="3">
        <v>2.3385032131978107</v>
      </c>
      <c r="AO99" s="3">
        <v>1.493725708682959</v>
      </c>
      <c r="AP99" s="3">
        <v>0.71373218263383365</v>
      </c>
      <c r="AQ99" s="3">
        <v>-3.3458355391672967E-2</v>
      </c>
      <c r="AR99" s="3">
        <v>-0.72056767053518911</v>
      </c>
      <c r="AS99" s="3">
        <v>-1.3684468054138534</v>
      </c>
      <c r="AT99" s="3">
        <v>-1.9840858560301058</v>
      </c>
      <c r="AU99" s="3">
        <v>-2.571766171444068</v>
      </c>
      <c r="AV99" s="3">
        <v>-3.1486147665507218</v>
      </c>
      <c r="AW99" s="3">
        <v>-3.7109087755722641</v>
      </c>
      <c r="AX99" s="3">
        <v>-4.2666326574649105</v>
      </c>
      <c r="AY99" s="3">
        <v>-4.8111322934921503</v>
      </c>
    </row>
    <row r="100" spans="2:51" x14ac:dyDescent="0.25">
      <c r="B100" t="s">
        <v>103</v>
      </c>
      <c r="C100" s="3">
        <v>13063.196188531863</v>
      </c>
      <c r="D100" s="3">
        <v>9094.7738237200483</v>
      </c>
      <c r="E100" s="3">
        <v>3549.9395700963196</v>
      </c>
      <c r="F100" s="3">
        <v>8214.9444694556296</v>
      </c>
      <c r="G100" s="3">
        <v>4793.1621451503561</v>
      </c>
      <c r="H100" s="3">
        <v>7800.0963079698759</v>
      </c>
      <c r="I100" s="3">
        <v>5845.3127771080126</v>
      </c>
      <c r="J100" s="3">
        <v>6100.3044477744588</v>
      </c>
      <c r="K100" s="3">
        <v>6721.9310933918241</v>
      </c>
      <c r="L100" s="3">
        <v>5391.6975425082619</v>
      </c>
      <c r="M100" s="3">
        <v>5776.5361182597717</v>
      </c>
      <c r="N100" s="3">
        <v>4373.5362892961384</v>
      </c>
      <c r="O100" s="3">
        <v>4106.8886384365742</v>
      </c>
      <c r="P100" s="3">
        <v>3550.8809202400098</v>
      </c>
      <c r="Q100" s="3">
        <v>3041.1384816406771</v>
      </c>
      <c r="R100" s="3">
        <v>3028.2971088612248</v>
      </c>
      <c r="S100" s="3">
        <v>2650.5937946036192</v>
      </c>
      <c r="T100" s="3">
        <v>2704.7536803571529</v>
      </c>
      <c r="U100" s="3">
        <v>2508.7423975488509</v>
      </c>
      <c r="V100" s="3">
        <v>2363.7164968901379</v>
      </c>
      <c r="W100" s="3">
        <v>2189.0124693856815</v>
      </c>
      <c r="X100" s="3">
        <v>1884.8007762103953</v>
      </c>
      <c r="Y100" s="3">
        <v>1659.3619265319394</v>
      </c>
      <c r="Z100" s="3">
        <v>1338.2357450190684</v>
      </c>
      <c r="AA100" s="3">
        <v>1081.8270605172547</v>
      </c>
      <c r="AB100" s="3">
        <v>828.74112177258576</v>
      </c>
      <c r="AC100" s="3">
        <v>602.90015760140159</v>
      </c>
      <c r="AD100" s="3">
        <v>430.85804669483696</v>
      </c>
      <c r="AE100" s="3">
        <v>263.06127287130948</v>
      </c>
      <c r="AF100" s="3">
        <v>133.74496655943221</v>
      </c>
      <c r="AG100" s="3">
        <v>-0.64376040843126248</v>
      </c>
      <c r="AH100" s="3">
        <v>-132.75763199256471</v>
      </c>
      <c r="AI100" s="3">
        <v>-272.1189851384479</v>
      </c>
      <c r="AJ100" s="3">
        <v>-426.17640232423582</v>
      </c>
      <c r="AK100" s="3">
        <v>-581.89002346213965</v>
      </c>
      <c r="AL100" s="3">
        <v>-743.56796547587874</v>
      </c>
      <c r="AM100" s="3">
        <v>-897.49703415581462</v>
      </c>
      <c r="AN100" s="3">
        <v>-1042.4767851915276</v>
      </c>
      <c r="AO100" s="3">
        <v>-1175.1567951754369</v>
      </c>
      <c r="AP100" s="3">
        <v>-1294.148099833139</v>
      </c>
      <c r="AQ100" s="3">
        <v>-1403.8896430103487</v>
      </c>
      <c r="AR100" s="3">
        <v>-1505.3413569418917</v>
      </c>
      <c r="AS100" s="3">
        <v>-1603.5048310968414</v>
      </c>
      <c r="AT100" s="3">
        <v>-1700.1002401979495</v>
      </c>
      <c r="AU100" s="3">
        <v>-1796.7011216588398</v>
      </c>
      <c r="AV100" s="3">
        <v>-1893.8472420059734</v>
      </c>
      <c r="AW100" s="3">
        <v>-1990.2624461201522</v>
      </c>
      <c r="AX100" s="3">
        <v>-2085.1776276981582</v>
      </c>
      <c r="AY100" s="3">
        <v>-2176.814374965812</v>
      </c>
    </row>
    <row r="101" spans="2:51" x14ac:dyDescent="0.25">
      <c r="B101" t="s">
        <v>104</v>
      </c>
      <c r="C101" s="3">
        <v>1191.5016057172961</v>
      </c>
      <c r="D101" s="3">
        <v>310.26714558132522</v>
      </c>
      <c r="E101" s="3">
        <v>-263.16934317926058</v>
      </c>
      <c r="F101" s="3">
        <v>-230.55800634179596</v>
      </c>
      <c r="G101" s="3">
        <v>-387.81671912806883</v>
      </c>
      <c r="H101" s="3">
        <v>147.39027169669598</v>
      </c>
      <c r="I101" s="3">
        <v>-91.379209715149472</v>
      </c>
      <c r="J101" s="3">
        <v>72.096906656987414</v>
      </c>
      <c r="K101" s="3">
        <v>107.75984967189939</v>
      </c>
      <c r="L101" s="3">
        <v>93.837284280644269</v>
      </c>
      <c r="M101" s="3">
        <v>145.92381896534837</v>
      </c>
      <c r="N101" s="3">
        <v>0.15152425839329453</v>
      </c>
      <c r="O101" s="3">
        <v>6.065959774276223</v>
      </c>
      <c r="P101" s="3">
        <v>-57.740463284614407</v>
      </c>
      <c r="Q101" s="3">
        <v>-67.760189348854624</v>
      </c>
      <c r="R101" s="3">
        <v>-59.861724482629654</v>
      </c>
      <c r="S101" s="3">
        <v>-69.999224698891823</v>
      </c>
      <c r="T101" s="3">
        <v>-32.344362824937548</v>
      </c>
      <c r="U101" s="3">
        <v>-23.82983594493129</v>
      </c>
      <c r="V101" s="3">
        <v>1.4617739142347546</v>
      </c>
      <c r="W101" s="3">
        <v>10.19500583422672</v>
      </c>
      <c r="X101" s="3">
        <v>8.621314537433534</v>
      </c>
      <c r="Y101" s="3">
        <v>6.5348559885833311</v>
      </c>
      <c r="Z101" s="3">
        <v>-9.3042877148297407</v>
      </c>
      <c r="AA101" s="3">
        <v>-19.616818462065453</v>
      </c>
      <c r="AB101" s="3">
        <v>-33.030474258596143</v>
      </c>
      <c r="AC101" s="3">
        <v>-40.368800132235208</v>
      </c>
      <c r="AD101" s="3">
        <v>-42.182991259296671</v>
      </c>
      <c r="AE101" s="3">
        <v>-41.117445918346107</v>
      </c>
      <c r="AF101" s="3">
        <v>-35.267661602756903</v>
      </c>
      <c r="AG101" s="3">
        <v>-30.325276003735212</v>
      </c>
      <c r="AH101" s="3">
        <v>-25.338698614338341</v>
      </c>
      <c r="AI101" s="3">
        <v>-22.959476335681757</v>
      </c>
      <c r="AJ101" s="3">
        <v>-23.224083855552465</v>
      </c>
      <c r="AK101" s="3">
        <v>-25.295327179267247</v>
      </c>
      <c r="AL101" s="3">
        <v>-29.150942056904455</v>
      </c>
      <c r="AM101" s="3">
        <v>-32.957940336183015</v>
      </c>
      <c r="AN101" s="3">
        <v>-36.475419790253</v>
      </c>
      <c r="AO101" s="3">
        <v>-38.810327261812574</v>
      </c>
      <c r="AP101" s="3">
        <v>-39.843793468224248</v>
      </c>
      <c r="AQ101" s="3">
        <v>-39.831304716179091</v>
      </c>
      <c r="AR101" s="3">
        <v>-38.965396733466719</v>
      </c>
      <c r="AS101" s="3">
        <v>-37.919705971106225</v>
      </c>
      <c r="AT101" s="3">
        <v>-37.002228195144369</v>
      </c>
      <c r="AU101" s="3">
        <v>-36.604178908735662</v>
      </c>
      <c r="AV101" s="3">
        <v>-36.841071331919181</v>
      </c>
      <c r="AW101" s="3">
        <v>-37.635099630740569</v>
      </c>
      <c r="AX101" s="3">
        <v>-38.840087248743828</v>
      </c>
      <c r="AY101" s="3">
        <v>-40.157165284516225</v>
      </c>
    </row>
    <row r="102" spans="2:51" x14ac:dyDescent="0.25">
      <c r="B102" t="s">
        <v>105</v>
      </c>
      <c r="C102" s="3">
        <v>203.51289482089084</v>
      </c>
      <c r="D102" s="3">
        <v>45.636318034129559</v>
      </c>
      <c r="E102" s="3">
        <v>-42.60762328271494</v>
      </c>
      <c r="F102" s="3">
        <v>-27.45283033672602</v>
      </c>
      <c r="G102" s="3">
        <v>-1.5191842430358484</v>
      </c>
      <c r="H102" s="3">
        <v>30.395035870717713</v>
      </c>
      <c r="I102" s="3">
        <v>7.2821695837954081</v>
      </c>
      <c r="J102" s="3">
        <v>21.829063868906033</v>
      </c>
      <c r="K102" s="3">
        <v>33.205024492625682</v>
      </c>
      <c r="L102" s="3">
        <v>37.471487926386544</v>
      </c>
      <c r="M102" s="3">
        <v>36.495741812165242</v>
      </c>
      <c r="N102" s="3">
        <v>23.439824013953071</v>
      </c>
      <c r="O102" s="3">
        <v>20.985974319164498</v>
      </c>
      <c r="P102" s="3">
        <v>14.679196510719322</v>
      </c>
      <c r="Q102" s="3">
        <v>11.630239624146313</v>
      </c>
      <c r="R102" s="3">
        <v>9.1736798865269122</v>
      </c>
      <c r="S102" s="3">
        <v>7.147873667344129</v>
      </c>
      <c r="T102" s="3">
        <v>9.1420469707103393</v>
      </c>
      <c r="U102" s="3">
        <v>10.328412003969746</v>
      </c>
      <c r="V102" s="3">
        <v>12.886575800782865</v>
      </c>
      <c r="W102" s="3">
        <v>14.208274798148025</v>
      </c>
      <c r="X102" s="3">
        <v>14.618609321005053</v>
      </c>
      <c r="Y102" s="3">
        <v>14.268809021720898</v>
      </c>
      <c r="Z102" s="3">
        <v>12.462527236489677</v>
      </c>
      <c r="AA102" s="3">
        <v>10.494621422484897</v>
      </c>
      <c r="AB102" s="3">
        <v>8.1879570199619565</v>
      </c>
      <c r="AC102" s="3">
        <v>6.4565431778004836</v>
      </c>
      <c r="AD102" s="3">
        <v>5.3916082952481048</v>
      </c>
      <c r="AE102" s="3">
        <v>4.9173750707341526</v>
      </c>
      <c r="AF102" s="3">
        <v>5.044027127096129</v>
      </c>
      <c r="AG102" s="3">
        <v>5.3139643323917909</v>
      </c>
      <c r="AH102" s="3">
        <v>5.6430344853425822</v>
      </c>
      <c r="AI102" s="3">
        <v>5.7447053445502547</v>
      </c>
      <c r="AJ102" s="3">
        <v>5.5618015592914247</v>
      </c>
      <c r="AK102" s="3">
        <v>5.1173916966215103</v>
      </c>
      <c r="AL102" s="3">
        <v>4.4438664064220035</v>
      </c>
      <c r="AM102" s="3">
        <v>3.6951971578419034</v>
      </c>
      <c r="AN102" s="3">
        <v>2.9413651841900474</v>
      </c>
      <c r="AO102" s="3">
        <v>2.2913987336457922</v>
      </c>
      <c r="AP102" s="3">
        <v>1.7897017140803939</v>
      </c>
      <c r="AQ102" s="3">
        <v>1.4437592883008108</v>
      </c>
      <c r="AR102" s="3">
        <v>1.2383005864310803</v>
      </c>
      <c r="AS102" s="3">
        <v>1.1124189135456675</v>
      </c>
      <c r="AT102" s="3">
        <v>1.0152052763514234</v>
      </c>
      <c r="AU102" s="3">
        <v>0.88856608595114039</v>
      </c>
      <c r="AV102" s="3">
        <v>0.69971935257203199</v>
      </c>
      <c r="AW102" s="3">
        <v>0.43961293101364163</v>
      </c>
      <c r="AX102" s="3">
        <v>0.11889121256106705</v>
      </c>
      <c r="AY102" s="3">
        <v>-0.23164868968282804</v>
      </c>
    </row>
    <row r="103" spans="2:51" x14ac:dyDescent="0.25">
      <c r="B103" t="s">
        <v>106</v>
      </c>
      <c r="C103" s="3">
        <v>2128.2412395391839</v>
      </c>
      <c r="D103" s="3">
        <v>590.89925316595179</v>
      </c>
      <c r="E103" s="3">
        <v>-497.49326364875253</v>
      </c>
      <c r="F103" s="3">
        <v>288.40565327410218</v>
      </c>
      <c r="G103" s="3">
        <v>-130.35730333974891</v>
      </c>
      <c r="H103" s="3">
        <v>522.24518373922388</v>
      </c>
      <c r="I103" s="3">
        <v>151.8673115753727</v>
      </c>
      <c r="J103" s="3">
        <v>308.49907199068207</v>
      </c>
      <c r="K103" s="3">
        <v>459.41918644717884</v>
      </c>
      <c r="L103" s="3">
        <v>330.46167050628901</v>
      </c>
      <c r="M103" s="3">
        <v>425.10945252573083</v>
      </c>
      <c r="N103" s="3">
        <v>204.49324256698742</v>
      </c>
      <c r="O103" s="3">
        <v>209.65515174300822</v>
      </c>
      <c r="P103" s="3">
        <v>139.4333783171835</v>
      </c>
      <c r="Q103" s="3">
        <v>92.803848766569445</v>
      </c>
      <c r="R103" s="3">
        <v>107.78564069278877</v>
      </c>
      <c r="S103" s="3">
        <v>68.231464414171342</v>
      </c>
      <c r="T103" s="3">
        <v>108.23968593078303</v>
      </c>
      <c r="U103" s="3">
        <v>105.61741504690372</v>
      </c>
      <c r="V103" s="3">
        <v>120.91771746337645</v>
      </c>
      <c r="W103" s="3">
        <v>125.91584201342357</v>
      </c>
      <c r="X103" s="3">
        <v>110.43323790436625</v>
      </c>
      <c r="Y103" s="3">
        <v>102.75416087928738</v>
      </c>
      <c r="Z103" s="3">
        <v>73.674073401132091</v>
      </c>
      <c r="AA103" s="3">
        <v>52.688414607047662</v>
      </c>
      <c r="AB103" s="3">
        <v>28.571449299522328</v>
      </c>
      <c r="AC103" s="3">
        <v>9.9816707383390622</v>
      </c>
      <c r="AD103" s="3">
        <v>0.41800716461557386</v>
      </c>
      <c r="AE103" s="3">
        <v>-7.1591265932790975</v>
      </c>
      <c r="AF103" s="3">
        <v>-7.5237223026974789</v>
      </c>
      <c r="AG103" s="3">
        <v>-8.9562685020630397</v>
      </c>
      <c r="AH103" s="3">
        <v>-10.138010250486332</v>
      </c>
      <c r="AI103" s="3">
        <v>-13.71591262901029</v>
      </c>
      <c r="AJ103" s="3">
        <v>-20.694380840417352</v>
      </c>
      <c r="AK103" s="3">
        <v>-29.178607050491109</v>
      </c>
      <c r="AL103" s="3">
        <v>-39.812632782969786</v>
      </c>
      <c r="AM103" s="3">
        <v>-50.101689218279034</v>
      </c>
      <c r="AN103" s="3">
        <v>-59.83897674062473</v>
      </c>
      <c r="AO103" s="3">
        <v>-68.112588498791411</v>
      </c>
      <c r="AP103" s="3">
        <v>-74.56977475279291</v>
      </c>
      <c r="AQ103" s="3">
        <v>-79.710269444444975</v>
      </c>
      <c r="AR103" s="3">
        <v>-83.595245006698178</v>
      </c>
      <c r="AS103" s="3">
        <v>-87.085764417456176</v>
      </c>
      <c r="AT103" s="3">
        <v>-90.530799990717469</v>
      </c>
      <c r="AU103" s="3">
        <v>-94.372271268943223</v>
      </c>
      <c r="AV103" s="3">
        <v>-98.815469814093603</v>
      </c>
      <c r="AW103" s="3">
        <v>-103.74395993241023</v>
      </c>
      <c r="AX103" s="3">
        <v>-109.03849370922171</v>
      </c>
      <c r="AY103" s="3">
        <v>-114.33996486120895</v>
      </c>
    </row>
    <row r="104" spans="2:51" x14ac:dyDescent="0.25">
      <c r="B104" t="s">
        <v>107</v>
      </c>
      <c r="C104" s="3">
        <v>329.94237310925564</v>
      </c>
      <c r="D104" s="3">
        <v>6.1653328883681553</v>
      </c>
      <c r="E104" s="3">
        <v>-311.0633341880515</v>
      </c>
      <c r="F104" s="3">
        <v>-146.96484803629795</v>
      </c>
      <c r="G104" s="3">
        <v>-202.99517330183198</v>
      </c>
      <c r="H104" s="3">
        <v>-121.62289751564465</v>
      </c>
      <c r="I104" s="3">
        <v>-134.24873662814019</v>
      </c>
      <c r="J104" s="3">
        <v>-80.945804708527461</v>
      </c>
      <c r="K104" s="3">
        <v>10.727846515378516</v>
      </c>
      <c r="L104" s="3">
        <v>16.582303485158448</v>
      </c>
      <c r="M104" s="3">
        <v>41.496877778469369</v>
      </c>
      <c r="N104" s="3">
        <v>11.217040949712185</v>
      </c>
      <c r="O104" s="3">
        <v>-1.9991305282833167</v>
      </c>
      <c r="P104" s="3">
        <v>-22.451183879415964</v>
      </c>
      <c r="Q104" s="3">
        <v>-51.226718962305533</v>
      </c>
      <c r="R104" s="3">
        <v>-63.969203757848959</v>
      </c>
      <c r="S104" s="3">
        <v>-79.82834624546058</v>
      </c>
      <c r="T104" s="3">
        <v>-76.006267176520041</v>
      </c>
      <c r="U104" s="3">
        <v>-68.566687695225355</v>
      </c>
      <c r="V104" s="3">
        <v>-55.694449820038344</v>
      </c>
      <c r="W104" s="3">
        <v>-40.901491229206243</v>
      </c>
      <c r="X104" s="3">
        <v>-32.271319611688668</v>
      </c>
      <c r="Y104" s="3">
        <v>-26.643104692583705</v>
      </c>
      <c r="Z104" s="3">
        <v>-29.378988135068411</v>
      </c>
      <c r="AA104" s="3">
        <v>-35.880358124613835</v>
      </c>
      <c r="AB104" s="3">
        <v>-44.776347593443944</v>
      </c>
      <c r="AC104" s="3">
        <v>-53.521953099497281</v>
      </c>
      <c r="AD104" s="3">
        <v>-59.170971586437069</v>
      </c>
      <c r="AE104" s="3">
        <v>-62.203017143911275</v>
      </c>
      <c r="AF104" s="3">
        <v>-61.744856721097122</v>
      </c>
      <c r="AG104" s="3">
        <v>-59.441414732738238</v>
      </c>
      <c r="AH104" s="3">
        <v>-56.228726497992604</v>
      </c>
      <c r="AI104" s="3">
        <v>-53.194836646946534</v>
      </c>
      <c r="AJ104" s="3">
        <v>-51.363876162135178</v>
      </c>
      <c r="AK104" s="3">
        <v>-50.792870553304908</v>
      </c>
      <c r="AL104" s="3">
        <v>-51.682507393192765</v>
      </c>
      <c r="AM104" s="3">
        <v>-53.528950395549593</v>
      </c>
      <c r="AN104" s="3">
        <v>-55.894436723952353</v>
      </c>
      <c r="AO104" s="3">
        <v>-58.262240128553707</v>
      </c>
      <c r="AP104" s="3">
        <v>-60.141097786780477</v>
      </c>
      <c r="AQ104" s="3">
        <v>-61.336932887822428</v>
      </c>
      <c r="AR104" s="3">
        <v>-61.742287343891277</v>
      </c>
      <c r="AS104" s="3">
        <v>-61.535638033000083</v>
      </c>
      <c r="AT104" s="3">
        <v>-60.973102644600985</v>
      </c>
      <c r="AU104" s="3">
        <v>-60.362366213989951</v>
      </c>
      <c r="AV104" s="3">
        <v>-59.979793464071264</v>
      </c>
      <c r="AW104" s="3">
        <v>-59.965573101473609</v>
      </c>
      <c r="AX104" s="3">
        <v>-60.357998238672138</v>
      </c>
      <c r="AY104" s="3">
        <v>-61.061405634118145</v>
      </c>
    </row>
    <row r="105" spans="2:51" x14ac:dyDescent="0.25">
      <c r="B105" t="s">
        <v>108</v>
      </c>
      <c r="C105" s="3">
        <v>378.49301872216677</v>
      </c>
      <c r="D105" s="3">
        <v>295.71218621632022</v>
      </c>
      <c r="E105" s="3">
        <v>146.79646697748717</v>
      </c>
      <c r="F105" s="3">
        <v>245.2502254060422</v>
      </c>
      <c r="G105" s="3">
        <v>190.91827189251558</v>
      </c>
      <c r="H105" s="3">
        <v>269.7041446729159</v>
      </c>
      <c r="I105" s="3">
        <v>239.31712170039387</v>
      </c>
      <c r="J105" s="3">
        <v>245.96930766215473</v>
      </c>
      <c r="K105" s="3">
        <v>264.93705077327667</v>
      </c>
      <c r="L105" s="3">
        <v>235.36922372050617</v>
      </c>
      <c r="M105" s="3">
        <v>240.63095483342673</v>
      </c>
      <c r="N105" s="3">
        <v>204.06070669041122</v>
      </c>
      <c r="O105" s="3">
        <v>191.56881122558417</v>
      </c>
      <c r="P105" s="3">
        <v>176.1216318177604</v>
      </c>
      <c r="Q105" s="3">
        <v>163.31339365165687</v>
      </c>
      <c r="R105" s="3">
        <v>164.39309148443451</v>
      </c>
      <c r="S105" s="3">
        <v>158.94135770711972</v>
      </c>
      <c r="T105" s="3">
        <v>163.77888027133721</v>
      </c>
      <c r="U105" s="3">
        <v>163.19800742813214</v>
      </c>
      <c r="V105" s="3">
        <v>162.40829743427446</v>
      </c>
      <c r="W105" s="3">
        <v>159.76104028346856</v>
      </c>
      <c r="X105" s="3">
        <v>152.79778168526747</v>
      </c>
      <c r="Y105" s="3">
        <v>146.73954834798695</v>
      </c>
      <c r="Z105" s="3">
        <v>138.26081804319625</v>
      </c>
      <c r="AA105" s="3">
        <v>131.29929110604144</v>
      </c>
      <c r="AB105" s="3">
        <v>124.9689201419136</v>
      </c>
      <c r="AC105" s="3">
        <v>119.82611449157224</v>
      </c>
      <c r="AD105" s="3">
        <v>116.50140501069643</v>
      </c>
      <c r="AE105" s="3">
        <v>113.68162058737107</v>
      </c>
      <c r="AF105" s="3">
        <v>111.88432312724706</v>
      </c>
      <c r="AG105" s="3">
        <v>109.93550489529747</v>
      </c>
      <c r="AH105" s="3">
        <v>107.79216826231618</v>
      </c>
      <c r="AI105" s="3">
        <v>105.18008268539262</v>
      </c>
      <c r="AJ105" s="3">
        <v>101.913699748238</v>
      </c>
      <c r="AK105" s="3">
        <v>98.363784134199193</v>
      </c>
      <c r="AL105" s="3">
        <v>94.554568768875356</v>
      </c>
      <c r="AM105" s="3">
        <v>90.913023647272041</v>
      </c>
      <c r="AN105" s="3">
        <v>87.57680755809514</v>
      </c>
      <c r="AO105" s="3">
        <v>84.671293235258759</v>
      </c>
      <c r="AP105" s="3">
        <v>82.236093224179115</v>
      </c>
      <c r="AQ105" s="3">
        <v>80.131040615613756</v>
      </c>
      <c r="AR105" s="3">
        <v>78.268778295899722</v>
      </c>
      <c r="AS105" s="3">
        <v>76.469774618462679</v>
      </c>
      <c r="AT105" s="3">
        <v>74.639386329480601</v>
      </c>
      <c r="AU105" s="3">
        <v>72.715597348531901</v>
      </c>
      <c r="AV105" s="3">
        <v>70.685190682996677</v>
      </c>
      <c r="AW105" s="3">
        <v>68.599053946521224</v>
      </c>
      <c r="AX105" s="3">
        <v>66.508622070206115</v>
      </c>
      <c r="AY105" s="3">
        <v>64.488409066357974</v>
      </c>
    </row>
    <row r="106" spans="2:51" x14ac:dyDescent="0.25">
      <c r="B106" t="s">
        <v>109</v>
      </c>
      <c r="C106" s="3">
        <v>888.37491286104682</v>
      </c>
      <c r="D106" s="3">
        <v>310.37368985695088</v>
      </c>
      <c r="E106" s="3">
        <v>61.431236889310185</v>
      </c>
      <c r="F106" s="3">
        <v>363.89360761957926</v>
      </c>
      <c r="G106" s="3">
        <v>231.05941971857328</v>
      </c>
      <c r="H106" s="3">
        <v>390.64343093799721</v>
      </c>
      <c r="I106" s="3">
        <v>245.37078052797796</v>
      </c>
      <c r="J106" s="3">
        <v>332.42030598065799</v>
      </c>
      <c r="K106" s="3">
        <v>360.73032284606421</v>
      </c>
      <c r="L106" s="3">
        <v>302.79234130341092</v>
      </c>
      <c r="M106" s="3">
        <v>310.60375603537318</v>
      </c>
      <c r="N106" s="3">
        <v>224.96760595658981</v>
      </c>
      <c r="O106" s="3">
        <v>219.43223269792981</v>
      </c>
      <c r="P106" s="3">
        <v>180.65178945154713</v>
      </c>
      <c r="Q106" s="3">
        <v>160.91379248604193</v>
      </c>
      <c r="R106" s="3">
        <v>161.66215762136721</v>
      </c>
      <c r="S106" s="3">
        <v>151.07131380322778</v>
      </c>
      <c r="T106" s="3">
        <v>166.92610481945189</v>
      </c>
      <c r="U106" s="3">
        <v>166.25717257556835</v>
      </c>
      <c r="V106" s="3">
        <v>171.29357430737548</v>
      </c>
      <c r="W106" s="3">
        <v>169.24105987679047</v>
      </c>
      <c r="X106" s="3">
        <v>160.15864228480052</v>
      </c>
      <c r="Y106" s="3">
        <v>152.20772475269655</v>
      </c>
      <c r="Z106" s="3">
        <v>137.41397401846586</v>
      </c>
      <c r="AA106" s="3">
        <v>126.41638301620173</v>
      </c>
      <c r="AB106" s="3">
        <v>115.15721596735636</v>
      </c>
      <c r="AC106" s="3">
        <v>107.21487874602713</v>
      </c>
      <c r="AD106" s="3">
        <v>102.76164078463137</v>
      </c>
      <c r="AE106" s="3">
        <v>99.560652990359927</v>
      </c>
      <c r="AF106" s="3">
        <v>98.844555116016977</v>
      </c>
      <c r="AG106" s="3">
        <v>97.569412913669794</v>
      </c>
      <c r="AH106" s="3">
        <v>96.143689139959406</v>
      </c>
      <c r="AI106" s="3">
        <v>93.444529970395592</v>
      </c>
      <c r="AJ106" s="3">
        <v>89.345393422810844</v>
      </c>
      <c r="AK106" s="3">
        <v>84.506471037795905</v>
      </c>
      <c r="AL106" s="3">
        <v>78.927564061047065</v>
      </c>
      <c r="AM106" s="3">
        <v>73.614527153656127</v>
      </c>
      <c r="AN106" s="3">
        <v>68.728072398836048</v>
      </c>
      <c r="AO106" s="3">
        <v>64.665322150484599</v>
      </c>
      <c r="AP106" s="3">
        <v>61.480434953358554</v>
      </c>
      <c r="AQ106" s="3">
        <v>58.942010397730655</v>
      </c>
      <c r="AR106" s="3">
        <v>56.905847117888811</v>
      </c>
      <c r="AS106" s="3">
        <v>54.979341860547152</v>
      </c>
      <c r="AT106" s="3">
        <v>52.986056957915139</v>
      </c>
      <c r="AU106" s="3">
        <v>50.748554355721922</v>
      </c>
      <c r="AV106" s="3">
        <v>48.22817726839105</v>
      </c>
      <c r="AW106" s="3">
        <v>45.506763405412698</v>
      </c>
      <c r="AX106" s="3">
        <v>42.681980607407695</v>
      </c>
      <c r="AY106" s="3">
        <v>39.920661804429983</v>
      </c>
    </row>
    <row r="107" spans="2:51" x14ac:dyDescent="0.25">
      <c r="B107" t="s">
        <v>110</v>
      </c>
      <c r="C107" s="3">
        <v>351.91750889617538</v>
      </c>
      <c r="D107" s="3">
        <v>135.43550089334735</v>
      </c>
      <c r="E107" s="3">
        <v>-30.941669705048128</v>
      </c>
      <c r="F107" s="3">
        <v>45.849885912123241</v>
      </c>
      <c r="G107" s="3">
        <v>12.111617950522529</v>
      </c>
      <c r="H107" s="3">
        <v>82.221709801594301</v>
      </c>
      <c r="I107" s="3">
        <v>45.600193714810302</v>
      </c>
      <c r="J107" s="3">
        <v>70.482614333730595</v>
      </c>
      <c r="K107" s="3">
        <v>88.732336002544443</v>
      </c>
      <c r="L107" s="3">
        <v>76.295320524485589</v>
      </c>
      <c r="M107" s="3">
        <v>83.316528310950957</v>
      </c>
      <c r="N107" s="3">
        <v>57.161386328886806</v>
      </c>
      <c r="O107" s="3">
        <v>55.177981758921391</v>
      </c>
      <c r="P107" s="3">
        <v>46.074556293422745</v>
      </c>
      <c r="Q107" s="3">
        <v>41.759976280366658</v>
      </c>
      <c r="R107" s="3">
        <v>44.389598748721482</v>
      </c>
      <c r="S107" s="3">
        <v>41.982938051561945</v>
      </c>
      <c r="T107" s="3">
        <v>47.490864730990893</v>
      </c>
      <c r="U107" s="3">
        <v>47.832014388868629</v>
      </c>
      <c r="V107" s="3">
        <v>49.421510497243531</v>
      </c>
      <c r="W107" s="3">
        <v>49.141088022370042</v>
      </c>
      <c r="X107" s="3">
        <v>46.481620889976398</v>
      </c>
      <c r="Y107" s="3">
        <v>44.444861348740233</v>
      </c>
      <c r="Z107" s="3">
        <v>40.26544627971748</v>
      </c>
      <c r="AA107" s="3">
        <v>37.125576962934929</v>
      </c>
      <c r="AB107" s="3">
        <v>33.866946506106842</v>
      </c>
      <c r="AC107" s="3">
        <v>31.478407580632279</v>
      </c>
      <c r="AD107" s="3">
        <v>30.227467196657273</v>
      </c>
      <c r="AE107" s="3">
        <v>29.354502130992216</v>
      </c>
      <c r="AF107" s="3">
        <v>29.285949906291364</v>
      </c>
      <c r="AG107" s="3">
        <v>29.059844208604488</v>
      </c>
      <c r="AH107" s="3">
        <v>28.747789207091046</v>
      </c>
      <c r="AI107" s="3">
        <v>28.023202180886699</v>
      </c>
      <c r="AJ107" s="3">
        <v>26.812188131493599</v>
      </c>
      <c r="AK107" s="3">
        <v>25.3579224849517</v>
      </c>
      <c r="AL107" s="3">
        <v>23.672054538439568</v>
      </c>
      <c r="AM107" s="3">
        <v>22.081102613960866</v>
      </c>
      <c r="AN107" s="3">
        <v>20.644596683061991</v>
      </c>
      <c r="AO107" s="3">
        <v>19.469151047835851</v>
      </c>
      <c r="AP107" s="3">
        <v>18.567848034417864</v>
      </c>
      <c r="AQ107" s="3">
        <v>17.854753329406037</v>
      </c>
      <c r="AR107" s="3">
        <v>17.284125593448323</v>
      </c>
      <c r="AS107" s="3">
        <v>16.736675717523553</v>
      </c>
      <c r="AT107" s="3">
        <v>16.161221289152877</v>
      </c>
      <c r="AU107" s="3">
        <v>15.509622217035371</v>
      </c>
      <c r="AV107" s="3">
        <v>14.770700457151236</v>
      </c>
      <c r="AW107" s="3">
        <v>13.971107008742251</v>
      </c>
      <c r="AX107" s="3">
        <v>13.139330336358171</v>
      </c>
      <c r="AY107" s="3">
        <v>12.325713893085094</v>
      </c>
    </row>
    <row r="108" spans="2:51" x14ac:dyDescent="0.25">
      <c r="B108" t="s">
        <v>111</v>
      </c>
      <c r="C108" s="3">
        <v>236.66587469231109</v>
      </c>
      <c r="D108" s="3">
        <v>76.100531873390509</v>
      </c>
      <c r="E108" s="3">
        <v>22.232126626051048</v>
      </c>
      <c r="F108" s="3">
        <v>131.03619631514999</v>
      </c>
      <c r="G108" s="3">
        <v>70.162140536470758</v>
      </c>
      <c r="H108" s="3">
        <v>135.29941483140746</v>
      </c>
      <c r="I108" s="3">
        <v>81.081574870706078</v>
      </c>
      <c r="J108" s="3">
        <v>96.403487694176064</v>
      </c>
      <c r="K108" s="3">
        <v>94.88167828753852</v>
      </c>
      <c r="L108" s="3">
        <v>67.809641788648506</v>
      </c>
      <c r="M108" s="3">
        <v>75.439190836977019</v>
      </c>
      <c r="N108" s="3">
        <v>50.189301456855446</v>
      </c>
      <c r="O108" s="3">
        <v>55.794899528110108</v>
      </c>
      <c r="P108" s="3">
        <v>50.720442930581235</v>
      </c>
      <c r="Q108" s="3">
        <v>51.20793289432882</v>
      </c>
      <c r="R108" s="3">
        <v>57.855985222771324</v>
      </c>
      <c r="S108" s="3">
        <v>56.552365237281421</v>
      </c>
      <c r="T108" s="3">
        <v>62.422811942275544</v>
      </c>
      <c r="U108" s="3">
        <v>60.323481365572661</v>
      </c>
      <c r="V108" s="3">
        <v>59.467787180149202</v>
      </c>
      <c r="W108" s="3">
        <v>56.575287398746568</v>
      </c>
      <c r="X108" s="3">
        <v>52.044722963940558</v>
      </c>
      <c r="Y108" s="3">
        <v>49.625868348540777</v>
      </c>
      <c r="Z108" s="3">
        <v>46.090191517914676</v>
      </c>
      <c r="AA108" s="3">
        <v>44.926918835693257</v>
      </c>
      <c r="AB108" s="3">
        <v>43.987757665630653</v>
      </c>
      <c r="AC108" s="3">
        <v>43.878126398618292</v>
      </c>
      <c r="AD108" s="3">
        <v>44.35334305767185</v>
      </c>
      <c r="AE108" s="3">
        <v>44.376828171250423</v>
      </c>
      <c r="AF108" s="3">
        <v>44.554097566905511</v>
      </c>
      <c r="AG108" s="3">
        <v>44.015310868120778</v>
      </c>
      <c r="AH108" s="3">
        <v>43.230483826034984</v>
      </c>
      <c r="AI108" s="3">
        <v>42.099019229013919</v>
      </c>
      <c r="AJ108" s="3">
        <v>40.746546110338173</v>
      </c>
      <c r="AK108" s="3">
        <v>39.506259021899638</v>
      </c>
      <c r="AL108" s="3">
        <v>38.329134206531279</v>
      </c>
      <c r="AM108" s="3">
        <v>37.472894671899383</v>
      </c>
      <c r="AN108" s="3">
        <v>36.847049597996374</v>
      </c>
      <c r="AO108" s="3">
        <v>36.447953286489536</v>
      </c>
      <c r="AP108" s="3">
        <v>36.194472201905057</v>
      </c>
      <c r="AQ108" s="3">
        <v>35.948838197273858</v>
      </c>
      <c r="AR108" s="3">
        <v>35.671223862312246</v>
      </c>
      <c r="AS108" s="3">
        <v>35.273723148474005</v>
      </c>
      <c r="AT108" s="3">
        <v>34.772722286829605</v>
      </c>
      <c r="AU108" s="3">
        <v>34.185549645291644</v>
      </c>
      <c r="AV108" s="3">
        <v>33.557851127710052</v>
      </c>
      <c r="AW108" s="3">
        <v>32.94952621016597</v>
      </c>
      <c r="AX108" s="3">
        <v>32.391443472009996</v>
      </c>
      <c r="AY108" s="3">
        <v>31.914971781286482</v>
      </c>
    </row>
    <row r="109" spans="2:51" x14ac:dyDescent="0.25">
      <c r="B109" t="s">
        <v>112</v>
      </c>
      <c r="C109" s="3">
        <v>100.11582502323512</v>
      </c>
      <c r="D109" s="3">
        <v>74.19223054795809</v>
      </c>
      <c r="E109" s="3">
        <v>-9.2794558714671993</v>
      </c>
      <c r="F109" s="3">
        <v>28.079505228269621</v>
      </c>
      <c r="G109" s="3">
        <v>-9.578378853828255</v>
      </c>
      <c r="H109" s="3">
        <v>38.747182500372837</v>
      </c>
      <c r="I109" s="3">
        <v>31.775580718679016</v>
      </c>
      <c r="J109" s="3">
        <v>35.730664944316118</v>
      </c>
      <c r="K109" s="3">
        <v>48.032956831705867</v>
      </c>
      <c r="L109" s="3">
        <v>37.639231749053579</v>
      </c>
      <c r="M109" s="3">
        <v>45.471425773785228</v>
      </c>
      <c r="N109" s="3">
        <v>31.619719735910216</v>
      </c>
      <c r="O109" s="3">
        <v>28.411256800625139</v>
      </c>
      <c r="P109" s="3">
        <v>23.84640947618928</v>
      </c>
      <c r="Q109" s="3">
        <v>19.378918188045908</v>
      </c>
      <c r="R109" s="3">
        <v>21.352151876242019</v>
      </c>
      <c r="S109" s="3">
        <v>19.432943084408691</v>
      </c>
      <c r="T109" s="3">
        <v>22.576679120682954</v>
      </c>
      <c r="U109" s="3">
        <v>23.525295392350216</v>
      </c>
      <c r="V109" s="3">
        <v>24.736965130490589</v>
      </c>
      <c r="W109" s="3">
        <v>25.538821548873827</v>
      </c>
      <c r="X109" s="3">
        <v>24.298249824646732</v>
      </c>
      <c r="Y109" s="3">
        <v>23.497943868515634</v>
      </c>
      <c r="Z109" s="3">
        <v>21.302024276575693</v>
      </c>
      <c r="AA109" s="3">
        <v>19.548083023987274</v>
      </c>
      <c r="AB109" s="3">
        <v>17.854056319080343</v>
      </c>
      <c r="AC109" s="3">
        <v>16.50126208791086</v>
      </c>
      <c r="AD109" s="3">
        <v>15.936212578461408</v>
      </c>
      <c r="AE109" s="3">
        <v>15.562151438351393</v>
      </c>
      <c r="AF109" s="3">
        <v>15.695594269120704</v>
      </c>
      <c r="AG109" s="3">
        <v>15.792612407560739</v>
      </c>
      <c r="AH109" s="3">
        <v>15.830500522048311</v>
      </c>
      <c r="AI109" s="3">
        <v>15.681496168185546</v>
      </c>
      <c r="AJ109" s="3">
        <v>15.223258292094769</v>
      </c>
      <c r="AK109" s="3">
        <v>14.614799064066645</v>
      </c>
      <c r="AL109" s="3">
        <v>13.833819946471166</v>
      </c>
      <c r="AM109" s="3">
        <v>13.062768805248879</v>
      </c>
      <c r="AN109" s="3">
        <v>12.35777823038481</v>
      </c>
      <c r="AO109" s="3">
        <v>11.778586506603645</v>
      </c>
      <c r="AP109" s="3">
        <v>11.362226081654669</v>
      </c>
      <c r="AQ109" s="3">
        <v>11.06174085776054</v>
      </c>
      <c r="AR109" s="3">
        <v>10.858695905552736</v>
      </c>
      <c r="AS109" s="3">
        <v>10.682883464847862</v>
      </c>
      <c r="AT109" s="3">
        <v>10.494999415267344</v>
      </c>
      <c r="AU109" s="3">
        <v>10.263171836878925</v>
      </c>
      <c r="AV109" s="3">
        <v>9.9713414063520247</v>
      </c>
      <c r="AW109" s="3">
        <v>9.6332635805897269</v>
      </c>
      <c r="AX109" s="3">
        <v>9.2639489545558433</v>
      </c>
      <c r="AY109" s="3">
        <v>8.8938065080680531</v>
      </c>
    </row>
    <row r="110" spans="2:51" x14ac:dyDescent="0.25">
      <c r="B110" t="s">
        <v>113</v>
      </c>
      <c r="C110" s="3">
        <v>2578.4127761838254</v>
      </c>
      <c r="D110" s="3">
        <v>1216.8502115036083</v>
      </c>
      <c r="E110" s="3">
        <v>337.2492942385029</v>
      </c>
      <c r="F110" s="3">
        <v>1413.9279241243764</v>
      </c>
      <c r="G110" s="3">
        <v>569.61160595950105</v>
      </c>
      <c r="H110" s="3">
        <v>1439.747445021213</v>
      </c>
      <c r="I110" s="3">
        <v>875.43061333662399</v>
      </c>
      <c r="J110" s="3">
        <v>1100.3652732313203</v>
      </c>
      <c r="K110" s="3">
        <v>1172.4035711571896</v>
      </c>
      <c r="L110" s="3">
        <v>913.29324577494208</v>
      </c>
      <c r="M110" s="3">
        <v>1032.4981741317774</v>
      </c>
      <c r="N110" s="3">
        <v>701.63267623196361</v>
      </c>
      <c r="O110" s="3">
        <v>703.81731486007766</v>
      </c>
      <c r="P110" s="3">
        <v>570.71747809726867</v>
      </c>
      <c r="Q110" s="3">
        <v>496.96331261146906</v>
      </c>
      <c r="R110" s="3">
        <v>511.01100554998629</v>
      </c>
      <c r="S110" s="3">
        <v>444.96024299310557</v>
      </c>
      <c r="T110" s="3">
        <v>487.34342350914494</v>
      </c>
      <c r="U110" s="3">
        <v>454.78645954693093</v>
      </c>
      <c r="V110" s="3">
        <v>448.0223879027958</v>
      </c>
      <c r="W110" s="3">
        <v>421.42222839682245</v>
      </c>
      <c r="X110" s="3">
        <v>369.33168040373403</v>
      </c>
      <c r="Y110" s="3">
        <v>333.40831030105073</v>
      </c>
      <c r="Z110" s="3">
        <v>272.80811290509291</v>
      </c>
      <c r="AA110" s="3">
        <v>231.0067712710993</v>
      </c>
      <c r="AB110" s="3">
        <v>186.8271853600495</v>
      </c>
      <c r="AC110" s="3">
        <v>151.72669603390977</v>
      </c>
      <c r="AD110" s="3">
        <v>127.51342719523745</v>
      </c>
      <c r="AE110" s="3">
        <v>103.85625426549404</v>
      </c>
      <c r="AF110" s="3">
        <v>88.684543222711909</v>
      </c>
      <c r="AG110" s="3">
        <v>70.505423674174835</v>
      </c>
      <c r="AH110" s="3">
        <v>52.764071242537284</v>
      </c>
      <c r="AI110" s="3">
        <v>32.071864875619667</v>
      </c>
      <c r="AJ110" s="3">
        <v>7.811013232498226</v>
      </c>
      <c r="AK110" s="3">
        <v>-17.189160371617618</v>
      </c>
      <c r="AL110" s="3">
        <v>-43.917748215902066</v>
      </c>
      <c r="AM110" s="3">
        <v>-68.878467742280009</v>
      </c>
      <c r="AN110" s="3">
        <v>-92.19276808710265</v>
      </c>
      <c r="AO110" s="3">
        <v>-112.80690271641879</v>
      </c>
      <c r="AP110" s="3">
        <v>-130.64090806023432</v>
      </c>
      <c r="AQ110" s="3">
        <v>-146.67998932608998</v>
      </c>
      <c r="AR110" s="3">
        <v>-161.1552719238266</v>
      </c>
      <c r="AS110" s="3">
        <v>-175.30902998859438</v>
      </c>
      <c r="AT110" s="3">
        <v>-189.44927992965222</v>
      </c>
      <c r="AU110" s="3">
        <v>-203.98859949119651</v>
      </c>
      <c r="AV110" s="3">
        <v>-218.96624884003131</v>
      </c>
      <c r="AW110" s="3">
        <v>-234.05642987026204</v>
      </c>
      <c r="AX110" s="3">
        <v>-249.0414720507265</v>
      </c>
      <c r="AY110" s="3">
        <v>-263.46275896965562</v>
      </c>
    </row>
    <row r="111" spans="2:51" x14ac:dyDescent="0.25">
      <c r="B111" t="s">
        <v>114</v>
      </c>
      <c r="C111" s="3">
        <v>1153.0492399759551</v>
      </c>
      <c r="D111" s="3">
        <v>139.23869041921233</v>
      </c>
      <c r="E111" s="3">
        <v>-162.79544773609041</v>
      </c>
      <c r="F111" s="3">
        <v>865.7429881385234</v>
      </c>
      <c r="G111" s="3">
        <v>323.69083227649088</v>
      </c>
      <c r="H111" s="3">
        <v>512.94558139128026</v>
      </c>
      <c r="I111" s="3">
        <v>252.60075467657748</v>
      </c>
      <c r="J111" s="3">
        <v>327.41515104762175</v>
      </c>
      <c r="K111" s="3">
        <v>406.59344307648701</v>
      </c>
      <c r="L111" s="3">
        <v>224.66428873267216</v>
      </c>
      <c r="M111" s="3">
        <v>302.19805598399921</v>
      </c>
      <c r="N111" s="3">
        <v>193.06753852699558</v>
      </c>
      <c r="O111" s="3">
        <v>228.94404930900271</v>
      </c>
      <c r="P111" s="3">
        <v>214.48773332833605</v>
      </c>
      <c r="Q111" s="3">
        <v>189.79747599619793</v>
      </c>
      <c r="R111" s="3">
        <v>218.03341189145863</v>
      </c>
      <c r="S111" s="3">
        <v>190.24752634689673</v>
      </c>
      <c r="T111" s="3">
        <v>207.38995638187691</v>
      </c>
      <c r="U111" s="3">
        <v>187.83116986536538</v>
      </c>
      <c r="V111" s="3">
        <v>174.78936982551863</v>
      </c>
      <c r="W111" s="3">
        <v>163.14116842633132</v>
      </c>
      <c r="X111" s="3">
        <v>141.11423399657633</v>
      </c>
      <c r="Y111" s="3">
        <v>134.23964608275128</v>
      </c>
      <c r="Z111" s="3">
        <v>118.72426184143694</v>
      </c>
      <c r="AA111" s="3">
        <v>112.50862022213016</v>
      </c>
      <c r="AB111" s="3">
        <v>105.67868997079756</v>
      </c>
      <c r="AC111" s="3">
        <v>99.150507752812359</v>
      </c>
      <c r="AD111" s="3">
        <v>95.417047873133697</v>
      </c>
      <c r="AE111" s="3">
        <v>88.374649192939728</v>
      </c>
      <c r="AF111" s="3">
        <v>83.345665482025652</v>
      </c>
      <c r="AG111" s="3">
        <v>76.207346067201911</v>
      </c>
      <c r="AH111" s="3">
        <v>69.136725160683113</v>
      </c>
      <c r="AI111" s="3">
        <v>61.931224452404649</v>
      </c>
      <c r="AJ111" s="3">
        <v>54.10646223535116</v>
      </c>
      <c r="AK111" s="3">
        <v>47.276687117328379</v>
      </c>
      <c r="AL111" s="3">
        <v>40.451655116251686</v>
      </c>
      <c r="AM111" s="3">
        <v>34.702214832034201</v>
      </c>
      <c r="AN111" s="3">
        <v>29.542874361801182</v>
      </c>
      <c r="AO111" s="3">
        <v>24.908971213676637</v>
      </c>
      <c r="AP111" s="3">
        <v>20.751272636198905</v>
      </c>
      <c r="AQ111" s="3">
        <v>16.537100373996168</v>
      </c>
      <c r="AR111" s="3">
        <v>12.38025892012206</v>
      </c>
      <c r="AS111" s="3">
        <v>7.9985674667731246</v>
      </c>
      <c r="AT111" s="3">
        <v>3.5281066861149384</v>
      </c>
      <c r="AU111" s="3">
        <v>-0.95134012633809562</v>
      </c>
      <c r="AV111" s="3">
        <v>-5.3611845664523798</v>
      </c>
      <c r="AW111" s="3">
        <v>-9.5294420844654724</v>
      </c>
      <c r="AX111" s="3">
        <v>-13.459163718181344</v>
      </c>
      <c r="AY111" s="3">
        <v>-17.088393239908783</v>
      </c>
    </row>
    <row r="112" spans="2:51" x14ac:dyDescent="0.25">
      <c r="B112" t="s">
        <v>115</v>
      </c>
      <c r="C112" s="3">
        <v>1188.4574430470307</v>
      </c>
      <c r="D112" s="3">
        <v>643.10075080337629</v>
      </c>
      <c r="E112" s="3">
        <v>-107.99073803651868</v>
      </c>
      <c r="F112" s="3">
        <v>368.99785867151598</v>
      </c>
      <c r="G112" s="3">
        <v>234.79775747284884</v>
      </c>
      <c r="H112" s="3">
        <v>590.22128468991593</v>
      </c>
      <c r="I112" s="3">
        <v>369.77786881754992</v>
      </c>
      <c r="J112" s="3">
        <v>422.23825890600301</v>
      </c>
      <c r="K112" s="3">
        <v>463.9352866994036</v>
      </c>
      <c r="L112" s="3">
        <v>344.8949569286367</v>
      </c>
      <c r="M112" s="3">
        <v>358.19070977502895</v>
      </c>
      <c r="N112" s="3">
        <v>212.35085105218252</v>
      </c>
      <c r="O112" s="3">
        <v>198.38622460535294</v>
      </c>
      <c r="P112" s="3">
        <v>158.28551994515078</v>
      </c>
      <c r="Q112" s="3">
        <v>141.65455151380115</v>
      </c>
      <c r="R112" s="3">
        <v>166.52697920851665</v>
      </c>
      <c r="S112" s="3">
        <v>160.48715985577928</v>
      </c>
      <c r="T112" s="3">
        <v>190.9144507033925</v>
      </c>
      <c r="U112" s="3">
        <v>188.95169841382608</v>
      </c>
      <c r="V112" s="3">
        <v>187.02650886816855</v>
      </c>
      <c r="W112" s="3">
        <v>173.66784790119164</v>
      </c>
      <c r="X112" s="3">
        <v>147.06901592983922</v>
      </c>
      <c r="Y112" s="3">
        <v>127.05772681999224</v>
      </c>
      <c r="Z112" s="3">
        <v>100.26718600958998</v>
      </c>
      <c r="AA112" s="3">
        <v>83.258147434828061</v>
      </c>
      <c r="AB112" s="3">
        <v>69.114035599807266</v>
      </c>
      <c r="AC112" s="3">
        <v>60.448988167432844</v>
      </c>
      <c r="AD112" s="3">
        <v>57.313144070534236</v>
      </c>
      <c r="AE112" s="3">
        <v>54.243697212158168</v>
      </c>
      <c r="AF112" s="3">
        <v>53.227748634306636</v>
      </c>
      <c r="AG112" s="3">
        <v>49.590955427242307</v>
      </c>
      <c r="AH112" s="3">
        <v>44.329827935225467</v>
      </c>
      <c r="AI112" s="3">
        <v>36.692646263361439</v>
      </c>
      <c r="AJ112" s="3">
        <v>26.862625189740356</v>
      </c>
      <c r="AK112" s="3">
        <v>16.603494688133196</v>
      </c>
      <c r="AL112" s="3">
        <v>6.0989522213571945</v>
      </c>
      <c r="AM112" s="3">
        <v>-3.027899426997692</v>
      </c>
      <c r="AN112" s="3">
        <v>-10.676653833162845</v>
      </c>
      <c r="AO112" s="3">
        <v>-16.641147621757227</v>
      </c>
      <c r="AP112" s="3">
        <v>-21.159252116377957</v>
      </c>
      <c r="AQ112" s="3">
        <v>-24.96929191244817</v>
      </c>
      <c r="AR112" s="3">
        <v>-28.465836997189172</v>
      </c>
      <c r="AS112" s="3">
        <v>-32.295553095226069</v>
      </c>
      <c r="AT112" s="3">
        <v>-36.630107328916438</v>
      </c>
      <c r="AU112" s="3">
        <v>-41.528825815531718</v>
      </c>
      <c r="AV112" s="3">
        <v>-46.848036337697295</v>
      </c>
      <c r="AW112" s="3">
        <v>-52.27453514788067</v>
      </c>
      <c r="AX112" s="3">
        <v>-57.568823805879902</v>
      </c>
      <c r="AY112" s="3">
        <v>-62.46623650717288</v>
      </c>
    </row>
    <row r="113" spans="2:51" x14ac:dyDescent="0.25">
      <c r="B113" t="s">
        <v>116</v>
      </c>
      <c r="C113" s="3">
        <v>283.94139667252858</v>
      </c>
      <c r="D113" s="3">
        <v>-0.1657815073347777</v>
      </c>
      <c r="E113" s="3">
        <v>-251.61513470041029</v>
      </c>
      <c r="F113" s="3">
        <v>363.88556697940896</v>
      </c>
      <c r="G113" s="3">
        <v>62.758360380055777</v>
      </c>
      <c r="H113" s="3">
        <v>203.51458078317086</v>
      </c>
      <c r="I113" s="3">
        <v>33.938253047390845</v>
      </c>
      <c r="J113" s="3">
        <v>63.016169072328182</v>
      </c>
      <c r="K113" s="3">
        <v>115.24802919525085</v>
      </c>
      <c r="L113" s="3">
        <v>10.415192911427852</v>
      </c>
      <c r="M113" s="3">
        <v>67.545007401998433</v>
      </c>
      <c r="N113" s="3">
        <v>12.024995695789642</v>
      </c>
      <c r="O113" s="3">
        <v>46.186485580567961</v>
      </c>
      <c r="P113" s="3">
        <v>50.856233860949359</v>
      </c>
      <c r="Q113" s="3">
        <v>44.60691807829744</v>
      </c>
      <c r="R113" s="3">
        <v>68.207950802838113</v>
      </c>
      <c r="S113" s="3">
        <v>53.745737570515502</v>
      </c>
      <c r="T113" s="3">
        <v>65.002133278766507</v>
      </c>
      <c r="U113" s="3">
        <v>53.473939678112927</v>
      </c>
      <c r="V113" s="3">
        <v>46.071990898109334</v>
      </c>
      <c r="W113" s="3">
        <v>41.06871300274706</v>
      </c>
      <c r="X113" s="3">
        <v>30.872896684509215</v>
      </c>
      <c r="Y113" s="3">
        <v>31.351351411354358</v>
      </c>
      <c r="Z113" s="3">
        <v>27.315791566418483</v>
      </c>
      <c r="AA113" s="3">
        <v>29.103850622895521</v>
      </c>
      <c r="AB113" s="3">
        <v>30.243473626443233</v>
      </c>
      <c r="AC113" s="3">
        <v>30.75569304169376</v>
      </c>
      <c r="AD113" s="3">
        <v>32.159116062514784</v>
      </c>
      <c r="AE113" s="3">
        <v>30.676556565770014</v>
      </c>
      <c r="AF113" s="3">
        <v>29.810326828159191</v>
      </c>
      <c r="AG113" s="3">
        <v>27.345059939295936</v>
      </c>
      <c r="AH113" s="3">
        <v>24.881390730098943</v>
      </c>
      <c r="AI113" s="3">
        <v>22.561344462732677</v>
      </c>
      <c r="AJ113" s="3">
        <v>20.16427700822949</v>
      </c>
      <c r="AK113" s="3">
        <v>18.684383216549222</v>
      </c>
      <c r="AL113" s="3">
        <v>17.397092921077501</v>
      </c>
      <c r="AM113" s="3">
        <v>16.795036003252747</v>
      </c>
      <c r="AN113" s="3">
        <v>16.42933616360753</v>
      </c>
      <c r="AO113" s="3">
        <v>16.135075116201676</v>
      </c>
      <c r="AP113" s="3">
        <v>15.838700082290686</v>
      </c>
      <c r="AQ113" s="3">
        <v>15.224629388173696</v>
      </c>
      <c r="AR113" s="3">
        <v>14.428518923261109</v>
      </c>
      <c r="AS113" s="3">
        <v>13.36567541618632</v>
      </c>
      <c r="AT113" s="3">
        <v>12.202120292985285</v>
      </c>
      <c r="AU113" s="3">
        <v>11.050463673143753</v>
      </c>
      <c r="AV113" s="3">
        <v>9.9862117549353115</v>
      </c>
      <c r="AW113" s="3">
        <v>9.112456352286415</v>
      </c>
      <c r="AX113" s="3">
        <v>8.3994354582037403</v>
      </c>
      <c r="AY113" s="3">
        <v>7.8453328570278416</v>
      </c>
    </row>
    <row r="114" spans="2:51" x14ac:dyDescent="0.25">
      <c r="B114" t="s">
        <v>117</v>
      </c>
      <c r="C114" s="3">
        <v>2052.0551330229346</v>
      </c>
      <c r="D114" s="3">
        <v>622.94442900963395</v>
      </c>
      <c r="E114" s="3">
        <v>-298.74824815066393</v>
      </c>
      <c r="F114" s="3">
        <v>666.75646993277371</v>
      </c>
      <c r="G114" s="3">
        <v>250.08245626717303</v>
      </c>
      <c r="H114" s="3">
        <v>860.29081864399097</v>
      </c>
      <c r="I114" s="3">
        <v>393.93251594937601</v>
      </c>
      <c r="J114" s="3">
        <v>547.49844315491146</v>
      </c>
      <c r="K114" s="3">
        <v>597.4536112251028</v>
      </c>
      <c r="L114" s="3">
        <v>421.42305658841019</v>
      </c>
      <c r="M114" s="3">
        <v>490.20958261997248</v>
      </c>
      <c r="N114" s="3">
        <v>269.81016146058982</v>
      </c>
      <c r="O114" s="3">
        <v>297.0657737461911</v>
      </c>
      <c r="P114" s="3">
        <v>239.54638388887474</v>
      </c>
      <c r="Q114" s="3">
        <v>222.95784245844084</v>
      </c>
      <c r="R114" s="3">
        <v>258.83739939812449</v>
      </c>
      <c r="S114" s="3">
        <v>233.54081769719733</v>
      </c>
      <c r="T114" s="3">
        <v>275.2649816785015</v>
      </c>
      <c r="U114" s="3">
        <v>258.63153199282874</v>
      </c>
      <c r="V114" s="3">
        <v>255.78462950699259</v>
      </c>
      <c r="W114" s="3">
        <v>237.83802313190131</v>
      </c>
      <c r="X114" s="3">
        <v>204.87102458039726</v>
      </c>
      <c r="Y114" s="3">
        <v>186.17216084424831</v>
      </c>
      <c r="Z114" s="3">
        <v>153.96190477698383</v>
      </c>
      <c r="AA114" s="3">
        <v>137.18811828403818</v>
      </c>
      <c r="AB114" s="3">
        <v>119.97048780355021</v>
      </c>
      <c r="AC114" s="3">
        <v>109.08508906756879</v>
      </c>
      <c r="AD114" s="3">
        <v>104.39262346397254</v>
      </c>
      <c r="AE114" s="3">
        <v>98.210962055931986</v>
      </c>
      <c r="AF114" s="3">
        <v>95.727277543815717</v>
      </c>
      <c r="AG114" s="3">
        <v>89.351520094097168</v>
      </c>
      <c r="AH114" s="3">
        <v>82.076363125772104</v>
      </c>
      <c r="AI114" s="3">
        <v>72.227673457964556</v>
      </c>
      <c r="AJ114" s="3">
        <v>60.077886354258681</v>
      </c>
      <c r="AK114" s="3">
        <v>47.987007714635183</v>
      </c>
      <c r="AL114" s="3">
        <v>35.465475165048929</v>
      </c>
      <c r="AM114" s="3">
        <v>24.806477085105371</v>
      </c>
      <c r="AN114" s="3">
        <v>15.611487358392651</v>
      </c>
      <c r="AO114" s="3">
        <v>8.2266883801953554</v>
      </c>
      <c r="AP114" s="3">
        <v>2.3428952585081788</v>
      </c>
      <c r="AQ114" s="3">
        <v>-2.9395853378543961</v>
      </c>
      <c r="AR114" s="3">
        <v>-7.8546063088906521</v>
      </c>
      <c r="AS114" s="3">
        <v>-13.177856466850926</v>
      </c>
      <c r="AT114" s="3">
        <v>-18.941721817136795</v>
      </c>
      <c r="AU114" s="3">
        <v>-25.219462814372719</v>
      </c>
      <c r="AV114" s="3">
        <v>-31.847463297216109</v>
      </c>
      <c r="AW114" s="3">
        <v>-38.480993891467961</v>
      </c>
      <c r="AX114" s="3">
        <v>-44.927234404716501</v>
      </c>
      <c r="AY114" s="3">
        <v>-50.90100953769047</v>
      </c>
    </row>
    <row r="115" spans="2:51" x14ac:dyDescent="0.25">
      <c r="B115" t="s">
        <v>118</v>
      </c>
      <c r="C115" s="3">
        <v>646.43395549706702</v>
      </c>
      <c r="D115" s="3">
        <v>171.27988222687452</v>
      </c>
      <c r="E115" s="3">
        <v>343.32566846999714</v>
      </c>
      <c r="F115" s="3">
        <v>708.87378646586217</v>
      </c>
      <c r="G115" s="3">
        <v>314.31292500146367</v>
      </c>
      <c r="H115" s="3">
        <v>497.40230822335661</v>
      </c>
      <c r="I115" s="3">
        <v>366.58232388532974</v>
      </c>
      <c r="J115" s="3">
        <v>443.85942595484244</v>
      </c>
      <c r="K115" s="3">
        <v>435.55201005079709</v>
      </c>
      <c r="L115" s="3">
        <v>346.51495898426356</v>
      </c>
      <c r="M115" s="3">
        <v>386.21712602185369</v>
      </c>
      <c r="N115" s="3">
        <v>307.08853216780028</v>
      </c>
      <c r="O115" s="3">
        <v>315.17207787457062</v>
      </c>
      <c r="P115" s="3">
        <v>275.59416857004624</v>
      </c>
      <c r="Q115" s="3">
        <v>252.23770218305549</v>
      </c>
      <c r="R115" s="3">
        <v>253.33794713075736</v>
      </c>
      <c r="S115" s="3">
        <v>232.07540509840419</v>
      </c>
      <c r="T115" s="3">
        <v>240.05240750854523</v>
      </c>
      <c r="U115" s="3">
        <v>226.2369186786143</v>
      </c>
      <c r="V115" s="3">
        <v>220.84877388369091</v>
      </c>
      <c r="W115" s="3">
        <v>210.75401816896033</v>
      </c>
      <c r="X115" s="3">
        <v>194.70161878849103</v>
      </c>
      <c r="Y115" s="3">
        <v>183.88679515571766</v>
      </c>
      <c r="Z115" s="3">
        <v>166.85636075560024</v>
      </c>
      <c r="AA115" s="3">
        <v>155.64102270451599</v>
      </c>
      <c r="AB115" s="3">
        <v>143.61159939400295</v>
      </c>
      <c r="AC115" s="3">
        <v>133.64694599436712</v>
      </c>
      <c r="AD115" s="3">
        <v>125.91828095000801</v>
      </c>
      <c r="AE115" s="3">
        <v>117.71124706117484</v>
      </c>
      <c r="AF115" s="3">
        <v>111.53379743580126</v>
      </c>
      <c r="AG115" s="3">
        <v>104.47777662286353</v>
      </c>
      <c r="AH115" s="3">
        <v>97.82794353350846</v>
      </c>
      <c r="AI115" s="3">
        <v>90.755684930213874</v>
      </c>
      <c r="AJ115" s="3">
        <v>83.131467878611602</v>
      </c>
      <c r="AK115" s="3">
        <v>75.627259540175146</v>
      </c>
      <c r="AL115" s="3">
        <v>67.805200634785251</v>
      </c>
      <c r="AM115" s="3">
        <v>60.496379537436042</v>
      </c>
      <c r="AN115" s="3">
        <v>53.55196039111479</v>
      </c>
      <c r="AO115" s="3">
        <v>47.228582295302431</v>
      </c>
      <c r="AP115" s="3">
        <v>41.543762237305145</v>
      </c>
      <c r="AQ115" s="3">
        <v>36.260507779014688</v>
      </c>
      <c r="AR115" s="3">
        <v>31.367485449369951</v>
      </c>
      <c r="AS115" s="3">
        <v>26.572983783735708</v>
      </c>
      <c r="AT115" s="3">
        <v>21.842423391891543</v>
      </c>
      <c r="AU115" s="3">
        <v>17.091370153102616</v>
      </c>
      <c r="AV115" s="3">
        <v>12.322645057440695</v>
      </c>
      <c r="AW115" s="3">
        <v>7.6179214457679336</v>
      </c>
      <c r="AX115" s="3">
        <v>3.0123679678226836</v>
      </c>
      <c r="AY115" s="3">
        <v>-1.40014280301898</v>
      </c>
    </row>
    <row r="116" spans="2:51" x14ac:dyDescent="0.25">
      <c r="B116" t="s">
        <v>119</v>
      </c>
      <c r="C116" s="3">
        <v>496.81640503830499</v>
      </c>
      <c r="D116" s="3">
        <v>211.22163037984024</v>
      </c>
      <c r="E116" s="3">
        <v>51.185779117969275</v>
      </c>
      <c r="F116" s="3">
        <v>302.55106176164662</v>
      </c>
      <c r="G116" s="3">
        <v>11.087372758555659</v>
      </c>
      <c r="H116" s="3">
        <v>299.86964501444839</v>
      </c>
      <c r="I116" s="3">
        <v>162.01082265041453</v>
      </c>
      <c r="J116" s="3">
        <v>222.72811694115268</v>
      </c>
      <c r="K116" s="3">
        <v>242.10308584472824</v>
      </c>
      <c r="L116" s="3">
        <v>171.85242931738384</v>
      </c>
      <c r="M116" s="3">
        <v>221.31007989301355</v>
      </c>
      <c r="N116" s="3">
        <v>134.65770859520529</v>
      </c>
      <c r="O116" s="3">
        <v>143.78488561149629</v>
      </c>
      <c r="P116" s="3">
        <v>112.72535060698652</v>
      </c>
      <c r="Q116" s="3">
        <v>97.650397474581666</v>
      </c>
      <c r="R116" s="3">
        <v>108.2405093353903</v>
      </c>
      <c r="S116" s="3">
        <v>93.157249801343255</v>
      </c>
      <c r="T116" s="3">
        <v>109.59022606579299</v>
      </c>
      <c r="U116" s="3">
        <v>104.028120941368</v>
      </c>
      <c r="V116" s="3">
        <v>106.35800140292258</v>
      </c>
      <c r="W116" s="3">
        <v>103.39072675802254</v>
      </c>
      <c r="X116" s="3">
        <v>92.806757812288765</v>
      </c>
      <c r="Y116" s="3">
        <v>87.168364153870698</v>
      </c>
      <c r="Z116" s="3">
        <v>74.186895904601897</v>
      </c>
      <c r="AA116" s="3">
        <v>66.651091398545077</v>
      </c>
      <c r="AB116" s="3">
        <v>58.215773941063276</v>
      </c>
      <c r="AC116" s="3">
        <v>52.075688502398862</v>
      </c>
      <c r="AD116" s="3">
        <v>48.840826879163387</v>
      </c>
      <c r="AE116" s="3">
        <v>45.404159263262272</v>
      </c>
      <c r="AF116" s="3">
        <v>44.20692447752549</v>
      </c>
      <c r="AG116" s="3">
        <v>41.933759210325888</v>
      </c>
      <c r="AH116" s="3">
        <v>39.695214353764527</v>
      </c>
      <c r="AI116" s="3">
        <v>36.596782514052052</v>
      </c>
      <c r="AJ116" s="3">
        <v>32.469422919016097</v>
      </c>
      <c r="AK116" s="3">
        <v>28.151114900821995</v>
      </c>
      <c r="AL116" s="3">
        <v>23.290029336838302</v>
      </c>
      <c r="AM116" s="3">
        <v>18.860449292512271</v>
      </c>
      <c r="AN116" s="3">
        <v>14.778781930783452</v>
      </c>
      <c r="AO116" s="3">
        <v>11.323938851572393</v>
      </c>
      <c r="AP116" s="3">
        <v>8.5240766920031774</v>
      </c>
      <c r="AQ116" s="3">
        <v>6.1047828794215775</v>
      </c>
      <c r="AR116" s="3">
        <v>4.0314883986794712</v>
      </c>
      <c r="AS116" s="3">
        <v>1.9686292179586644</v>
      </c>
      <c r="AT116" s="3">
        <v>-0.15062214799729645</v>
      </c>
      <c r="AU116" s="3">
        <v>-2.4324369197175884</v>
      </c>
      <c r="AV116" s="3">
        <v>-4.8851397840513755</v>
      </c>
      <c r="AW116" s="3">
        <v>-7.4149777670901358</v>
      </c>
      <c r="AX116" s="3">
        <v>-9.9663274348489495</v>
      </c>
      <c r="AY116" s="3">
        <v>-12.413415636312038</v>
      </c>
    </row>
    <row r="117" spans="2:51" x14ac:dyDescent="0.25">
      <c r="B117" t="s">
        <v>120</v>
      </c>
      <c r="C117" s="3">
        <v>970.66113499866424</v>
      </c>
      <c r="D117" s="3">
        <v>572.49648931450781</v>
      </c>
      <c r="E117" s="3">
        <v>367.71496148820751</v>
      </c>
      <c r="F117" s="3">
        <v>421.28331800296468</v>
      </c>
      <c r="G117" s="3">
        <v>305.76818523430518</v>
      </c>
      <c r="H117" s="3">
        <v>678.49237965998293</v>
      </c>
      <c r="I117" s="3">
        <v>449.34345824586921</v>
      </c>
      <c r="J117" s="3">
        <v>493.72918684636511</v>
      </c>
      <c r="K117" s="3">
        <v>460.67912932746253</v>
      </c>
      <c r="L117" s="3">
        <v>423.44993556431064</v>
      </c>
      <c r="M117" s="3">
        <v>447.28507833125923</v>
      </c>
      <c r="N117" s="3">
        <v>332.43206695547929</v>
      </c>
      <c r="O117" s="3">
        <v>335.30746085625003</v>
      </c>
      <c r="P117" s="3">
        <v>290.21155603770956</v>
      </c>
      <c r="Q117" s="3">
        <v>286.32442016998698</v>
      </c>
      <c r="R117" s="3">
        <v>290.93537193831605</v>
      </c>
      <c r="S117" s="3">
        <v>276.04130608738285</v>
      </c>
      <c r="T117" s="3">
        <v>289.47383409505369</v>
      </c>
      <c r="U117" s="3">
        <v>276.18971089957506</v>
      </c>
      <c r="V117" s="3">
        <v>272.7884597701468</v>
      </c>
      <c r="W117" s="3">
        <v>257.50085675174591</v>
      </c>
      <c r="X117" s="3">
        <v>238.26760934555682</v>
      </c>
      <c r="Y117" s="3">
        <v>223.66730062110787</v>
      </c>
      <c r="Z117" s="3">
        <v>204.01169998835837</v>
      </c>
      <c r="AA117" s="3">
        <v>191.99889940227661</v>
      </c>
      <c r="AB117" s="3">
        <v>179.08349000271448</v>
      </c>
      <c r="AC117" s="3">
        <v>170.17704209615465</v>
      </c>
      <c r="AD117" s="3">
        <v>163.54782815509191</v>
      </c>
      <c r="AE117" s="3">
        <v>156.93238905927865</v>
      </c>
      <c r="AF117" s="3">
        <v>152.05582999092451</v>
      </c>
      <c r="AG117" s="3">
        <v>145.5218280328113</v>
      </c>
      <c r="AH117" s="3">
        <v>138.94546172219202</v>
      </c>
      <c r="AI117" s="3">
        <v>131.09914316406821</v>
      </c>
      <c r="AJ117" s="3">
        <v>122.43834226446552</v>
      </c>
      <c r="AK117" s="3">
        <v>113.721342282058</v>
      </c>
      <c r="AL117" s="3">
        <v>104.86963069709373</v>
      </c>
      <c r="AM117" s="3">
        <v>96.951240990226324</v>
      </c>
      <c r="AN117" s="3">
        <v>89.766825511611387</v>
      </c>
      <c r="AO117" s="3">
        <v>83.602023097854499</v>
      </c>
      <c r="AP117" s="3">
        <v>78.237521255951833</v>
      </c>
      <c r="AQ117" s="3">
        <v>73.317267288429775</v>
      </c>
      <c r="AR117" s="3">
        <v>68.679771197459559</v>
      </c>
      <c r="AS117" s="3">
        <v>63.94676828499837</v>
      </c>
      <c r="AT117" s="3">
        <v>59.095646209778579</v>
      </c>
      <c r="AU117" s="3">
        <v>54.058732378294735</v>
      </c>
      <c r="AV117" s="3">
        <v>48.928063278881609</v>
      </c>
      <c r="AW117" s="3">
        <v>43.849103905439279</v>
      </c>
      <c r="AX117" s="3">
        <v>38.921476032983719</v>
      </c>
      <c r="AY117" s="3">
        <v>34.27883565182151</v>
      </c>
    </row>
    <row r="118" spans="2:51" x14ac:dyDescent="0.25">
      <c r="B118" t="s">
        <v>121</v>
      </c>
      <c r="C118" s="3">
        <v>1371.2695155408726</v>
      </c>
      <c r="D118" s="3">
        <v>315.39668374769911</v>
      </c>
      <c r="E118" s="3">
        <v>-562.97865969826285</v>
      </c>
      <c r="F118" s="3">
        <v>1244.9976353115997</v>
      </c>
      <c r="G118" s="3">
        <v>175.22365264029429</v>
      </c>
      <c r="H118" s="3">
        <v>696.06963916969517</v>
      </c>
      <c r="I118" s="3">
        <v>510.24475022144793</v>
      </c>
      <c r="J118" s="3">
        <v>383.17981723714695</v>
      </c>
      <c r="K118" s="3">
        <v>595.46071009428135</v>
      </c>
      <c r="L118" s="3">
        <v>279.33956242653107</v>
      </c>
      <c r="M118" s="3">
        <v>429.23081384206432</v>
      </c>
      <c r="N118" s="3">
        <v>219.01880727867501</v>
      </c>
      <c r="O118" s="3">
        <v>239.28374384060965</v>
      </c>
      <c r="P118" s="3">
        <v>248.03204585305946</v>
      </c>
      <c r="Q118" s="3">
        <v>187.48576288518007</v>
      </c>
      <c r="R118" s="3">
        <v>259.88009586935493</v>
      </c>
      <c r="S118" s="3">
        <v>217.08447906175297</v>
      </c>
      <c r="T118" s="3">
        <v>252.14921704894743</v>
      </c>
      <c r="U118" s="3">
        <v>234.79253776540941</v>
      </c>
      <c r="V118" s="3">
        <v>212.00975998999479</v>
      </c>
      <c r="W118" s="3">
        <v>199.97702045709161</v>
      </c>
      <c r="X118" s="3">
        <v>158.29605429439835</v>
      </c>
      <c r="Y118" s="3">
        <v>145.44321987216267</v>
      </c>
      <c r="Z118" s="3">
        <v>117.66938432930306</v>
      </c>
      <c r="AA118" s="3">
        <v>104.65872607953258</v>
      </c>
      <c r="AB118" s="3">
        <v>95.40857457531763</v>
      </c>
      <c r="AC118" s="3">
        <v>85.494674776635748</v>
      </c>
      <c r="AD118" s="3">
        <v>83.777151238049782</v>
      </c>
      <c r="AE118" s="3">
        <v>76.090745525752141</v>
      </c>
      <c r="AF118" s="3">
        <v>71.668437432243536</v>
      </c>
      <c r="AG118" s="3">
        <v>63.388275465684274</v>
      </c>
      <c r="AH118" s="3">
        <v>53.51240199560948</v>
      </c>
      <c r="AI118" s="3">
        <v>43.141036964250816</v>
      </c>
      <c r="AJ118" s="3">
        <v>30.560381640605556</v>
      </c>
      <c r="AK118" s="3">
        <v>19.530361579367764</v>
      </c>
      <c r="AL118" s="3">
        <v>8.4746708867630787</v>
      </c>
      <c r="AM118" s="3">
        <v>-0.63445945551552541</v>
      </c>
      <c r="AN118" s="3">
        <v>-8.2054390504988532</v>
      </c>
      <c r="AO118" s="3">
        <v>-14.658539770580319</v>
      </c>
      <c r="AP118" s="3">
        <v>-19.911461796903268</v>
      </c>
      <c r="AQ118" s="3">
        <v>-25.173977504668983</v>
      </c>
      <c r="AR118" s="3">
        <v>-30.369070014575072</v>
      </c>
      <c r="AS118" s="3">
        <v>-36.093891454165259</v>
      </c>
      <c r="AT118" s="3">
        <v>-42.269254449655364</v>
      </c>
      <c r="AU118" s="3">
        <v>-48.704578562309052</v>
      </c>
      <c r="AV118" s="3">
        <v>-55.27961633800146</v>
      </c>
      <c r="AW118" s="3">
        <v>-61.581106620622222</v>
      </c>
      <c r="AX118" s="3">
        <v>-67.527426694417045</v>
      </c>
      <c r="AY118" s="3">
        <v>-72.936516203963038</v>
      </c>
    </row>
    <row r="119" spans="2:51" x14ac:dyDescent="0.25">
      <c r="B119" t="s">
        <v>122</v>
      </c>
      <c r="C119" s="3">
        <v>178.51644973518995</v>
      </c>
      <c r="D119" s="3">
        <v>132.54383097456798</v>
      </c>
      <c r="E119" s="3">
        <v>34.229133818533299</v>
      </c>
      <c r="F119" s="3">
        <v>51.025510160005879</v>
      </c>
      <c r="G119" s="3">
        <v>15.278612473155789</v>
      </c>
      <c r="H119" s="3">
        <v>148.94389617179257</v>
      </c>
      <c r="I119" s="3">
        <v>91.048046756675845</v>
      </c>
      <c r="J119" s="3">
        <v>82.828791910892448</v>
      </c>
      <c r="K119" s="3">
        <v>90.012207331240049</v>
      </c>
      <c r="L119" s="3">
        <v>74.922273782905393</v>
      </c>
      <c r="M119" s="3">
        <v>88.338563987327689</v>
      </c>
      <c r="N119" s="3">
        <v>55.255046797751135</v>
      </c>
      <c r="O119" s="3">
        <v>56.121064541910954</v>
      </c>
      <c r="P119" s="3">
        <v>49.618102079719193</v>
      </c>
      <c r="Q119" s="3">
        <v>47.926887601717823</v>
      </c>
      <c r="R119" s="3">
        <v>53.062043260435019</v>
      </c>
      <c r="S119" s="3">
        <v>49.006035799899735</v>
      </c>
      <c r="T119" s="3">
        <v>54.476427912412618</v>
      </c>
      <c r="U119" s="3">
        <v>52.781814148184736</v>
      </c>
      <c r="V119" s="3">
        <v>52.672593806794509</v>
      </c>
      <c r="W119" s="3">
        <v>50.548463499890914</v>
      </c>
      <c r="X119" s="3">
        <v>46.008461449436652</v>
      </c>
      <c r="Y119" s="3">
        <v>43.476054634798032</v>
      </c>
      <c r="Z119" s="3">
        <v>39.144055553487306</v>
      </c>
      <c r="AA119" s="3">
        <v>36.858373237649175</v>
      </c>
      <c r="AB119" s="3">
        <v>34.581016962315573</v>
      </c>
      <c r="AC119" s="3">
        <v>33.126583334339244</v>
      </c>
      <c r="AD119" s="3">
        <v>32.595078282091492</v>
      </c>
      <c r="AE119" s="3">
        <v>31.852828086992076</v>
      </c>
      <c r="AF119" s="3">
        <v>31.595271859329529</v>
      </c>
      <c r="AG119" s="3">
        <v>30.802588223184898</v>
      </c>
      <c r="AH119" s="3">
        <v>29.864951510330002</v>
      </c>
      <c r="AI119" s="3">
        <v>28.594998889188076</v>
      </c>
      <c r="AJ119" s="3">
        <v>27.004205556034776</v>
      </c>
      <c r="AK119" s="3">
        <v>25.422828062367074</v>
      </c>
      <c r="AL119" s="3">
        <v>23.777068054805937</v>
      </c>
      <c r="AM119" s="3">
        <v>22.374300545824866</v>
      </c>
      <c r="AN119" s="3">
        <v>21.167969488808097</v>
      </c>
      <c r="AO119" s="3">
        <v>20.200700360371656</v>
      </c>
      <c r="AP119" s="3">
        <v>19.440086972096822</v>
      </c>
      <c r="AQ119" s="3">
        <v>18.763882688792478</v>
      </c>
      <c r="AR119" s="3">
        <v>18.141841723320482</v>
      </c>
      <c r="AS119" s="3">
        <v>17.467340791871493</v>
      </c>
      <c r="AT119" s="3">
        <v>16.731260246216664</v>
      </c>
      <c r="AU119" s="3">
        <v>15.922616657355434</v>
      </c>
      <c r="AV119" s="3">
        <v>15.061140652479253</v>
      </c>
      <c r="AW119" s="3">
        <v>14.19467602649695</v>
      </c>
      <c r="AX119" s="3">
        <v>13.35049005037888</v>
      </c>
      <c r="AY119" s="3">
        <v>12.568677400506147</v>
      </c>
    </row>
    <row r="120" spans="2:51" x14ac:dyDescent="0.25">
      <c r="B120" t="s">
        <v>123</v>
      </c>
      <c r="C120" s="3">
        <v>389.1842135369377</v>
      </c>
      <c r="D120" s="3">
        <v>-149.88128529722275</v>
      </c>
      <c r="E120" s="3">
        <v>-549.68991280085856</v>
      </c>
      <c r="F120" s="3">
        <v>-705.22638850944111</v>
      </c>
      <c r="G120" s="3">
        <v>-301.2404984428332</v>
      </c>
      <c r="H120" s="3">
        <v>69.469833408395459</v>
      </c>
      <c r="I120" s="3">
        <v>65.114071974685316</v>
      </c>
      <c r="J120" s="3">
        <v>117.55489082476447</v>
      </c>
      <c r="K120" s="3">
        <v>81.734315301580011</v>
      </c>
      <c r="L120" s="3">
        <v>103.12340329105001</v>
      </c>
      <c r="M120" s="3">
        <v>42.787040810372162</v>
      </c>
      <c r="N120" s="3">
        <v>-58.672093404902853</v>
      </c>
      <c r="O120" s="3">
        <v>-107.8913213430219</v>
      </c>
      <c r="P120" s="3">
        <v>-146.52556858300397</v>
      </c>
      <c r="Q120" s="3">
        <v>-127.0275637266372</v>
      </c>
      <c r="R120" s="3">
        <v>-104.38517097267425</v>
      </c>
      <c r="S120" s="3">
        <v>-65.02624164906922</v>
      </c>
      <c r="T120" s="3">
        <v>-18.960069582103586</v>
      </c>
      <c r="U120" s="3">
        <v>13.956767548184359</v>
      </c>
      <c r="V120" s="3">
        <v>38.819248738545809</v>
      </c>
      <c r="W120" s="3">
        <v>39.900832485606827</v>
      </c>
      <c r="X120" s="3">
        <v>30.640262766043293</v>
      </c>
      <c r="Y120" s="3">
        <v>13.117322530677143</v>
      </c>
      <c r="Z120" s="3">
        <v>-5.6504014271087613</v>
      </c>
      <c r="AA120" s="3">
        <v>-18.448732386029064</v>
      </c>
      <c r="AB120" s="3">
        <v>-25.400660736897009</v>
      </c>
      <c r="AC120" s="3">
        <v>-22.759910778380174</v>
      </c>
      <c r="AD120" s="3">
        <v>-14.266600088637631</v>
      </c>
      <c r="AE120" s="3">
        <v>-1.9007386721056037</v>
      </c>
      <c r="AF120" s="3">
        <v>10.950066946710194</v>
      </c>
      <c r="AG120" s="3">
        <v>21.158179895882085</v>
      </c>
      <c r="AH120" s="3">
        <v>27.935549251547684</v>
      </c>
      <c r="AI120" s="3">
        <v>30.242610724415329</v>
      </c>
      <c r="AJ120" s="3">
        <v>29.245840916814529</v>
      </c>
      <c r="AK120" s="3">
        <v>26.076802306676655</v>
      </c>
      <c r="AL120" s="3">
        <v>22.363209930178868</v>
      </c>
      <c r="AM120" s="3">
        <v>19.63297701747598</v>
      </c>
      <c r="AN120" s="3">
        <v>18.624996046681076</v>
      </c>
      <c r="AO120" s="3">
        <v>19.777116701093064</v>
      </c>
      <c r="AP120" s="3">
        <v>22.678683183325461</v>
      </c>
      <c r="AQ120" s="3">
        <v>26.681659158322873</v>
      </c>
      <c r="AR120" s="3">
        <v>30.926598380650603</v>
      </c>
      <c r="AS120" s="3">
        <v>34.620269175490307</v>
      </c>
      <c r="AT120" s="3">
        <v>37.303344195621492</v>
      </c>
      <c r="AU120" s="3">
        <v>38.786329741423799</v>
      </c>
      <c r="AV120" s="3">
        <v>39.258142542698522</v>
      </c>
      <c r="AW120" s="3">
        <v>39.083893863596529</v>
      </c>
      <c r="AX120" s="3">
        <v>38.71669196651618</v>
      </c>
      <c r="AY120" s="3">
        <v>38.561639035732412</v>
      </c>
    </row>
    <row r="121" spans="2:51" x14ac:dyDescent="0.25">
      <c r="B121" t="s">
        <v>124</v>
      </c>
      <c r="C121" s="3">
        <v>2380.0325301821917</v>
      </c>
      <c r="D121" s="3">
        <v>1156.530306921507</v>
      </c>
      <c r="E121" s="3">
        <v>840.32062531295196</v>
      </c>
      <c r="F121" s="3">
        <v>1614.3702695036675</v>
      </c>
      <c r="G121" s="3">
        <v>760.67094843321865</v>
      </c>
      <c r="H121" s="3">
        <v>1716.8007209424627</v>
      </c>
      <c r="I121" s="3">
        <v>1147.340555132796</v>
      </c>
      <c r="J121" s="3">
        <v>1366.0239637950117</v>
      </c>
      <c r="K121" s="3">
        <v>1361.9817746543117</v>
      </c>
      <c r="L121" s="3">
        <v>1139.2631450812787</v>
      </c>
      <c r="M121" s="3">
        <v>1258.2038245883527</v>
      </c>
      <c r="N121" s="3">
        <v>927.95182215568229</v>
      </c>
      <c r="O121" s="3">
        <v>941.19741780656113</v>
      </c>
      <c r="P121" s="3">
        <v>793.15588765403118</v>
      </c>
      <c r="Q121" s="3">
        <v>727.1264129293113</v>
      </c>
      <c r="R121" s="3">
        <v>730.281681299703</v>
      </c>
      <c r="S121" s="3">
        <v>658.87561229840821</v>
      </c>
      <c r="T121" s="3">
        <v>693.14614260188955</v>
      </c>
      <c r="U121" s="3">
        <v>650.25694344328394</v>
      </c>
      <c r="V121" s="3">
        <v>639.67700241653984</v>
      </c>
      <c r="W121" s="3">
        <v>605.03141306320549</v>
      </c>
      <c r="X121" s="3">
        <v>549.80593987817338</v>
      </c>
      <c r="Y121" s="3">
        <v>509.96305340601612</v>
      </c>
      <c r="Z121" s="3">
        <v>446.88416732184305</v>
      </c>
      <c r="AA121" s="3">
        <v>403.9723344852714</v>
      </c>
      <c r="AB121" s="3">
        <v>357.39936652910865</v>
      </c>
      <c r="AC121" s="3">
        <v>320.55386606836646</v>
      </c>
      <c r="AD121" s="3">
        <v>292.99997416744645</v>
      </c>
      <c r="AE121" s="3">
        <v>265.77901316136013</v>
      </c>
      <c r="AF121" s="3">
        <v>246.54716458082567</v>
      </c>
      <c r="AG121" s="3">
        <v>224.07334639514283</v>
      </c>
      <c r="AH121" s="3">
        <v>202.61553797140914</v>
      </c>
      <c r="AI121" s="3">
        <v>178.4633216255379</v>
      </c>
      <c r="AJ121" s="3">
        <v>151.52328359858166</v>
      </c>
      <c r="AK121" s="3">
        <v>124.22889533090165</v>
      </c>
      <c r="AL121" s="3">
        <v>95.526896395997028</v>
      </c>
      <c r="AM121" s="3">
        <v>68.750175513539034</v>
      </c>
      <c r="AN121" s="3">
        <v>43.523813117629288</v>
      </c>
      <c r="AO121" s="3">
        <v>20.944822096628741</v>
      </c>
      <c r="AP121" s="3">
        <v>0.96989556880726013</v>
      </c>
      <c r="AQ121" s="3">
        <v>-17.282417291369711</v>
      </c>
      <c r="AR121" s="3">
        <v>-34.002766010758023</v>
      </c>
      <c r="AS121" s="3">
        <v>-50.365990225371206</v>
      </c>
      <c r="AT121" s="3">
        <v>-66.592047127855949</v>
      </c>
      <c r="AU121" s="3">
        <v>-83.079904842829819</v>
      </c>
      <c r="AV121" s="3">
        <v>-99.828492141478819</v>
      </c>
      <c r="AW121" s="3">
        <v>-116.53778784769293</v>
      </c>
      <c r="AX121" s="3">
        <v>-133.01583033255702</v>
      </c>
      <c r="AY121" s="3">
        <v>-148.84502414039162</v>
      </c>
    </row>
    <row r="122" spans="2:51" x14ac:dyDescent="0.25">
      <c r="B122" t="s">
        <v>125</v>
      </c>
      <c r="C122" s="3">
        <v>142.55101099288689</v>
      </c>
      <c r="D122" s="3">
        <v>85.850797352391012</v>
      </c>
      <c r="E122" s="3">
        <v>-22.633335239801156</v>
      </c>
      <c r="F122" s="3">
        <v>39.514625030052009</v>
      </c>
      <c r="G122" s="3">
        <v>119.65016432269601</v>
      </c>
      <c r="H122" s="3">
        <v>207.60954638540497</v>
      </c>
      <c r="I122" s="3">
        <v>129.82705421399322</v>
      </c>
      <c r="J122" s="3">
        <v>66.763268195828971</v>
      </c>
      <c r="K122" s="3">
        <v>57.432768886623691</v>
      </c>
      <c r="L122" s="3">
        <v>55.502172798034593</v>
      </c>
      <c r="M122" s="3">
        <v>61.039448478397077</v>
      </c>
      <c r="N122" s="3">
        <v>37.838616520894817</v>
      </c>
      <c r="O122" s="3">
        <v>35.174512685821298</v>
      </c>
      <c r="P122" s="3">
        <v>39.781190810137758</v>
      </c>
      <c r="Q122" s="3">
        <v>47.580107154981846</v>
      </c>
      <c r="R122" s="3">
        <v>55.45429504570852</v>
      </c>
      <c r="S122" s="3">
        <v>54.35823690790771</v>
      </c>
      <c r="T122" s="3">
        <v>54.97513742863255</v>
      </c>
      <c r="U122" s="3">
        <v>50.646643484398794</v>
      </c>
      <c r="V122" s="3">
        <v>45.048493914945311</v>
      </c>
      <c r="W122" s="3">
        <v>38.099015517161376</v>
      </c>
      <c r="X122" s="3">
        <v>30.764772080158764</v>
      </c>
      <c r="Y122" s="3">
        <v>26.473552748032603</v>
      </c>
      <c r="Z122" s="3">
        <v>23.481074696364232</v>
      </c>
      <c r="AA122" s="3">
        <v>22.871552227892721</v>
      </c>
      <c r="AB122" s="3">
        <v>23.032092167983336</v>
      </c>
      <c r="AC122" s="3">
        <v>23.492720404400899</v>
      </c>
      <c r="AD122" s="3">
        <v>23.86875471930648</v>
      </c>
      <c r="AE122" s="3">
        <v>23.28329949517817</v>
      </c>
      <c r="AF122" s="3">
        <v>22.065396334393796</v>
      </c>
      <c r="AG122" s="3">
        <v>19.988677319604392</v>
      </c>
      <c r="AH122" s="3">
        <v>17.539853713860737</v>
      </c>
      <c r="AI122" s="3">
        <v>14.985757926734749</v>
      </c>
      <c r="AJ122" s="3">
        <v>12.549679976755584</v>
      </c>
      <c r="AK122" s="3">
        <v>10.536497748488955</v>
      </c>
      <c r="AL122" s="3">
        <v>8.9407694636690564</v>
      </c>
      <c r="AM122" s="3">
        <v>7.8344020188280012</v>
      </c>
      <c r="AN122" s="3">
        <v>7.0651403457124786</v>
      </c>
      <c r="AO122" s="3">
        <v>6.4788680038222708</v>
      </c>
      <c r="AP122" s="3">
        <v>5.9149177177158094</v>
      </c>
      <c r="AQ122" s="3">
        <v>5.2125576083536771</v>
      </c>
      <c r="AR122" s="3">
        <v>4.3242546093780163</v>
      </c>
      <c r="AS122" s="3">
        <v>3.2325840351363979</v>
      </c>
      <c r="AT122" s="3">
        <v>2.0096093166586968</v>
      </c>
      <c r="AU122" s="3">
        <v>0.74811707911868552</v>
      </c>
      <c r="AV122" s="3">
        <v>-0.45869814891588589</v>
      </c>
      <c r="AW122" s="3">
        <v>-1.534804914482919</v>
      </c>
      <c r="AX122" s="3">
        <v>-2.4546745493381081</v>
      </c>
      <c r="AY122" s="3">
        <v>-3.2224349572004769</v>
      </c>
    </row>
    <row r="123" spans="2:51" x14ac:dyDescent="0.25">
      <c r="B123" t="s">
        <v>126</v>
      </c>
      <c r="C123" s="3">
        <v>439.00983504258585</v>
      </c>
      <c r="D123" s="3">
        <v>579.77140915354983</v>
      </c>
      <c r="E123" s="3">
        <v>250.35373881906793</v>
      </c>
      <c r="F123" s="3">
        <v>214.48424702694024</v>
      </c>
      <c r="G123" s="3">
        <v>144.95166362179953</v>
      </c>
      <c r="H123" s="3">
        <v>304.90089008199084</v>
      </c>
      <c r="I123" s="3">
        <v>278.77247492645665</v>
      </c>
      <c r="J123" s="3">
        <v>208.32887764590271</v>
      </c>
      <c r="K123" s="3">
        <v>212.37033585427321</v>
      </c>
      <c r="L123" s="3">
        <v>183.95318461844965</v>
      </c>
      <c r="M123" s="3">
        <v>202.44322381419579</v>
      </c>
      <c r="N123" s="3">
        <v>159.65240372196922</v>
      </c>
      <c r="O123" s="3">
        <v>140.40314445864794</v>
      </c>
      <c r="P123" s="3">
        <v>135.08785894997686</v>
      </c>
      <c r="Q123" s="3">
        <v>130.00540826919814</v>
      </c>
      <c r="R123" s="3">
        <v>140.67270924641753</v>
      </c>
      <c r="S123" s="3">
        <v>135.92373053084407</v>
      </c>
      <c r="T123" s="3">
        <v>139.0447541719293</v>
      </c>
      <c r="U123" s="3">
        <v>135.62807706626904</v>
      </c>
      <c r="V123" s="3">
        <v>129.66362944608477</v>
      </c>
      <c r="W123" s="3">
        <v>123.43151757388989</v>
      </c>
      <c r="X123" s="3">
        <v>113.04063424857679</v>
      </c>
      <c r="Y123" s="3">
        <v>106.58048673287567</v>
      </c>
      <c r="Z123" s="3">
        <v>99.488260617412379</v>
      </c>
      <c r="AA123" s="3">
        <v>94.840088327375611</v>
      </c>
      <c r="AB123" s="3">
        <v>91.248781374767873</v>
      </c>
      <c r="AC123" s="3">
        <v>87.996115940500772</v>
      </c>
      <c r="AD123" s="3">
        <v>86.094736944212627</v>
      </c>
      <c r="AE123" s="3">
        <v>83.723478519074774</v>
      </c>
      <c r="AF123" s="3">
        <v>81.733324662929931</v>
      </c>
      <c r="AG123" s="3">
        <v>79.170341988623136</v>
      </c>
      <c r="AH123" s="3">
        <v>76.172692254700792</v>
      </c>
      <c r="AI123" s="3">
        <v>72.872780918681201</v>
      </c>
      <c r="AJ123" s="3">
        <v>69.112576736282335</v>
      </c>
      <c r="AK123" s="3">
        <v>65.460544459912171</v>
      </c>
      <c r="AL123" s="3">
        <v>61.903815964321552</v>
      </c>
      <c r="AM123" s="3">
        <v>58.803204655821901</v>
      </c>
      <c r="AN123" s="3">
        <v>56.184216967747147</v>
      </c>
      <c r="AO123" s="3">
        <v>53.972584294060766</v>
      </c>
      <c r="AP123" s="3">
        <v>52.099600270030237</v>
      </c>
      <c r="AQ123" s="3">
        <v>50.319236962257378</v>
      </c>
      <c r="AR123" s="3">
        <v>48.546805066495267</v>
      </c>
      <c r="AS123" s="3">
        <v>46.658035173636677</v>
      </c>
      <c r="AT123" s="3">
        <v>44.646508733783207</v>
      </c>
      <c r="AU123" s="3">
        <v>42.556940622258594</v>
      </c>
      <c r="AV123" s="3">
        <v>40.442782214894578</v>
      </c>
      <c r="AW123" s="3">
        <v>38.394607500785582</v>
      </c>
      <c r="AX123" s="3">
        <v>36.455255804793978</v>
      </c>
      <c r="AY123" s="3">
        <v>34.664063474167506</v>
      </c>
    </row>
    <row r="124" spans="2:51" x14ac:dyDescent="0.25">
      <c r="B124" t="s">
        <v>127</v>
      </c>
      <c r="C124" s="3">
        <v>45.779378969268862</v>
      </c>
      <c r="D124" s="3">
        <v>4.1175293103526203</v>
      </c>
      <c r="E124" s="3">
        <v>-8.4241777846443</v>
      </c>
      <c r="F124" s="3">
        <v>10.00522112190067</v>
      </c>
      <c r="G124" s="3">
        <v>-5.5714643231254097</v>
      </c>
      <c r="H124" s="3">
        <v>11.217492940518385</v>
      </c>
      <c r="I124" s="3">
        <v>1.664431444762247</v>
      </c>
      <c r="J124" s="3">
        <v>9.7399598382508294</v>
      </c>
      <c r="K124" s="3">
        <v>13.147598679085576</v>
      </c>
      <c r="L124" s="3">
        <v>10.078009721066444</v>
      </c>
      <c r="M124" s="3">
        <v>13.371146752594896</v>
      </c>
      <c r="N124" s="3">
        <v>7.7196009490318254</v>
      </c>
      <c r="O124" s="3">
        <v>8.1741235824335341</v>
      </c>
      <c r="P124" s="3">
        <v>5.1682492991192461</v>
      </c>
      <c r="Q124" s="3">
        <v>3.2650842487656959</v>
      </c>
      <c r="R124" s="3">
        <v>2.8874168733247636</v>
      </c>
      <c r="S124" s="3">
        <v>1.3459496978534453</v>
      </c>
      <c r="T124" s="3">
        <v>2.26961654013828</v>
      </c>
      <c r="U124" s="3">
        <v>2.0759923062686809</v>
      </c>
      <c r="V124" s="3">
        <v>2.7101339637918613</v>
      </c>
      <c r="W124" s="3">
        <v>2.9934664020136594</v>
      </c>
      <c r="X124" s="3">
        <v>2.7472292661119297</v>
      </c>
      <c r="Y124" s="3">
        <v>2.5829321946630941</v>
      </c>
      <c r="Z124" s="3">
        <v>1.7002255811486862</v>
      </c>
      <c r="AA124" s="3">
        <v>0.98699881960467906</v>
      </c>
      <c r="AB124" s="3">
        <v>9.4668946760386063E-2</v>
      </c>
      <c r="AC124" s="3">
        <v>-0.63534608331994491</v>
      </c>
      <c r="AD124" s="3">
        <v>-1.1214648375495244</v>
      </c>
      <c r="AE124" s="3">
        <v>-1.5075374971329509</v>
      </c>
      <c r="AF124" s="3">
        <v>-1.6378640907513997</v>
      </c>
      <c r="AG124" s="3">
        <v>-1.7527180201890005</v>
      </c>
      <c r="AH124" s="3">
        <v>-1.810928293049777</v>
      </c>
      <c r="AI124" s="3">
        <v>-1.9194950473908463</v>
      </c>
      <c r="AJ124" s="3">
        <v>-2.1154733066958116</v>
      </c>
      <c r="AK124" s="3">
        <v>-2.3693896729725097</v>
      </c>
      <c r="AL124" s="3">
        <v>-2.7090841927899518</v>
      </c>
      <c r="AM124" s="3">
        <v>-3.0645625473607438</v>
      </c>
      <c r="AN124" s="3">
        <v>-3.4271838053229402</v>
      </c>
      <c r="AO124" s="3">
        <v>-3.7566153975549383</v>
      </c>
      <c r="AP124" s="3">
        <v>-4.0332837301210134</v>
      </c>
      <c r="AQ124" s="3">
        <v>-4.2602736749277099</v>
      </c>
      <c r="AR124" s="3">
        <v>-4.434672682229305</v>
      </c>
      <c r="AS124" s="3">
        <v>-4.5812444764254749</v>
      </c>
      <c r="AT124" s="3">
        <v>-4.7130529719573815</v>
      </c>
      <c r="AU124" s="3">
        <v>-4.84933014522192</v>
      </c>
      <c r="AV124" s="3">
        <v>-5.0012850204843105</v>
      </c>
      <c r="AW124" s="3">
        <v>-5.1704582017060403</v>
      </c>
      <c r="AX124" s="3">
        <v>-5.3556968220081558</v>
      </c>
      <c r="AY124" s="3">
        <v>-5.5468147096736899</v>
      </c>
    </row>
    <row r="125" spans="2:51" x14ac:dyDescent="0.25">
      <c r="B125" t="s">
        <v>128</v>
      </c>
      <c r="C125" s="3">
        <v>625.93586459606581</v>
      </c>
      <c r="D125" s="3">
        <v>317.10957665617246</v>
      </c>
      <c r="E125" s="3">
        <v>-41.111575905132213</v>
      </c>
      <c r="F125" s="3">
        <v>250.50415647919581</v>
      </c>
      <c r="G125" s="3">
        <v>52.651569855777382</v>
      </c>
      <c r="H125" s="3">
        <v>242.7677395882352</v>
      </c>
      <c r="I125" s="3">
        <v>142.35198118207262</v>
      </c>
      <c r="J125" s="3">
        <v>169.86457665476951</v>
      </c>
      <c r="K125" s="3">
        <v>227.36427916847072</v>
      </c>
      <c r="L125" s="3">
        <v>160.76609102077202</v>
      </c>
      <c r="M125" s="3">
        <v>196.93068544744108</v>
      </c>
      <c r="N125" s="3">
        <v>126.958573897218</v>
      </c>
      <c r="O125" s="3">
        <v>123.88434862318559</v>
      </c>
      <c r="P125" s="3">
        <v>103.65007778043906</v>
      </c>
      <c r="Q125" s="3">
        <v>82.127186089198858</v>
      </c>
      <c r="R125" s="3">
        <v>89.899295747803762</v>
      </c>
      <c r="S125" s="3">
        <v>75.33211543624941</v>
      </c>
      <c r="T125" s="3">
        <v>87.316595603369251</v>
      </c>
      <c r="U125" s="3">
        <v>85.65629969184431</v>
      </c>
      <c r="V125" s="3">
        <v>87.409720945843901</v>
      </c>
      <c r="W125" s="3">
        <v>88.010343774346666</v>
      </c>
      <c r="X125" s="3">
        <v>80.232100114920058</v>
      </c>
      <c r="Y125" s="3">
        <v>76.359943708141145</v>
      </c>
      <c r="Z125" s="3">
        <v>65.710945127000173</v>
      </c>
      <c r="AA125" s="3">
        <v>57.965504576781427</v>
      </c>
      <c r="AB125" s="3">
        <v>49.955450367656908</v>
      </c>
      <c r="AC125" s="3">
        <v>43.237527716031423</v>
      </c>
      <c r="AD125" s="3">
        <v>39.717177806044447</v>
      </c>
      <c r="AE125" s="3">
        <v>36.409778879239411</v>
      </c>
      <c r="AF125" s="3">
        <v>35.356313516281944</v>
      </c>
      <c r="AG125" s="3">
        <v>33.916336011259546</v>
      </c>
      <c r="AH125" s="3">
        <v>32.437816817436101</v>
      </c>
      <c r="AI125" s="3">
        <v>30.355559610955879</v>
      </c>
      <c r="AJ125" s="3">
        <v>27.166696306227777</v>
      </c>
      <c r="AK125" s="3">
        <v>23.642535226079531</v>
      </c>
      <c r="AL125" s="3">
        <v>19.49514783245354</v>
      </c>
      <c r="AM125" s="3">
        <v>15.523129575260327</v>
      </c>
      <c r="AN125" s="3">
        <v>11.812183910147837</v>
      </c>
      <c r="AO125" s="3">
        <v>8.5846431150386024</v>
      </c>
      <c r="AP125" s="3">
        <v>5.9811084326888704</v>
      </c>
      <c r="AQ125" s="3">
        <v>3.7861430548800854</v>
      </c>
      <c r="AR125" s="3">
        <v>1.9839278417838386</v>
      </c>
      <c r="AS125" s="3">
        <v>0.29362234584391445</v>
      </c>
      <c r="AT125" s="3">
        <v>-1.3965045458230634</v>
      </c>
      <c r="AU125" s="3">
        <v>-3.2009943395320306</v>
      </c>
      <c r="AV125" s="3">
        <v>-5.1799404262779944</v>
      </c>
      <c r="AW125" s="3">
        <v>-7.2752505037656192</v>
      </c>
      <c r="AX125" s="3">
        <v>-9.4473807119160256</v>
      </c>
      <c r="AY125" s="3">
        <v>-11.583677932156775</v>
      </c>
    </row>
    <row r="126" spans="2:51" x14ac:dyDescent="0.25">
      <c r="B126" t="s">
        <v>129</v>
      </c>
      <c r="C126" s="3">
        <v>518.03040224461608</v>
      </c>
      <c r="D126" s="3">
        <v>2.1593092324642811</v>
      </c>
      <c r="E126" s="3">
        <v>-165.75819064970409</v>
      </c>
      <c r="F126" s="3">
        <v>1.8347899404765258</v>
      </c>
      <c r="G126" s="3">
        <v>-86.998668966674813</v>
      </c>
      <c r="H126" s="3">
        <v>79.041931320709097</v>
      </c>
      <c r="I126" s="3">
        <v>-32.291944519394775</v>
      </c>
      <c r="J126" s="3">
        <v>34.513797662752836</v>
      </c>
      <c r="K126" s="3">
        <v>53.624712920339732</v>
      </c>
      <c r="L126" s="3">
        <v>24.168244938799887</v>
      </c>
      <c r="M126" s="3">
        <v>45.844600659140326</v>
      </c>
      <c r="N126" s="3">
        <v>-9.3797338535165409</v>
      </c>
      <c r="O126" s="3">
        <v>1.2479322068795682</v>
      </c>
      <c r="P126" s="3">
        <v>-17.281099042206733</v>
      </c>
      <c r="Q126" s="3">
        <v>-20.94053089614863</v>
      </c>
      <c r="R126" s="3">
        <v>-14.447652832725112</v>
      </c>
      <c r="S126" s="3">
        <v>-19.79381770668806</v>
      </c>
      <c r="T126" s="3">
        <v>-5.5959647394437866</v>
      </c>
      <c r="U126" s="3">
        <v>-5.052031743005557</v>
      </c>
      <c r="V126" s="3">
        <v>1.4189431870983071</v>
      </c>
      <c r="W126" s="3">
        <v>2.7507423089316489</v>
      </c>
      <c r="X126" s="3">
        <v>-2.7274005565516291E-2</v>
      </c>
      <c r="Y126" s="3">
        <v>-1.2070622388710035</v>
      </c>
      <c r="Z126" s="3">
        <v>-7.4513274559225238</v>
      </c>
      <c r="AA126" s="3">
        <v>-10.674443429726125</v>
      </c>
      <c r="AB126" s="3">
        <v>-14.747337950494682</v>
      </c>
      <c r="AC126" s="3">
        <v>-16.753430367285318</v>
      </c>
      <c r="AD126" s="3">
        <v>-16.823543838513103</v>
      </c>
      <c r="AE126" s="3">
        <v>-16.544998563923116</v>
      </c>
      <c r="AF126" s="3">
        <v>-14.792959586072641</v>
      </c>
      <c r="AG126" s="3">
        <v>-13.77225679945002</v>
      </c>
      <c r="AH126" s="3">
        <v>-12.846049588296637</v>
      </c>
      <c r="AI126" s="3">
        <v>-12.78125561156611</v>
      </c>
      <c r="AJ126" s="3">
        <v>-13.544617919596192</v>
      </c>
      <c r="AK126" s="3">
        <v>-14.663006760202279</v>
      </c>
      <c r="AL126" s="3">
        <v>-16.238927514804175</v>
      </c>
      <c r="AM126" s="3">
        <v>-17.615201230272987</v>
      </c>
      <c r="AN126" s="3">
        <v>-18.819343836872747</v>
      </c>
      <c r="AO126" s="3">
        <v>-19.615325420117529</v>
      </c>
      <c r="AP126" s="3">
        <v>-20.000249192365004</v>
      </c>
      <c r="AQ126" s="3">
        <v>-20.120739230336085</v>
      </c>
      <c r="AR126" s="3">
        <v>-20.022463648232815</v>
      </c>
      <c r="AS126" s="3">
        <v>-19.936458794439488</v>
      </c>
      <c r="AT126" s="3">
        <v>-19.928261518445993</v>
      </c>
      <c r="AU126" s="3">
        <v>-20.096697323076398</v>
      </c>
      <c r="AV126" s="3">
        <v>-20.454880606470851</v>
      </c>
      <c r="AW126" s="3">
        <v>-20.950416829103915</v>
      </c>
      <c r="AX126" s="3">
        <v>-21.533722732601234</v>
      </c>
      <c r="AY126" s="3">
        <v>-22.10631439224295</v>
      </c>
    </row>
    <row r="127" spans="2:51" x14ac:dyDescent="0.25">
      <c r="B127" t="s">
        <v>130</v>
      </c>
      <c r="C127" s="3">
        <v>599.91688699924282</v>
      </c>
      <c r="D127" s="3">
        <v>-39.748587507700371</v>
      </c>
      <c r="E127" s="3">
        <v>-230.84688871700951</v>
      </c>
      <c r="F127" s="3">
        <v>-38.747874098452662</v>
      </c>
      <c r="G127" s="3">
        <v>-137.54157676285493</v>
      </c>
      <c r="H127" s="3">
        <v>78.416484263834846</v>
      </c>
      <c r="I127" s="3">
        <v>-54.955429349520102</v>
      </c>
      <c r="J127" s="3">
        <v>50.256474705146758</v>
      </c>
      <c r="K127" s="3">
        <v>84.526471713698314</v>
      </c>
      <c r="L127" s="3">
        <v>55.274980179646377</v>
      </c>
      <c r="M127" s="3">
        <v>83.791568485909522</v>
      </c>
      <c r="N127" s="3">
        <v>12.286678738458448</v>
      </c>
      <c r="O127" s="3">
        <v>21.873131787539705</v>
      </c>
      <c r="P127" s="3">
        <v>-9.3346170351666444</v>
      </c>
      <c r="Q127" s="3">
        <v>-20.193431799083925</v>
      </c>
      <c r="R127" s="3">
        <v>-16.997014304982116</v>
      </c>
      <c r="S127" s="3">
        <v>-25.164828377347305</v>
      </c>
      <c r="T127" s="3">
        <v>-5.7735488942615802</v>
      </c>
      <c r="U127" s="3">
        <v>-1.7985608566285123</v>
      </c>
      <c r="V127" s="3">
        <v>10.944581384768753</v>
      </c>
      <c r="W127" s="3">
        <v>16.520536689847916</v>
      </c>
      <c r="X127" s="3">
        <v>15.845768511453883</v>
      </c>
      <c r="Y127" s="3">
        <v>15.379141144210053</v>
      </c>
      <c r="Z127" s="3">
        <v>6.972272205863959</v>
      </c>
      <c r="AA127" s="3">
        <v>1.4298312715187649</v>
      </c>
      <c r="AB127" s="3">
        <v>-5.614204009873589</v>
      </c>
      <c r="AC127" s="3">
        <v>-9.7241235013773917</v>
      </c>
      <c r="AD127" s="3">
        <v>-10.80776389285802</v>
      </c>
      <c r="AE127" s="3">
        <v>-10.648946829682814</v>
      </c>
      <c r="AF127" s="3">
        <v>-7.9269416606748848</v>
      </c>
      <c r="AG127" s="3">
        <v>-5.6648820350285689</v>
      </c>
      <c r="AH127" s="3">
        <v>-3.3137126763467961</v>
      </c>
      <c r="AI127" s="3">
        <v>-2.1521210975965346</v>
      </c>
      <c r="AJ127" s="3">
        <v>-2.3090588837606845</v>
      </c>
      <c r="AK127" s="3">
        <v>-3.3029066614082296</v>
      </c>
      <c r="AL127" s="3">
        <v>-5.2504956529499225</v>
      </c>
      <c r="AM127" s="3">
        <v>-7.2249459479897951</v>
      </c>
      <c r="AN127" s="3">
        <v>-9.1242466858676039</v>
      </c>
      <c r="AO127" s="3">
        <v>-10.48963235109494</v>
      </c>
      <c r="AP127" s="3">
        <v>-11.203285901806964</v>
      </c>
      <c r="AQ127" s="3">
        <v>-11.382255059180522</v>
      </c>
      <c r="AR127" s="3">
        <v>-11.084712759256774</v>
      </c>
      <c r="AS127" s="3">
        <v>-10.654957295027884</v>
      </c>
      <c r="AT127" s="3">
        <v>-10.25515179828551</v>
      </c>
      <c r="AU127" s="3">
        <v>-10.095863098808422</v>
      </c>
      <c r="AV127" s="3">
        <v>-10.256157541463438</v>
      </c>
      <c r="AW127" s="3">
        <v>-10.702276256532684</v>
      </c>
      <c r="AX127" s="3">
        <v>-11.368853042052422</v>
      </c>
      <c r="AY127" s="3">
        <v>-12.102601570401532</v>
      </c>
    </row>
    <row r="128" spans="2:51" x14ac:dyDescent="0.25">
      <c r="B128" t="s">
        <v>131</v>
      </c>
      <c r="C128" s="3">
        <v>1083.6019504450892</v>
      </c>
      <c r="D128" s="3">
        <v>-9.1543162654422758</v>
      </c>
      <c r="E128" s="3">
        <v>-522.21220270100855</v>
      </c>
      <c r="F128" s="3">
        <v>256.12679848547975</v>
      </c>
      <c r="G128" s="3">
        <v>242.43539394515702</v>
      </c>
      <c r="H128" s="3">
        <v>365.12531575671085</v>
      </c>
      <c r="I128" s="3">
        <v>-34.713882355719988</v>
      </c>
      <c r="J128" s="3">
        <v>63.279942850956445</v>
      </c>
      <c r="K128" s="3">
        <v>232.31042289370873</v>
      </c>
      <c r="L128" s="3">
        <v>173.67996221187741</v>
      </c>
      <c r="M128" s="3">
        <v>164.72336715087465</v>
      </c>
      <c r="N128" s="3">
        <v>44.915662329228667</v>
      </c>
      <c r="O128" s="3">
        <v>97.804646176926099</v>
      </c>
      <c r="P128" s="3">
        <v>105.88020559370574</v>
      </c>
      <c r="Q128" s="3">
        <v>89.528445170341797</v>
      </c>
      <c r="R128" s="3">
        <v>86.334485798883861</v>
      </c>
      <c r="S128" s="3">
        <v>64.16733929591112</v>
      </c>
      <c r="T128" s="3">
        <v>87.188916419649786</v>
      </c>
      <c r="U128" s="3">
        <v>82.055581442396203</v>
      </c>
      <c r="V128" s="3">
        <v>80.060566291425232</v>
      </c>
      <c r="W128" s="3">
        <v>75.215479944757931</v>
      </c>
      <c r="X128" s="3">
        <v>67.555087052669137</v>
      </c>
      <c r="Y128" s="3">
        <v>68.226354953354871</v>
      </c>
      <c r="Z128" s="3">
        <v>59.10854143078916</v>
      </c>
      <c r="AA128" s="3">
        <v>54.206328064143122</v>
      </c>
      <c r="AB128" s="3">
        <v>47.924158289938987</v>
      </c>
      <c r="AC128" s="3">
        <v>43.897309505357839</v>
      </c>
      <c r="AD128" s="3">
        <v>42.340693442690849</v>
      </c>
      <c r="AE128" s="3">
        <v>39.410918933625567</v>
      </c>
      <c r="AF128" s="3">
        <v>38.484497653861354</v>
      </c>
      <c r="AG128" s="3">
        <v>36.472429787587885</v>
      </c>
      <c r="AH128" s="3">
        <v>34.810541261290609</v>
      </c>
      <c r="AI128" s="3">
        <v>32.548552435038687</v>
      </c>
      <c r="AJ128" s="3">
        <v>29.474620094686429</v>
      </c>
      <c r="AK128" s="3">
        <v>26.578824323594517</v>
      </c>
      <c r="AL128" s="3">
        <v>23.32427713601885</v>
      </c>
      <c r="AM128" s="3">
        <v>20.550110600361677</v>
      </c>
      <c r="AN128" s="3">
        <v>17.933816652407813</v>
      </c>
      <c r="AO128" s="3">
        <v>15.656933995955569</v>
      </c>
      <c r="AP128" s="3">
        <v>13.762542214648647</v>
      </c>
      <c r="AQ128" s="3">
        <v>12.012234157464718</v>
      </c>
      <c r="AR128" s="3">
        <v>10.48729289179164</v>
      </c>
      <c r="AS128" s="3">
        <v>8.9380367240680698</v>
      </c>
      <c r="AT128" s="3">
        <v>7.3904141126657805</v>
      </c>
      <c r="AU128" s="3">
        <v>5.7801425814213871</v>
      </c>
      <c r="AV128" s="3">
        <v>4.0917185677121779</v>
      </c>
      <c r="AW128" s="3">
        <v>2.389283288369711</v>
      </c>
      <c r="AX128" s="3">
        <v>0.67627282842113345</v>
      </c>
      <c r="AY128" s="3">
        <v>-0.96124918405791959</v>
      </c>
    </row>
    <row r="129" spans="2:51" x14ac:dyDescent="0.25">
      <c r="B129" t="s">
        <v>132</v>
      </c>
      <c r="C129" s="3">
        <v>254.37844157936405</v>
      </c>
      <c r="D129" s="3">
        <v>43.840935953413563</v>
      </c>
      <c r="E129" s="3">
        <v>-80.240927738166803</v>
      </c>
      <c r="F129" s="3">
        <v>35.691241088050482</v>
      </c>
      <c r="G129" s="3">
        <v>47.827610926199718</v>
      </c>
      <c r="H129" s="3">
        <v>91.773553468889958</v>
      </c>
      <c r="I129" s="3">
        <v>6.6415994635178492</v>
      </c>
      <c r="J129" s="3">
        <v>15.268066986063857</v>
      </c>
      <c r="K129" s="3">
        <v>40.887202511745535</v>
      </c>
      <c r="L129" s="3">
        <v>31.92384099260601</v>
      </c>
      <c r="M129" s="3">
        <v>32.870897126500722</v>
      </c>
      <c r="N129" s="3">
        <v>11.045281431554372</v>
      </c>
      <c r="O129" s="3">
        <v>22.777762128214164</v>
      </c>
      <c r="P129" s="3">
        <v>24.145564125162707</v>
      </c>
      <c r="Q129" s="3">
        <v>22.819365015746648</v>
      </c>
      <c r="R129" s="3">
        <v>23.980041211354603</v>
      </c>
      <c r="S129" s="3">
        <v>20.323536315961</v>
      </c>
      <c r="T129" s="3">
        <v>23.698936280811822</v>
      </c>
      <c r="U129" s="3">
        <v>21.004996610651489</v>
      </c>
      <c r="V129" s="3">
        <v>20.07531375495482</v>
      </c>
      <c r="W129" s="3">
        <v>18.923602546059442</v>
      </c>
      <c r="X129" s="3">
        <v>17.358389775650437</v>
      </c>
      <c r="Y129" s="3">
        <v>17.474549722884177</v>
      </c>
      <c r="Z129" s="3">
        <v>16.122787908628595</v>
      </c>
      <c r="AA129" s="3">
        <v>15.986621742386475</v>
      </c>
      <c r="AB129" s="3">
        <v>15.436566158535925</v>
      </c>
      <c r="AC129" s="3">
        <v>15.096215649954559</v>
      </c>
      <c r="AD129" s="3">
        <v>14.989551984780135</v>
      </c>
      <c r="AE129" s="3">
        <v>14.507936040565568</v>
      </c>
      <c r="AF129" s="3">
        <v>14.310988076498575</v>
      </c>
      <c r="AG129" s="3">
        <v>13.790370892159544</v>
      </c>
      <c r="AH129" s="3">
        <v>13.32922368065492</v>
      </c>
      <c r="AI129" s="3">
        <v>12.802578885453528</v>
      </c>
      <c r="AJ129" s="3">
        <v>12.228084904453354</v>
      </c>
      <c r="AK129" s="3">
        <v>11.778938409931413</v>
      </c>
      <c r="AL129" s="3">
        <v>11.325433247497926</v>
      </c>
      <c r="AM129" s="3">
        <v>11.005999183868013</v>
      </c>
      <c r="AN129" s="3">
        <v>10.717644324294042</v>
      </c>
      <c r="AO129" s="3">
        <v>10.467586804290363</v>
      </c>
      <c r="AP129" s="3">
        <v>10.236380850688661</v>
      </c>
      <c r="AQ129" s="3">
        <v>9.9756940464902328</v>
      </c>
      <c r="AR129" s="3">
        <v>9.7134238617587414</v>
      </c>
      <c r="AS129" s="3">
        <v>9.4206112534244824</v>
      </c>
      <c r="AT129" s="3">
        <v>9.1252497868068048</v>
      </c>
      <c r="AU129" s="3">
        <v>8.8306851497646193</v>
      </c>
      <c r="AV129" s="3">
        <v>8.5449974612089648</v>
      </c>
      <c r="AW129" s="3">
        <v>8.2816791110507211</v>
      </c>
      <c r="AX129" s="3">
        <v>8.0355215193139031</v>
      </c>
      <c r="AY129" s="3">
        <v>7.8132696421754844</v>
      </c>
    </row>
    <row r="130" spans="2:51" x14ac:dyDescent="0.25">
      <c r="B130" t="s">
        <v>133</v>
      </c>
      <c r="C130" s="3">
        <v>298.22130016985477</v>
      </c>
      <c r="D130" s="3">
        <v>8.9605130351837268</v>
      </c>
      <c r="E130" s="3">
        <v>-293.67428459028821</v>
      </c>
      <c r="F130" s="3">
        <v>-158.07400280974815</v>
      </c>
      <c r="G130" s="3">
        <v>-274.23494730471305</v>
      </c>
      <c r="H130" s="3">
        <v>-72.355951118989935</v>
      </c>
      <c r="I130" s="3">
        <v>-109.88209372576068</v>
      </c>
      <c r="J130" s="3">
        <v>-64.27984677366959</v>
      </c>
      <c r="K130" s="3">
        <v>-1.1541681386977132</v>
      </c>
      <c r="L130" s="3">
        <v>-20.079037818600767</v>
      </c>
      <c r="M130" s="3">
        <v>15.011601114132802</v>
      </c>
      <c r="N130" s="3">
        <v>-38.261345004751504</v>
      </c>
      <c r="O130" s="3">
        <v>-45.312028117127625</v>
      </c>
      <c r="P130" s="3">
        <v>-65.55361631877949</v>
      </c>
      <c r="Q130" s="3">
        <v>-83.062966710862128</v>
      </c>
      <c r="R130" s="3">
        <v>-79.407572743430364</v>
      </c>
      <c r="S130" s="3">
        <v>-87.053087370164548</v>
      </c>
      <c r="T130" s="3">
        <v>-71.115905091633522</v>
      </c>
      <c r="U130" s="3">
        <v>-61.588102947458395</v>
      </c>
      <c r="V130" s="3">
        <v>-47.758283087132654</v>
      </c>
      <c r="W130" s="3">
        <v>-36.309478794840473</v>
      </c>
      <c r="X130" s="3">
        <v>-33.036000365953456</v>
      </c>
      <c r="Y130" s="3">
        <v>-30.322517623897738</v>
      </c>
      <c r="Z130" s="3">
        <v>-35.306645235018976</v>
      </c>
      <c r="AA130" s="3">
        <v>-40.080078863497434</v>
      </c>
      <c r="AB130" s="3">
        <v>-45.829498433440691</v>
      </c>
      <c r="AC130" s="3">
        <v>-50.017802540194495</v>
      </c>
      <c r="AD130" s="3">
        <v>-50.768960700897807</v>
      </c>
      <c r="AE130" s="3">
        <v>-49.923157207217216</v>
      </c>
      <c r="AF130" s="3">
        <v>-46.350458951690726</v>
      </c>
      <c r="AG130" s="3">
        <v>-42.460602900109848</v>
      </c>
      <c r="AH130" s="3">
        <v>-38.511930830770126</v>
      </c>
      <c r="AI130" s="3">
        <v>-35.42614723463825</v>
      </c>
      <c r="AJ130" s="3">
        <v>-33.804573648182398</v>
      </c>
      <c r="AK130" s="3">
        <v>-33.218527865889641</v>
      </c>
      <c r="AL130" s="3">
        <v>-33.782681914603913</v>
      </c>
      <c r="AM130" s="3">
        <v>-34.724403910508101</v>
      </c>
      <c r="AN130" s="3">
        <v>-35.739816687015548</v>
      </c>
      <c r="AO130" s="3">
        <v>-36.411550259491122</v>
      </c>
      <c r="AP130" s="3">
        <v>-36.464092482448322</v>
      </c>
      <c r="AQ130" s="3">
        <v>-35.952313155650714</v>
      </c>
      <c r="AR130" s="3">
        <v>-34.899629150236692</v>
      </c>
      <c r="AS130" s="3">
        <v>-33.60121060243705</v>
      </c>
      <c r="AT130" s="3">
        <v>-32.274617422357025</v>
      </c>
      <c r="AU130" s="3">
        <v>-31.146479068288158</v>
      </c>
      <c r="AV130" s="3">
        <v>-30.362316661858728</v>
      </c>
      <c r="AW130" s="3">
        <v>-29.928361837283518</v>
      </c>
      <c r="AX130" s="3">
        <v>-29.801227963990982</v>
      </c>
      <c r="AY130" s="3">
        <v>-29.83991583667364</v>
      </c>
    </row>
    <row r="131" spans="2:51" x14ac:dyDescent="0.25">
      <c r="B131" t="s">
        <v>134</v>
      </c>
      <c r="C131" s="3">
        <v>453.92556366102724</v>
      </c>
      <c r="D131" s="3">
        <v>414.70609004518826</v>
      </c>
      <c r="E131" s="3">
        <v>-6.7876797252800429</v>
      </c>
      <c r="F131" s="3">
        <v>250.58427801268536</v>
      </c>
      <c r="G131" s="3">
        <v>-44.112303274890564</v>
      </c>
      <c r="H131" s="3">
        <v>210.82357330815222</v>
      </c>
      <c r="I131" s="3">
        <v>139.17478116040303</v>
      </c>
      <c r="J131" s="3">
        <v>140.50602393668908</v>
      </c>
      <c r="K131" s="3">
        <v>215.44242279838511</v>
      </c>
      <c r="L131" s="3">
        <v>142.22514816903902</v>
      </c>
      <c r="M131" s="3">
        <v>199.70296839857366</v>
      </c>
      <c r="N131" s="3">
        <v>123.19727891774016</v>
      </c>
      <c r="O131" s="3">
        <v>114.3090432735064</v>
      </c>
      <c r="P131" s="3">
        <v>93.926850186211368</v>
      </c>
      <c r="Q131" s="3">
        <v>64.817198682270941</v>
      </c>
      <c r="R131" s="3">
        <v>74.163527760411398</v>
      </c>
      <c r="S131" s="3">
        <v>54.418361536956581</v>
      </c>
      <c r="T131" s="3">
        <v>65.857431376605859</v>
      </c>
      <c r="U131" s="3">
        <v>63.408912961434339</v>
      </c>
      <c r="V131" s="3">
        <v>63.811997136745504</v>
      </c>
      <c r="W131" s="3">
        <v>65.250307096221263</v>
      </c>
      <c r="X131" s="3">
        <v>56.308304192873265</v>
      </c>
      <c r="Y131" s="3">
        <v>52.797892748820914</v>
      </c>
      <c r="Z131" s="3">
        <v>41.375556497155912</v>
      </c>
      <c r="AA131" s="3">
        <v>32.663954559966328</v>
      </c>
      <c r="AB131" s="3">
        <v>23.505647309880374</v>
      </c>
      <c r="AC131" s="3">
        <v>14.915279454589268</v>
      </c>
      <c r="AD131" s="3">
        <v>9.9607433201631466</v>
      </c>
      <c r="AE131" s="3">
        <v>5.0352404737578809</v>
      </c>
      <c r="AF131" s="3">
        <v>2.8700400863614277</v>
      </c>
      <c r="AG131" s="3">
        <v>0.60459917954017328</v>
      </c>
      <c r="AH131" s="3">
        <v>-1.4908424182405042</v>
      </c>
      <c r="AI131" s="3">
        <v>-3.947216776245341</v>
      </c>
      <c r="AJ131" s="3">
        <v>-7.6109642013578878</v>
      </c>
      <c r="AK131" s="3">
        <v>-11.61190517184059</v>
      </c>
      <c r="AL131" s="3">
        <v>-16.4005931281215</v>
      </c>
      <c r="AM131" s="3">
        <v>-21.110782651467957</v>
      </c>
      <c r="AN131" s="3">
        <v>-25.612006404896988</v>
      </c>
      <c r="AO131" s="3">
        <v>-29.667428737371552</v>
      </c>
      <c r="AP131" s="3">
        <v>-33.04152821388152</v>
      </c>
      <c r="AQ131" s="3">
        <v>-35.961417746204461</v>
      </c>
      <c r="AR131" s="3">
        <v>-38.399375085331144</v>
      </c>
      <c r="AS131" s="3">
        <v>-40.648962998754769</v>
      </c>
      <c r="AT131" s="3">
        <v>-42.834836541763366</v>
      </c>
      <c r="AU131" s="3">
        <v>-45.082696947917725</v>
      </c>
      <c r="AV131" s="3">
        <v>-47.486635336900122</v>
      </c>
      <c r="AW131" s="3">
        <v>-49.999540862171671</v>
      </c>
      <c r="AX131" s="3">
        <v>-52.602851145464115</v>
      </c>
      <c r="AY131" s="3">
        <v>-55.186530718054655</v>
      </c>
    </row>
    <row r="132" spans="2:51" x14ac:dyDescent="0.25">
      <c r="B132" t="s">
        <v>135</v>
      </c>
      <c r="C132" s="3">
        <v>554.54355023404185</v>
      </c>
      <c r="D132" s="3">
        <v>-8.9964511122825996</v>
      </c>
      <c r="E132" s="3">
        <v>-385.68122685594108</v>
      </c>
      <c r="F132" s="3">
        <v>57.41516305148032</v>
      </c>
      <c r="G132" s="3">
        <v>89.771562200683277</v>
      </c>
      <c r="H132" s="3">
        <v>190.64028483097138</v>
      </c>
      <c r="I132" s="3">
        <v>-4.898205084384287</v>
      </c>
      <c r="J132" s="3">
        <v>15.917390300527472</v>
      </c>
      <c r="K132" s="3">
        <v>97.852475562463567</v>
      </c>
      <c r="L132" s="3">
        <v>54.12225308248577</v>
      </c>
      <c r="M132" s="3">
        <v>58.488966448205559</v>
      </c>
      <c r="N132" s="3">
        <v>-1.7416659142523088</v>
      </c>
      <c r="O132" s="3">
        <v>19.20120607604224</v>
      </c>
      <c r="P132" s="3">
        <v>24.903949174387265</v>
      </c>
      <c r="Q132" s="3">
        <v>20.445825823643503</v>
      </c>
      <c r="R132" s="3">
        <v>30.106008518806931</v>
      </c>
      <c r="S132" s="3">
        <v>23.166401493326845</v>
      </c>
      <c r="T132" s="3">
        <v>36.665523813486573</v>
      </c>
      <c r="U132" s="3">
        <v>35.559536005210617</v>
      </c>
      <c r="V132" s="3">
        <v>35.191809120309074</v>
      </c>
      <c r="W132" s="3">
        <v>33.406891253946384</v>
      </c>
      <c r="X132" s="3">
        <v>27.49366133650642</v>
      </c>
      <c r="Y132" s="3">
        <v>26.422672188916522</v>
      </c>
      <c r="Z132" s="3">
        <v>21.377655108206</v>
      </c>
      <c r="AA132" s="3">
        <v>19.749488407905233</v>
      </c>
      <c r="AB132" s="3">
        <v>18.366663327987283</v>
      </c>
      <c r="AC132" s="3">
        <v>18.117547637285668</v>
      </c>
      <c r="AD132" s="3">
        <v>19.505709793585254</v>
      </c>
      <c r="AE132" s="3">
        <v>19.936784688854175</v>
      </c>
      <c r="AF132" s="3">
        <v>21.024950230450145</v>
      </c>
      <c r="AG132" s="3">
        <v>20.988339120839214</v>
      </c>
      <c r="AH132" s="3">
        <v>20.582555949490711</v>
      </c>
      <c r="AI132" s="3">
        <v>19.672904250624924</v>
      </c>
      <c r="AJ132" s="3">
        <v>18.221752505992413</v>
      </c>
      <c r="AK132" s="3">
        <v>16.955985371345832</v>
      </c>
      <c r="AL132" s="3">
        <v>15.643897380902786</v>
      </c>
      <c r="AM132" s="3">
        <v>14.77413250834968</v>
      </c>
      <c r="AN132" s="3">
        <v>14.191206388631542</v>
      </c>
      <c r="AO132" s="3">
        <v>13.892096310403019</v>
      </c>
      <c r="AP132" s="3">
        <v>13.83371763562053</v>
      </c>
      <c r="AQ132" s="3">
        <v>13.787703973645193</v>
      </c>
      <c r="AR132" s="3">
        <v>13.746696865283184</v>
      </c>
      <c r="AS132" s="3">
        <v>13.553729295365656</v>
      </c>
      <c r="AT132" s="3">
        <v>13.22307592203191</v>
      </c>
      <c r="AU132" s="3">
        <v>12.762024010904327</v>
      </c>
      <c r="AV132" s="3">
        <v>12.206056014760009</v>
      </c>
      <c r="AW132" s="3">
        <v>11.642675850961098</v>
      </c>
      <c r="AX132" s="3">
        <v>11.107585000660322</v>
      </c>
      <c r="AY132" s="3">
        <v>10.661099624860128</v>
      </c>
    </row>
    <row r="133" spans="2:51" x14ac:dyDescent="0.25">
      <c r="B133" t="s">
        <v>136</v>
      </c>
      <c r="C133" s="3">
        <v>52.871855794475159</v>
      </c>
      <c r="D133" s="3">
        <v>15.458087150061033</v>
      </c>
      <c r="E133" s="3">
        <v>-10.346379183886768</v>
      </c>
      <c r="F133" s="3">
        <v>-6.2865867750276418</v>
      </c>
      <c r="G133" s="3">
        <v>-15.056460234420317</v>
      </c>
      <c r="H133" s="3">
        <v>1.279830573613399</v>
      </c>
      <c r="I133" s="3">
        <v>-3.9710043100341679</v>
      </c>
      <c r="J133" s="3">
        <v>1.7078587872824684</v>
      </c>
      <c r="K133" s="3">
        <v>5.1456606141940924</v>
      </c>
      <c r="L133" s="3">
        <v>4.1870004936006211</v>
      </c>
      <c r="M133" s="3">
        <v>6.4020604760091757</v>
      </c>
      <c r="N133" s="3">
        <v>1.4451786957267316</v>
      </c>
      <c r="O133" s="3">
        <v>0.7679822501233744</v>
      </c>
      <c r="P133" s="3">
        <v>-1.7702130457291929</v>
      </c>
      <c r="Q133" s="3">
        <v>-3.0892539380261965</v>
      </c>
      <c r="R133" s="3">
        <v>-3.0873479804999633</v>
      </c>
      <c r="S133" s="3">
        <v>-3.6989252425878334</v>
      </c>
      <c r="T133" s="3">
        <v>-2.4629848428880265</v>
      </c>
      <c r="U133" s="3">
        <v>-1.9788856089255731</v>
      </c>
      <c r="V133" s="3">
        <v>-1.0298036935966763</v>
      </c>
      <c r="W133" s="3">
        <v>-0.5048083702496271</v>
      </c>
      <c r="X133" s="3">
        <v>-0.52217700818424362</v>
      </c>
      <c r="Y133" s="3">
        <v>-0.61461412679228999</v>
      </c>
      <c r="Z133" s="3">
        <v>-1.2851648283842749</v>
      </c>
      <c r="AA133" s="3">
        <v>-1.8650975128707046</v>
      </c>
      <c r="AB133" s="3">
        <v>-2.5423578850048401</v>
      </c>
      <c r="AC133" s="3">
        <v>-3.037244277402074</v>
      </c>
      <c r="AD133" s="3">
        <v>-3.2758077895454178</v>
      </c>
      <c r="AE133" s="3">
        <v>-3.3683911875066244</v>
      </c>
      <c r="AF133" s="3">
        <v>-3.2375317666816841</v>
      </c>
      <c r="AG133" s="3">
        <v>-3.0872483898937304</v>
      </c>
      <c r="AH133" s="3">
        <v>-2.9225837307506808</v>
      </c>
      <c r="AI133" s="3">
        <v>-2.8399446663506893</v>
      </c>
      <c r="AJ133" s="3">
        <v>-2.8718173466955008</v>
      </c>
      <c r="AK133" s="3">
        <v>-2.9899724845353148</v>
      </c>
      <c r="AL133" s="3">
        <v>-3.196101198195521</v>
      </c>
      <c r="AM133" s="3">
        <v>-3.4212107972315167</v>
      </c>
      <c r="AN133" s="3">
        <v>-3.6421039861022422</v>
      </c>
      <c r="AO133" s="3">
        <v>-3.8204983649658786</v>
      </c>
      <c r="AP133" s="3">
        <v>-3.9403464003758941</v>
      </c>
      <c r="AQ133" s="3">
        <v>-4.0078888542474971</v>
      </c>
      <c r="AR133" s="3">
        <v>-4.0293150603974865</v>
      </c>
      <c r="AS133" s="3">
        <v>-4.0312026024811942</v>
      </c>
      <c r="AT133" s="3">
        <v>-4.0307003030490165</v>
      </c>
      <c r="AU133" s="3">
        <v>-4.0462777886711834</v>
      </c>
      <c r="AV133" s="3">
        <v>-4.0872763169595672</v>
      </c>
      <c r="AW133" s="3">
        <v>-4.1531045572302574</v>
      </c>
      <c r="AX133" s="3">
        <v>-4.2390552826473709</v>
      </c>
      <c r="AY133" s="3">
        <v>-4.3332283325079004</v>
      </c>
    </row>
    <row r="134" spans="2:51" x14ac:dyDescent="0.25">
      <c r="B134" t="s">
        <v>137</v>
      </c>
      <c r="C134" s="3">
        <v>103.88283208687011</v>
      </c>
      <c r="D134" s="3">
        <v>28.356809785099777</v>
      </c>
      <c r="E134" s="3">
        <v>-16.022658199141858</v>
      </c>
      <c r="F134" s="3">
        <v>-9.2325824381406605</v>
      </c>
      <c r="G134" s="3">
        <v>-24.601919049732128</v>
      </c>
      <c r="H134" s="3">
        <v>6.5346126015583508</v>
      </c>
      <c r="I134" s="3">
        <v>-6.5211183678810798</v>
      </c>
      <c r="J134" s="3">
        <v>6.8364612563508658</v>
      </c>
      <c r="K134" s="3">
        <v>12.66565786425793</v>
      </c>
      <c r="L134" s="3">
        <v>11.379695570655343</v>
      </c>
      <c r="M134" s="3">
        <v>14.83840042355105</v>
      </c>
      <c r="N134" s="3">
        <v>4.4602306691645666</v>
      </c>
      <c r="O134" s="3">
        <v>3.0369777457796872</v>
      </c>
      <c r="P134" s="3">
        <v>-2.8124585503194908</v>
      </c>
      <c r="Q134" s="3">
        <v>-5.5226680827993633</v>
      </c>
      <c r="R134" s="3">
        <v>-6.0530796070944106</v>
      </c>
      <c r="S134" s="3">
        <v>-7.413324677162386</v>
      </c>
      <c r="T134" s="3">
        <v>-5.0938722722921952</v>
      </c>
      <c r="U134" s="3">
        <v>-4.3273077385705534</v>
      </c>
      <c r="V134" s="3">
        <v>-2.4726081146719423</v>
      </c>
      <c r="W134" s="3">
        <v>-1.6311368826370369</v>
      </c>
      <c r="X134" s="3">
        <v>-1.7656485869653977</v>
      </c>
      <c r="Y134" s="3">
        <v>-2.1415348472082343</v>
      </c>
      <c r="Z134" s="3">
        <v>-3.6809218542931887</v>
      </c>
      <c r="AA134" s="3">
        <v>-5.0366002899051807</v>
      </c>
      <c r="AB134" s="3">
        <v>-6.6224378099633583</v>
      </c>
      <c r="AC134" s="3">
        <v>-7.7935869196653726</v>
      </c>
      <c r="AD134" s="3">
        <v>-8.4580468872586749</v>
      </c>
      <c r="AE134" s="3">
        <v>-8.7902841674866181</v>
      </c>
      <c r="AF134" s="3">
        <v>-8.6568563129851981</v>
      </c>
      <c r="AG134" s="3">
        <v>-8.4727107878465802</v>
      </c>
      <c r="AH134" s="3">
        <v>-8.2441104312778748</v>
      </c>
      <c r="AI134" s="3">
        <v>-8.1878893858402364</v>
      </c>
      <c r="AJ134" s="3">
        <v>-8.358931443052299</v>
      </c>
      <c r="AK134" s="3">
        <v>-8.7116712800087015</v>
      </c>
      <c r="AL134" s="3">
        <v>-9.2434658704233215</v>
      </c>
      <c r="AM134" s="3">
        <v>-9.8128719489261584</v>
      </c>
      <c r="AN134" s="3">
        <v>-10.372686732926468</v>
      </c>
      <c r="AO134" s="3">
        <v>-10.839540023526581</v>
      </c>
      <c r="AP134" s="3">
        <v>-11.182874287633723</v>
      </c>
      <c r="AQ134" s="3">
        <v>-11.412552091464036</v>
      </c>
      <c r="AR134" s="3">
        <v>-11.5427344822007</v>
      </c>
      <c r="AS134" s="3">
        <v>-11.628231500588058</v>
      </c>
      <c r="AT134" s="3">
        <v>-11.704578308179734</v>
      </c>
      <c r="AU134" s="3">
        <v>-11.811319272479324</v>
      </c>
      <c r="AV134" s="3">
        <v>-11.967621755437705</v>
      </c>
      <c r="AW134" s="3">
        <v>-12.173375102849988</v>
      </c>
      <c r="AX134" s="3">
        <v>-12.418837103331313</v>
      </c>
      <c r="AY134" s="3">
        <v>-12.679564953383149</v>
      </c>
    </row>
    <row r="135" spans="2:51" x14ac:dyDescent="0.25">
      <c r="B135" t="s">
        <v>138</v>
      </c>
      <c r="C135" s="3">
        <v>2271.4711137421496</v>
      </c>
      <c r="D135" s="3">
        <v>762.98741390891098</v>
      </c>
      <c r="E135" s="3">
        <v>-463.80130803211205</v>
      </c>
      <c r="F135" s="3">
        <v>295.02162149507581</v>
      </c>
      <c r="G135" s="3">
        <v>-671.68111882195808</v>
      </c>
      <c r="H135" s="3">
        <v>462.54657788070153</v>
      </c>
      <c r="I135" s="3">
        <v>104.61092005558839</v>
      </c>
      <c r="J135" s="3">
        <v>356.51253593856995</v>
      </c>
      <c r="K135" s="3">
        <v>548.38131156017698</v>
      </c>
      <c r="L135" s="3">
        <v>349.13857051761556</v>
      </c>
      <c r="M135" s="3">
        <v>546.64458726441376</v>
      </c>
      <c r="N135" s="3">
        <v>223.36364160608946</v>
      </c>
      <c r="O135" s="3">
        <v>214.87749907605621</v>
      </c>
      <c r="P135" s="3">
        <v>92.671340261262685</v>
      </c>
      <c r="Q135" s="3">
        <v>20.152756374447563</v>
      </c>
      <c r="R135" s="3">
        <v>61.156970086123238</v>
      </c>
      <c r="S135" s="3">
        <v>19.026819539782991</v>
      </c>
      <c r="T135" s="3">
        <v>100.44593123961022</v>
      </c>
      <c r="U135" s="3">
        <v>115.13082034536546</v>
      </c>
      <c r="V135" s="3">
        <v>154.16263985534397</v>
      </c>
      <c r="W135" s="3">
        <v>173.7780789027579</v>
      </c>
      <c r="X135" s="3">
        <v>155.85316002309173</v>
      </c>
      <c r="Y135" s="3">
        <v>147.82675688104337</v>
      </c>
      <c r="Z135" s="3">
        <v>106.25043956969739</v>
      </c>
      <c r="AA135" s="3">
        <v>78.212995311460872</v>
      </c>
      <c r="AB135" s="3">
        <v>46.701560398922993</v>
      </c>
      <c r="AC135" s="3">
        <v>24.370711064808802</v>
      </c>
      <c r="AD135" s="3">
        <v>16.939913449611595</v>
      </c>
      <c r="AE135" s="3">
        <v>12.973714648721398</v>
      </c>
      <c r="AF135" s="3">
        <v>20.417483516186621</v>
      </c>
      <c r="AG135" s="3">
        <v>26.045137365551909</v>
      </c>
      <c r="AH135" s="3">
        <v>31.502878378308196</v>
      </c>
      <c r="AI135" s="3">
        <v>32.561550010396786</v>
      </c>
      <c r="AJ135" s="3">
        <v>27.420652539869934</v>
      </c>
      <c r="AK135" s="3">
        <v>19.112313202596397</v>
      </c>
      <c r="AL135" s="3">
        <v>6.8049393363467061</v>
      </c>
      <c r="AM135" s="3">
        <v>-5.2969656854356799</v>
      </c>
      <c r="AN135" s="3">
        <v>-16.512759248619204</v>
      </c>
      <c r="AO135" s="3">
        <v>-25.221814048589295</v>
      </c>
      <c r="AP135" s="3">
        <v>-30.786997958488882</v>
      </c>
      <c r="AQ135" s="3">
        <v>-34.089134692874268</v>
      </c>
      <c r="AR135" s="3">
        <v>-35.397988069813437</v>
      </c>
      <c r="AS135" s="3">
        <v>-36.249368998170667</v>
      </c>
      <c r="AT135" s="3">
        <v>-37.340480670594843</v>
      </c>
      <c r="AU135" s="3">
        <v>-39.41938478093698</v>
      </c>
      <c r="AV135" s="3">
        <v>-42.795768854597554</v>
      </c>
      <c r="AW135" s="3">
        <v>-47.213566616459957</v>
      </c>
      <c r="AX135" s="3">
        <v>-52.39526775696595</v>
      </c>
      <c r="AY135" s="3">
        <v>-57.6963207068261</v>
      </c>
    </row>
    <row r="136" spans="2:51" x14ac:dyDescent="0.25">
      <c r="B136" t="s">
        <v>139</v>
      </c>
      <c r="C136" s="3">
        <v>395.85399904803353</v>
      </c>
      <c r="D136" s="3">
        <v>60.654911411591719</v>
      </c>
      <c r="E136" s="3">
        <v>-75.00901828209804</v>
      </c>
      <c r="F136" s="3">
        <v>-83.339817733193428</v>
      </c>
      <c r="G136" s="3">
        <v>-167.04295265344439</v>
      </c>
      <c r="H136" s="3">
        <v>23.049739188356028</v>
      </c>
      <c r="I136" s="3">
        <v>-55.703889892601694</v>
      </c>
      <c r="J136" s="3">
        <v>15.3735091243461</v>
      </c>
      <c r="K136" s="3">
        <v>22.288047718263584</v>
      </c>
      <c r="L136" s="3">
        <v>17.660620112055909</v>
      </c>
      <c r="M136" s="3">
        <v>40.023316218377232</v>
      </c>
      <c r="N136" s="3">
        <v>-10.030464775142065</v>
      </c>
      <c r="O136" s="3">
        <v>-5.2734408319910244</v>
      </c>
      <c r="P136" s="3">
        <v>-29.654251824113089</v>
      </c>
      <c r="Q136" s="3">
        <v>-32.241770451106817</v>
      </c>
      <c r="R136" s="3">
        <v>-28.795782740917389</v>
      </c>
      <c r="S136" s="3">
        <v>-31.287172364268287</v>
      </c>
      <c r="T136" s="3">
        <v>-16.309771137032754</v>
      </c>
      <c r="U136" s="3">
        <v>-12.44117892227942</v>
      </c>
      <c r="V136" s="3">
        <v>-1.8984464329667219</v>
      </c>
      <c r="W136" s="3">
        <v>2.1241333537085438</v>
      </c>
      <c r="X136" s="3">
        <v>2.4913368312229522</v>
      </c>
      <c r="Y136" s="3">
        <v>2.434100471241436</v>
      </c>
      <c r="Z136" s="3">
        <v>-2.7064702437716051</v>
      </c>
      <c r="AA136" s="3">
        <v>-5.6932517661370525</v>
      </c>
      <c r="AB136" s="3">
        <v>-9.9039826733462633</v>
      </c>
      <c r="AC136" s="3">
        <v>-11.8173984682889</v>
      </c>
      <c r="AD136" s="3">
        <v>-11.816769133973196</v>
      </c>
      <c r="AE136" s="3">
        <v>-10.786784195923872</v>
      </c>
      <c r="AF136" s="3">
        <v>-8.0385252816420802</v>
      </c>
      <c r="AG136" s="3">
        <v>-5.6695444641047175</v>
      </c>
      <c r="AH136" s="3">
        <v>-3.2716232301499417</v>
      </c>
      <c r="AI136" s="3">
        <v>-1.8545923615868674</v>
      </c>
      <c r="AJ136" s="3">
        <v>-1.3977361783531137</v>
      </c>
      <c r="AK136" s="3">
        <v>-1.6227130509083167</v>
      </c>
      <c r="AL136" s="3">
        <v>-2.5274008962394419</v>
      </c>
      <c r="AM136" s="3">
        <v>-3.43894170560867</v>
      </c>
      <c r="AN136" s="3">
        <v>-4.2775035553883072</v>
      </c>
      <c r="AO136" s="3">
        <v>-4.6990713389665189</v>
      </c>
      <c r="AP136" s="3">
        <v>-4.6618909845353187</v>
      </c>
      <c r="AQ136" s="3">
        <v>-4.2513966189176813</v>
      </c>
      <c r="AR136" s="3">
        <v>-3.5381026212377833</v>
      </c>
      <c r="AS136" s="3">
        <v>-2.771419144679669</v>
      </c>
      <c r="AT136" s="3">
        <v>-2.063627086018414</v>
      </c>
      <c r="AU136" s="3">
        <v>-1.5617016392141068</v>
      </c>
      <c r="AV136" s="3">
        <v>-1.3060820629410728</v>
      </c>
      <c r="AW136" s="3">
        <v>-1.2682008033266357</v>
      </c>
      <c r="AX136" s="3">
        <v>-1.3930460796017883</v>
      </c>
      <c r="AY136" s="3">
        <v>-1.5699080497776094</v>
      </c>
    </row>
    <row r="137" spans="2:51" x14ac:dyDescent="0.25">
      <c r="B137" t="s">
        <v>140</v>
      </c>
      <c r="C137" s="3">
        <v>1414.4307619665879</v>
      </c>
      <c r="D137" s="3">
        <v>-3.3028911484527157</v>
      </c>
      <c r="E137" s="3">
        <v>-906.29723574983916</v>
      </c>
      <c r="F137" s="3">
        <v>-102.57491809383455</v>
      </c>
      <c r="G137" s="3">
        <v>-177.82890222326398</v>
      </c>
      <c r="H137" s="3">
        <v>214.33996721308546</v>
      </c>
      <c r="I137" s="3">
        <v>-66.486702623679321</v>
      </c>
      <c r="J137" s="3">
        <v>91.5035272568241</v>
      </c>
      <c r="K137" s="3">
        <v>254.87442243618045</v>
      </c>
      <c r="L137" s="3">
        <v>152.25591715981625</v>
      </c>
      <c r="M137" s="3">
        <v>185.65624771504304</v>
      </c>
      <c r="N137" s="3">
        <v>25.245895433782493</v>
      </c>
      <c r="O137" s="3">
        <v>29.432566529652036</v>
      </c>
      <c r="P137" s="3">
        <v>-14.438827315556523</v>
      </c>
      <c r="Q137" s="3">
        <v>-46.859976511810146</v>
      </c>
      <c r="R137" s="3">
        <v>-28.870126585798175</v>
      </c>
      <c r="S137" s="3">
        <v>-41.143745035580878</v>
      </c>
      <c r="T137" s="3">
        <v>3.7403733152571021</v>
      </c>
      <c r="U137" s="3">
        <v>18.596934690954185</v>
      </c>
      <c r="V137" s="3">
        <v>40.435189258065066</v>
      </c>
      <c r="W137" s="3">
        <v>51.539127802258008</v>
      </c>
      <c r="X137" s="3">
        <v>44.057331456573593</v>
      </c>
      <c r="Y137" s="3">
        <v>38.95499943480138</v>
      </c>
      <c r="Z137" s="3">
        <v>17.962829407027357</v>
      </c>
      <c r="AA137" s="3">
        <v>2.9833640556704495</v>
      </c>
      <c r="AB137" s="3">
        <v>-11.753272607122312</v>
      </c>
      <c r="AC137" s="3">
        <v>-20.428344927456578</v>
      </c>
      <c r="AD137" s="3">
        <v>-20.919004593670707</v>
      </c>
      <c r="AE137" s="3">
        <v>-19.136681926107485</v>
      </c>
      <c r="AF137" s="3">
        <v>-12.44260955955292</v>
      </c>
      <c r="AG137" s="3">
        <v>-7.1570089553399612</v>
      </c>
      <c r="AH137" s="3">
        <v>-2.9056782540918675</v>
      </c>
      <c r="AI137" s="3">
        <v>-1.4807560153230952</v>
      </c>
      <c r="AJ137" s="3">
        <v>-3.4371367354574431</v>
      </c>
      <c r="AK137" s="3">
        <v>-7.0887484436295836</v>
      </c>
      <c r="AL137" s="3">
        <v>-12.484659141747215</v>
      </c>
      <c r="AM137" s="3">
        <v>-17.594265235120588</v>
      </c>
      <c r="AN137" s="3">
        <v>-22.011100499677923</v>
      </c>
      <c r="AO137" s="3">
        <v>-25.022667156692478</v>
      </c>
      <c r="AP137" s="3">
        <v>-26.396399775523605</v>
      </c>
      <c r="AQ137" s="3">
        <v>-26.619064134779251</v>
      </c>
      <c r="AR137" s="3">
        <v>-25.935535737501709</v>
      </c>
      <c r="AS137" s="3">
        <v>-25.138452982767717</v>
      </c>
      <c r="AT137" s="3">
        <v>-24.629250515185049</v>
      </c>
      <c r="AU137" s="3">
        <v>-24.777156569431668</v>
      </c>
      <c r="AV137" s="3">
        <v>-25.706670734434624</v>
      </c>
      <c r="AW137" s="3">
        <v>-27.24535929409592</v>
      </c>
      <c r="AX137" s="3">
        <v>-29.185416825574066</v>
      </c>
      <c r="AY137" s="3">
        <v>-31.160962431488201</v>
      </c>
    </row>
    <row r="138" spans="2:51" x14ac:dyDescent="0.25">
      <c r="B138" t="s">
        <v>141</v>
      </c>
      <c r="C138" s="3">
        <v>1041.6309385981735</v>
      </c>
      <c r="D138" s="3">
        <v>640.86695229315319</v>
      </c>
      <c r="E138" s="3">
        <v>-181.00416894411069</v>
      </c>
      <c r="F138" s="3">
        <v>566.95423488612278</v>
      </c>
      <c r="G138" s="3">
        <v>99.206288126129607</v>
      </c>
      <c r="H138" s="3">
        <v>475.40995237545792</v>
      </c>
      <c r="I138" s="3">
        <v>321.6291020720563</v>
      </c>
      <c r="J138" s="3">
        <v>357.1431499793166</v>
      </c>
      <c r="K138" s="3">
        <v>520.71021128824191</v>
      </c>
      <c r="L138" s="3">
        <v>358.91109671237132</v>
      </c>
      <c r="M138" s="3">
        <v>439.97527889041044</v>
      </c>
      <c r="N138" s="3">
        <v>290.28178233872518</v>
      </c>
      <c r="O138" s="3">
        <v>264.00212444476369</v>
      </c>
      <c r="P138" s="3">
        <v>217.05410073809526</v>
      </c>
      <c r="Q138" s="3">
        <v>150.13948651138526</v>
      </c>
      <c r="R138" s="3">
        <v>160.35353304993623</v>
      </c>
      <c r="S138" s="3">
        <v>120.0767449610687</v>
      </c>
      <c r="T138" s="3">
        <v>138.83651952198602</v>
      </c>
      <c r="U138" s="3">
        <v>133.41934388424238</v>
      </c>
      <c r="V138" s="3">
        <v>131.96609097559872</v>
      </c>
      <c r="W138" s="3">
        <v>132.36307226772124</v>
      </c>
      <c r="X138" s="3">
        <v>111.61979514587119</v>
      </c>
      <c r="Y138" s="3">
        <v>99.456162090295265</v>
      </c>
      <c r="Z138" s="3">
        <v>71.752840720635277</v>
      </c>
      <c r="AA138" s="3">
        <v>48.677878171008615</v>
      </c>
      <c r="AB138" s="3">
        <v>25.634715784071432</v>
      </c>
      <c r="AC138" s="3">
        <v>4.478848838684371</v>
      </c>
      <c r="AD138" s="3">
        <v>-8.7548669257330403</v>
      </c>
      <c r="AE138" s="3">
        <v>-21.047140040034947</v>
      </c>
      <c r="AF138" s="3">
        <v>-27.685244929836244</v>
      </c>
      <c r="AG138" s="3">
        <v>-34.252400143238219</v>
      </c>
      <c r="AH138" s="3">
        <v>-40.662617674094236</v>
      </c>
      <c r="AI138" s="3">
        <v>-47.966871623571478</v>
      </c>
      <c r="AJ138" s="3">
        <v>-57.829075728345288</v>
      </c>
      <c r="AK138" s="3">
        <v>-68.544015871999363</v>
      </c>
      <c r="AL138" s="3">
        <v>-80.818501583707302</v>
      </c>
      <c r="AM138" s="3">
        <v>-92.923411359284273</v>
      </c>
      <c r="AN138" s="3">
        <v>-104.45825288602896</v>
      </c>
      <c r="AO138" s="3">
        <v>-114.91281034316671</v>
      </c>
      <c r="AP138" s="3">
        <v>-123.79658919362373</v>
      </c>
      <c r="AQ138" s="3">
        <v>-131.55249030946106</v>
      </c>
      <c r="AR138" s="3">
        <v>-138.19127913095622</v>
      </c>
      <c r="AS138" s="3">
        <v>-144.33797081698253</v>
      </c>
      <c r="AT138" s="3">
        <v>-150.31588308891878</v>
      </c>
      <c r="AU138" s="3">
        <v>-156.41792904325052</v>
      </c>
      <c r="AV138" s="3">
        <v>-162.85236909320315</v>
      </c>
      <c r="AW138" s="3">
        <v>-169.5250957344997</v>
      </c>
      <c r="AX138" s="3">
        <v>-176.36851770997782</v>
      </c>
      <c r="AY138" s="3">
        <v>-183.1342479653656</v>
      </c>
    </row>
    <row r="139" spans="2:51" x14ac:dyDescent="0.25">
      <c r="B139" t="s">
        <v>148</v>
      </c>
      <c r="C139" s="4">
        <f>SUM(C2:C138)</f>
        <v>101987.28176622784</v>
      </c>
      <c r="D139" s="4">
        <f t="shared" ref="D139:AY139" si="0">SUM(D2:D138)</f>
        <v>55144.051903463798</v>
      </c>
      <c r="E139" s="4">
        <f t="shared" si="0"/>
        <v>1198.9497503460404</v>
      </c>
      <c r="F139" s="4">
        <f t="shared" si="0"/>
        <v>43123.722673947981</v>
      </c>
      <c r="G139" s="4">
        <f t="shared" si="0"/>
        <v>15888.060945577943</v>
      </c>
      <c r="H139" s="4">
        <f t="shared" si="0"/>
        <v>43126.474762016056</v>
      </c>
      <c r="I139" s="4">
        <f t="shared" si="0"/>
        <v>27263.809054433121</v>
      </c>
      <c r="J139" s="4">
        <f t="shared" si="0"/>
        <v>32747.011481927791</v>
      </c>
      <c r="K139" s="4">
        <f t="shared" si="0"/>
        <v>42846.15564832613</v>
      </c>
      <c r="L139" s="4">
        <f t="shared" si="0"/>
        <v>34818.479773662511</v>
      </c>
      <c r="M139" s="4">
        <f t="shared" si="0"/>
        <v>39357.658834312249</v>
      </c>
      <c r="N139" s="4">
        <f t="shared" si="0"/>
        <v>27669.867710671577</v>
      </c>
      <c r="O139" s="4">
        <f t="shared" si="0"/>
        <v>25836.838195321314</v>
      </c>
      <c r="P139" s="4">
        <f t="shared" si="0"/>
        <v>21473.264473253264</v>
      </c>
      <c r="Q139" s="4">
        <f t="shared" si="0"/>
        <v>17278.956504607806</v>
      </c>
      <c r="R139" s="4">
        <f t="shared" si="0"/>
        <v>17334.252193466295</v>
      </c>
      <c r="S139" s="4">
        <f t="shared" si="0"/>
        <v>14541.664218312875</v>
      </c>
      <c r="T139" s="4">
        <f t="shared" si="0"/>
        <v>15850.188911352319</v>
      </c>
      <c r="U139" s="4">
        <f t="shared" si="0"/>
        <v>15295.070664551966</v>
      </c>
      <c r="V139" s="4">
        <f t="shared" si="0"/>
        <v>15326.282394140268</v>
      </c>
      <c r="W139" s="4">
        <f t="shared" si="0"/>
        <v>15124.721382914822</v>
      </c>
      <c r="X139" s="4">
        <f t="shared" si="0"/>
        <v>13711.770133795038</v>
      </c>
      <c r="Y139" s="4">
        <f t="shared" si="0"/>
        <v>12765.23696300866</v>
      </c>
      <c r="Z139" s="4">
        <f t="shared" si="0"/>
        <v>10731.770303028097</v>
      </c>
      <c r="AA139" s="4">
        <f t="shared" si="0"/>
        <v>9024.5425339125741</v>
      </c>
      <c r="AB139" s="4">
        <f t="shared" si="0"/>
        <v>7209.9900126453067</v>
      </c>
      <c r="AC139" s="4">
        <f t="shared" si="0"/>
        <v>5601.4056377423276</v>
      </c>
      <c r="AD139" s="4">
        <f t="shared" si="0"/>
        <v>4508.2345953301692</v>
      </c>
      <c r="AE139" s="4">
        <f t="shared" si="0"/>
        <v>3545.4555528323353</v>
      </c>
      <c r="AF139" s="4">
        <f t="shared" si="0"/>
        <v>3008.8542165788454</v>
      </c>
      <c r="AG139" s="4">
        <f t="shared" si="0"/>
        <v>2495.1192694365564</v>
      </c>
      <c r="AH139" s="4">
        <f t="shared" si="0"/>
        <v>2023.3387362470771</v>
      </c>
      <c r="AI139" s="4">
        <f t="shared" si="0"/>
        <v>1467.6729271524819</v>
      </c>
      <c r="AJ139" s="4">
        <f t="shared" si="0"/>
        <v>732.45898363885453</v>
      </c>
      <c r="AK139" s="4">
        <f t="shared" si="0"/>
        <v>-85.23819277443647</v>
      </c>
      <c r="AL139" s="4">
        <f t="shared" si="0"/>
        <v>-1022.2416520308853</v>
      </c>
      <c r="AM139" s="4">
        <f t="shared" si="0"/>
        <v>-1949.3042989381538</v>
      </c>
      <c r="AN139" s="4">
        <f t="shared" si="0"/>
        <v>-2838.4846712900453</v>
      </c>
      <c r="AO139" s="4">
        <f t="shared" si="0"/>
        <v>-3641.5222593521498</v>
      </c>
      <c r="AP139" s="4">
        <f t="shared" si="0"/>
        <v>-4329.4205262525911</v>
      </c>
      <c r="AQ139" s="4">
        <f t="shared" si="0"/>
        <v>-4928.8062531017631</v>
      </c>
      <c r="AR139" s="4">
        <f t="shared" si="0"/>
        <v>-5443.6073173711611</v>
      </c>
      <c r="AS139" s="4">
        <f t="shared" si="0"/>
        <v>-5919.6018658141802</v>
      </c>
      <c r="AT139" s="4">
        <f t="shared" si="0"/>
        <v>-6379.6632143288343</v>
      </c>
      <c r="AU139" s="4">
        <f t="shared" si="0"/>
        <v>-6847.8593583073753</v>
      </c>
      <c r="AV139" s="4">
        <f t="shared" si="0"/>
        <v>-7338.6190028233723</v>
      </c>
      <c r="AW139" s="4">
        <f t="shared" si="0"/>
        <v>-7847.4404977750974</v>
      </c>
      <c r="AX139" s="4">
        <f t="shared" si="0"/>
        <v>-8369.562534291601</v>
      </c>
      <c r="AY139" s="4">
        <f t="shared" si="0"/>
        <v>-8887.1308995066593</v>
      </c>
    </row>
    <row r="140" spans="2:51" x14ac:dyDescent="0.25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2:51" x14ac:dyDescent="0.25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</sheetData>
  <autoFilter ref="B1:AY138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0"/>
  <sheetViews>
    <sheetView topLeftCell="DG1" workbookViewId="0">
      <selection activeCell="EI1" sqref="EI1"/>
    </sheetView>
  </sheetViews>
  <sheetFormatPr defaultRowHeight="15" x14ac:dyDescent="0.25"/>
  <sheetData>
    <row r="1" spans="1:139" x14ac:dyDescent="0.25">
      <c r="A1" t="str">
        <f t="array" ref="A1:EI50">TRANSPOSE(Dados!B1:AY139)</f>
        <v>Regiao</v>
      </c>
      <c r="B1" t="str">
        <v>Ro - Madeira-Guapore</v>
      </c>
      <c r="C1" t="str">
        <v>Ro - Leste Rondoniense</v>
      </c>
      <c r="D1" t="str">
        <v>Ac - Vale do Jurua</v>
      </c>
      <c r="E1" t="str">
        <v>Ac - Vale do Acre</v>
      </c>
      <c r="F1" t="str">
        <v>Am - Norte Amazonense</v>
      </c>
      <c r="G1" t="str">
        <v>Am - Sudoeste Amazonense</v>
      </c>
      <c r="H1" t="str">
        <v>Am - Centro Amazonense</v>
      </c>
      <c r="I1" t="str">
        <v>Am - Sul Amazonense</v>
      </c>
      <c r="J1" t="str">
        <v>Rr - Norte de Roraima</v>
      </c>
      <c r="K1" t="str">
        <v>Rr - Sul de Roraima</v>
      </c>
      <c r="L1" t="str">
        <v>Pa - Baixo Amazonas</v>
      </c>
      <c r="M1" t="str">
        <v>Pa - Marajo</v>
      </c>
      <c r="N1" t="str">
        <v>Pa - Metropol de Belem</v>
      </c>
      <c r="O1" t="str">
        <v>Pa - Nordeste Paraense</v>
      </c>
      <c r="P1" t="str">
        <v>Pa - Sudoeste Paraense</v>
      </c>
      <c r="Q1" t="str">
        <v>Pa - Sudeste Paraense</v>
      </c>
      <c r="R1" t="str">
        <v>Ap - Norte do Amapa</v>
      </c>
      <c r="S1" t="str">
        <v>Ap - Sul do Amapa</v>
      </c>
      <c r="T1" t="str">
        <v>To - Ocidental do TO</v>
      </c>
      <c r="U1" t="str">
        <v>To - Oriental do TO</v>
      </c>
      <c r="V1" t="str">
        <v>Ma - Norte Maranhense</v>
      </c>
      <c r="W1" t="str">
        <v>Ma - Oeste Maranhense</v>
      </c>
      <c r="X1" t="str">
        <v>Ma - Centro Maranhense</v>
      </c>
      <c r="Y1" t="str">
        <v>Ma - Leste Maranhense</v>
      </c>
      <c r="Z1" t="str">
        <v>Ma - Sul Maranhense</v>
      </c>
      <c r="AA1" t="str">
        <v>Pi - Norte Piauiense</v>
      </c>
      <c r="AB1" t="str">
        <v>Pi - Centro-Norte Piaui</v>
      </c>
      <c r="AC1" t="str">
        <v>Pi - Sudoeste Piauiense</v>
      </c>
      <c r="AD1" t="str">
        <v>Pi - Sudeste Piauiense</v>
      </c>
      <c r="AE1" t="str">
        <v>Ce - Noroeste Cearense</v>
      </c>
      <c r="AF1" t="str">
        <v>Ce - Norte Cearense</v>
      </c>
      <c r="AG1" t="str">
        <v>Ce - Metropol Fortaleza</v>
      </c>
      <c r="AH1" t="str">
        <v>Ce - Sertoes Cearenses</v>
      </c>
      <c r="AI1" t="str">
        <v>Ce - Jaguaribe</v>
      </c>
      <c r="AJ1" t="str">
        <v>Ce - Centro-Sul Cearense</v>
      </c>
      <c r="AK1" t="str">
        <v>Ce - Sul Cearense</v>
      </c>
      <c r="AL1" t="str">
        <v>Rn - Oeste Potiguar</v>
      </c>
      <c r="AM1" t="str">
        <v>Rn - Central Potiguar</v>
      </c>
      <c r="AN1" t="str">
        <v>Rn - Agreste Potiguar</v>
      </c>
      <c r="AO1" t="str">
        <v>Rn - Leste Potiguar</v>
      </c>
      <c r="AP1" t="str">
        <v>Pb - Sertao Paraibano</v>
      </c>
      <c r="AQ1" t="str">
        <v>Pb - Borborema</v>
      </c>
      <c r="AR1" t="str">
        <v>Pb - Agreste Paraibano</v>
      </c>
      <c r="AS1" t="str">
        <v>Pb - Mata Paraibana</v>
      </c>
      <c r="AT1" t="str">
        <v>Pe - Sertao Pernambucano</v>
      </c>
      <c r="AU1" t="str">
        <v>Pe - Sao Francisco PE</v>
      </c>
      <c r="AV1" t="str">
        <v>Pe - Agreste Pernambucano</v>
      </c>
      <c r="AW1" t="str">
        <v>Pe - Mata Pernambucana</v>
      </c>
      <c r="AX1" t="str">
        <v>Pe - Metropol de Recife</v>
      </c>
      <c r="AY1" t="str">
        <v>Al - Sertao Alagoano</v>
      </c>
      <c r="AZ1" t="str">
        <v>Al - Agreste Alagoano</v>
      </c>
      <c r="BA1" t="str">
        <v>Al - Leste Alagoano</v>
      </c>
      <c r="BB1" t="str">
        <v>Se - Sertao Sergipano</v>
      </c>
      <c r="BC1" t="str">
        <v>Se - Agreste Sergipano</v>
      </c>
      <c r="BD1" t="str">
        <v>Se - Leste Sergipano</v>
      </c>
      <c r="BE1" t="str">
        <v>Ba - Extremo Oeste Baiano</v>
      </c>
      <c r="BF1" t="str">
        <v>Ba - Vale Sao-Fran da BA</v>
      </c>
      <c r="BG1" t="str">
        <v>Ba - Centro Norte Baiano</v>
      </c>
      <c r="BH1" t="str">
        <v>Ba - Nordeste Baiano</v>
      </c>
      <c r="BI1" t="str">
        <v>Ba - Metropol de Salvador</v>
      </c>
      <c r="BJ1" t="str">
        <v>Ba - Centro Sul Baiano</v>
      </c>
      <c r="BK1" t="str">
        <v>Ba - Sul Baiano</v>
      </c>
      <c r="BL1" t="str">
        <v>Mg - Noroeste de Minas</v>
      </c>
      <c r="BM1" t="str">
        <v>Mg - Norte de Minas</v>
      </c>
      <c r="BN1" t="str">
        <v>Mg - Jequitinhonha</v>
      </c>
      <c r="BO1" t="str">
        <v>Mg - Vale do Mucuri</v>
      </c>
      <c r="BP1" t="str">
        <v>Mg - Triang Mineiro</v>
      </c>
      <c r="BQ1" t="str">
        <v>Mg - Central Mineira</v>
      </c>
      <c r="BR1" t="str">
        <v>Mg - Metropol de BH</v>
      </c>
      <c r="BS1" t="str">
        <v>Mg - Vale do Rio Doce</v>
      </c>
      <c r="BT1" t="str">
        <v>Mg - Oeste de Minas</v>
      </c>
      <c r="BU1" t="str">
        <v>Mg - Sul-Sudoeste MG</v>
      </c>
      <c r="BV1" t="str">
        <v>Mg - Campo das Vertentes</v>
      </c>
      <c r="BW1" t="str">
        <v>Mg - Zona da Mata</v>
      </c>
      <c r="BX1" t="str">
        <v>Es - Noroeste ES</v>
      </c>
      <c r="BY1" t="str">
        <v>Es - Litoral Norte ES</v>
      </c>
      <c r="BZ1" t="str">
        <v>Es - Central ES</v>
      </c>
      <c r="CA1" t="str">
        <v>Es - Sul ES</v>
      </c>
      <c r="CB1" t="str">
        <v>Rj - Noroeste Fluminense</v>
      </c>
      <c r="CC1" t="str">
        <v>Rj - Norte Fluminense</v>
      </c>
      <c r="CD1" t="str">
        <v>Rj - Centro Fluminense</v>
      </c>
      <c r="CE1" t="str">
        <v>Rj - Baixadas</v>
      </c>
      <c r="CF1" t="str">
        <v>Rj - Sul Fluminense</v>
      </c>
      <c r="CG1" t="str">
        <v>Rj - Metropol do RJ</v>
      </c>
      <c r="CH1" t="str">
        <v>Sp - Sao Jose do Rio Preto</v>
      </c>
      <c r="CI1" t="str">
        <v>Sp - Ribeirao Preto</v>
      </c>
      <c r="CJ1" t="str">
        <v>Sp - Aracatuba</v>
      </c>
      <c r="CK1" t="str">
        <v>Sp - Bauru</v>
      </c>
      <c r="CL1" t="str">
        <v>Sp - Araraquara</v>
      </c>
      <c r="CM1" t="str">
        <v>Sp - Piracicaba</v>
      </c>
      <c r="CN1" t="str">
        <v>Sp - Campinas</v>
      </c>
      <c r="CO1" t="str">
        <v>Sp - Presidente Prudente</v>
      </c>
      <c r="CP1" t="str">
        <v>Sp - Marilia</v>
      </c>
      <c r="CQ1" t="str">
        <v>Sp - Assis</v>
      </c>
      <c r="CR1" t="str">
        <v>Sp - Itapetininga</v>
      </c>
      <c r="CS1" t="str">
        <v>Sp - Macro Metropol SP</v>
      </c>
      <c r="CT1" t="str">
        <v>Sp - Vale do Paraiba SP</v>
      </c>
      <c r="CU1" t="str">
        <v>Sp - Litoral Sul SP</v>
      </c>
      <c r="CV1" t="str">
        <v>Sp - Metropol Sao Paulo</v>
      </c>
      <c r="CW1" t="str">
        <v>Pr - Noroeste PR</v>
      </c>
      <c r="CX1" t="str">
        <v>Pr - Centro Ocidental PR</v>
      </c>
      <c r="CY1" t="str">
        <v>Pr - Norte Central PR</v>
      </c>
      <c r="CZ1" t="str">
        <v>Pr - Norte Pioneiro PR</v>
      </c>
      <c r="DA1" t="str">
        <v>Pr - Centro Oriental PR</v>
      </c>
      <c r="DB1" t="str">
        <v>Pr - Oeste PR</v>
      </c>
      <c r="DC1" t="str">
        <v>Pr - Sudoeste PR</v>
      </c>
      <c r="DD1" t="str">
        <v>Pr - Centro-Sul PR</v>
      </c>
      <c r="DE1" t="str">
        <v>Pr - Sudeste PR</v>
      </c>
      <c r="DF1" t="str">
        <v>Pr - Metropol de Curitiba</v>
      </c>
      <c r="DG1" t="str">
        <v>Sc - Oeste Catarinense</v>
      </c>
      <c r="DH1" t="str">
        <v>Sc - Norte Catarinense</v>
      </c>
      <c r="DI1" t="str">
        <v>Sc - Serrana</v>
      </c>
      <c r="DJ1" t="str">
        <v>Sc - Vale do Itajai</v>
      </c>
      <c r="DK1" t="str">
        <v>Sc - Grande Florianopolis</v>
      </c>
      <c r="DL1" t="str">
        <v>Sc - Sul Catarinense</v>
      </c>
      <c r="DM1" t="str">
        <v>Rs - Noroeste RS</v>
      </c>
      <c r="DN1" t="str">
        <v>Rs - Nordeste RS</v>
      </c>
      <c r="DO1" t="str">
        <v>Rs - Centro Ocidental RS</v>
      </c>
      <c r="DP1" t="str">
        <v>Rs - Centro Oriental RS</v>
      </c>
      <c r="DQ1" t="str">
        <v>Rs - Metropol Porto Alegre</v>
      </c>
      <c r="DR1" t="str">
        <v>Rs - Sudoeste RS</v>
      </c>
      <c r="DS1" t="str">
        <v>Rs - Sudeste RS</v>
      </c>
      <c r="DT1" t="str">
        <v>Ms - Pantanais Sul MT</v>
      </c>
      <c r="DU1" t="str">
        <v>Ms - Centro Norte de MS</v>
      </c>
      <c r="DV1" t="str">
        <v>Ms - Leste de MS</v>
      </c>
      <c r="DW1" t="str">
        <v>Ms - Sudoeste de MS</v>
      </c>
      <c r="DX1" t="str">
        <v>Mt - Norte MT</v>
      </c>
      <c r="DY1" t="str">
        <v>Mt - Nordeste MT</v>
      </c>
      <c r="DZ1" t="str">
        <v>Mt - Sudoeste MT</v>
      </c>
      <c r="EA1" t="str">
        <v>Mt - Centro-Sul MT</v>
      </c>
      <c r="EB1" t="str">
        <v>Mt - Sudeste MT</v>
      </c>
      <c r="EC1" t="str">
        <v>Go - Noroeste Goiano</v>
      </c>
      <c r="ED1" t="str">
        <v>Go - Norte Goiano</v>
      </c>
      <c r="EE1" t="str">
        <v>Go - Centro Goiano</v>
      </c>
      <c r="EF1" t="str">
        <v>Go - Leste Goiano</v>
      </c>
      <c r="EG1" t="str">
        <v>Go - Sul Goiano</v>
      </c>
      <c r="EH1" t="str">
        <v>Go - Distrito Federal</v>
      </c>
      <c r="EI1" t="str">
        <v>BRASIL</v>
      </c>
    </row>
    <row r="2" spans="1:139" x14ac:dyDescent="0.25">
      <c r="A2">
        <v>0</v>
      </c>
      <c r="B2">
        <v>319.60028464875114</v>
      </c>
      <c r="C2">
        <v>346.5960396326717</v>
      </c>
      <c r="D2">
        <v>6.0914460564066877</v>
      </c>
      <c r="E2">
        <v>164.72550324607062</v>
      </c>
      <c r="F2">
        <v>11.944164875996238</v>
      </c>
      <c r="G2">
        <v>2.4530587034992379</v>
      </c>
      <c r="H2">
        <v>1773.3851720403159</v>
      </c>
      <c r="I2">
        <v>12.982749220250437</v>
      </c>
      <c r="J2">
        <v>49.975769516814331</v>
      </c>
      <c r="K2">
        <v>2.6449148103024638</v>
      </c>
      <c r="L2">
        <v>124.3258363957822</v>
      </c>
      <c r="M2">
        <v>17.90419308898786</v>
      </c>
      <c r="N2">
        <v>653.77917910601104</v>
      </c>
      <c r="O2">
        <v>140.11355118490513</v>
      </c>
      <c r="P2">
        <v>218.49126070993665</v>
      </c>
      <c r="Q2">
        <v>752.14140541872291</v>
      </c>
      <c r="R2">
        <v>28.533179694878903</v>
      </c>
      <c r="S2">
        <v>112.86753952098168</v>
      </c>
      <c r="T2">
        <v>220.35563244738091</v>
      </c>
      <c r="U2">
        <v>250.62503874582899</v>
      </c>
      <c r="V2">
        <v>614.91846659191924</v>
      </c>
      <c r="W2">
        <v>271.82557110197729</v>
      </c>
      <c r="X2">
        <v>43.279799013114406</v>
      </c>
      <c r="Y2">
        <v>207.42334873335176</v>
      </c>
      <c r="Z2">
        <v>262.33451489701469</v>
      </c>
      <c r="AA2">
        <v>22.825898384859808</v>
      </c>
      <c r="AB2">
        <v>411.18971128350734</v>
      </c>
      <c r="AC2">
        <v>88.497766741548688</v>
      </c>
      <c r="AD2">
        <v>74.864542818664759</v>
      </c>
      <c r="AE2">
        <v>289.22705908839606</v>
      </c>
      <c r="AF2">
        <v>180.0430762144677</v>
      </c>
      <c r="AG2">
        <v>858.87836719052825</v>
      </c>
      <c r="AH2">
        <v>71.087588278881867</v>
      </c>
      <c r="AI2">
        <v>287.92918877608213</v>
      </c>
      <c r="AJ2">
        <v>52.579111086754963</v>
      </c>
      <c r="AK2">
        <v>193.09177703101329</v>
      </c>
      <c r="AL2">
        <v>333.72979471337266</v>
      </c>
      <c r="AM2">
        <v>50.187957359025468</v>
      </c>
      <c r="AN2">
        <v>21.061358385908946</v>
      </c>
      <c r="AO2">
        <v>492.08410149931677</v>
      </c>
      <c r="AP2">
        <v>59.290809644909196</v>
      </c>
      <c r="AQ2">
        <v>15.188888975060282</v>
      </c>
      <c r="AR2">
        <v>187.77379221958444</v>
      </c>
      <c r="AS2">
        <v>799.28178788831565</v>
      </c>
      <c r="AT2">
        <v>63.94530518519219</v>
      </c>
      <c r="AU2">
        <v>212.15299539408898</v>
      </c>
      <c r="AV2">
        <v>224.64177375162382</v>
      </c>
      <c r="AW2">
        <v>616.03446674718225</v>
      </c>
      <c r="AX2">
        <v>872.86134740952207</v>
      </c>
      <c r="AY2">
        <v>1.4881763560360053</v>
      </c>
      <c r="AZ2">
        <v>78.644251400591969</v>
      </c>
      <c r="BA2">
        <v>-228.2502987874683</v>
      </c>
      <c r="BB2">
        <v>11.001910104056771</v>
      </c>
      <c r="BC2">
        <v>15.297171915153875</v>
      </c>
      <c r="BD2">
        <v>403.05672484791023</v>
      </c>
      <c r="BE2">
        <v>397.31503064775382</v>
      </c>
      <c r="BF2">
        <v>169.50114716654454</v>
      </c>
      <c r="BG2">
        <v>295.31988274861021</v>
      </c>
      <c r="BH2">
        <v>121.85971967954561</v>
      </c>
      <c r="BI2">
        <v>1128.957260112797</v>
      </c>
      <c r="BJ2">
        <v>313.39206745385076</v>
      </c>
      <c r="BK2">
        <v>359.13091023805782</v>
      </c>
      <c r="BL2">
        <v>189.39649497679264</v>
      </c>
      <c r="BM2">
        <v>171.37633184141458</v>
      </c>
      <c r="BN2">
        <v>79.994304871791314</v>
      </c>
      <c r="BO2">
        <v>96.517983037415945</v>
      </c>
      <c r="BP2">
        <v>2023.56177904372</v>
      </c>
      <c r="BQ2">
        <v>348.38388372622774</v>
      </c>
      <c r="BR2">
        <v>4701.8868899654772</v>
      </c>
      <c r="BS2">
        <v>358.03724718926651</v>
      </c>
      <c r="BT2">
        <v>1269.0074575042754</v>
      </c>
      <c r="BU2">
        <v>1628.4863317056845</v>
      </c>
      <c r="BV2">
        <v>102.59554131866248</v>
      </c>
      <c r="BW2">
        <v>772.02662167493611</v>
      </c>
      <c r="BX2">
        <v>301.45882122217205</v>
      </c>
      <c r="BY2">
        <v>564.55865120185547</v>
      </c>
      <c r="BZ2">
        <v>869.11200165272601</v>
      </c>
      <c r="CA2">
        <v>133.13468509775862</v>
      </c>
      <c r="CB2">
        <v>117.35027477000571</v>
      </c>
      <c r="CC2">
        <v>626.3185921974673</v>
      </c>
      <c r="CD2">
        <v>187.52461141132625</v>
      </c>
      <c r="CE2">
        <v>61.985839099512241</v>
      </c>
      <c r="CF2">
        <v>258.31475773660725</v>
      </c>
      <c r="CG2">
        <v>2590.5281271231702</v>
      </c>
      <c r="CH2">
        <v>2917.8883825369553</v>
      </c>
      <c r="CI2">
        <v>5588.3629019737218</v>
      </c>
      <c r="CJ2">
        <v>1716.2308705011797</v>
      </c>
      <c r="CK2">
        <v>1898.1599487704807</v>
      </c>
      <c r="CL2">
        <v>1049.3457335196861</v>
      </c>
      <c r="CM2">
        <v>2109.3294483772202</v>
      </c>
      <c r="CN2">
        <v>3930.235008300031</v>
      </c>
      <c r="CO2">
        <v>722.37691242019923</v>
      </c>
      <c r="CP2">
        <v>212.78404651141827</v>
      </c>
      <c r="CQ2">
        <v>790.5916772443104</v>
      </c>
      <c r="CR2">
        <v>969.83522022101874</v>
      </c>
      <c r="CS2">
        <v>2341.3893796245275</v>
      </c>
      <c r="CT2">
        <v>1244.0795380502359</v>
      </c>
      <c r="CU2">
        <v>33.808108940201286</v>
      </c>
      <c r="CV2">
        <v>13063.196188531863</v>
      </c>
      <c r="CW2">
        <v>1191.5016057172961</v>
      </c>
      <c r="CX2">
        <v>203.51289482089084</v>
      </c>
      <c r="CY2">
        <v>2128.2412395391839</v>
      </c>
      <c r="CZ2">
        <v>329.94237310925564</v>
      </c>
      <c r="DA2">
        <v>378.49301872216677</v>
      </c>
      <c r="DB2">
        <v>888.37491286104682</v>
      </c>
      <c r="DC2">
        <v>351.91750889617538</v>
      </c>
      <c r="DD2">
        <v>236.66587469231109</v>
      </c>
      <c r="DE2">
        <v>100.11582502323512</v>
      </c>
      <c r="DF2">
        <v>2578.4127761838254</v>
      </c>
      <c r="DG2">
        <v>1153.0492399759551</v>
      </c>
      <c r="DH2">
        <v>1188.4574430470307</v>
      </c>
      <c r="DI2">
        <v>283.94139667252858</v>
      </c>
      <c r="DJ2">
        <v>2052.0551330229346</v>
      </c>
      <c r="DK2">
        <v>646.43395549706702</v>
      </c>
      <c r="DL2">
        <v>496.81640503830499</v>
      </c>
      <c r="DM2">
        <v>970.66113499866424</v>
      </c>
      <c r="DN2">
        <v>1371.2695155408726</v>
      </c>
      <c r="DO2">
        <v>178.51644973518995</v>
      </c>
      <c r="DP2">
        <v>389.1842135369377</v>
      </c>
      <c r="DQ2">
        <v>2380.0325301821917</v>
      </c>
      <c r="DR2">
        <v>142.55101099288689</v>
      </c>
      <c r="DS2">
        <v>439.00983504258585</v>
      </c>
      <c r="DT2">
        <v>45.779378969268862</v>
      </c>
      <c r="DU2">
        <v>625.93586459606581</v>
      </c>
      <c r="DV2">
        <v>518.03040224461608</v>
      </c>
      <c r="DW2">
        <v>599.91688699924282</v>
      </c>
      <c r="DX2">
        <v>1083.6019504450892</v>
      </c>
      <c r="DY2">
        <v>254.37844157936405</v>
      </c>
      <c r="DZ2">
        <v>298.22130016985477</v>
      </c>
      <c r="EA2">
        <v>453.92556366102724</v>
      </c>
      <c r="EB2">
        <v>554.54355023404185</v>
      </c>
      <c r="EC2">
        <v>52.871855794475159</v>
      </c>
      <c r="ED2">
        <v>103.88283208687011</v>
      </c>
      <c r="EE2">
        <v>2271.4711137421496</v>
      </c>
      <c r="EF2">
        <v>395.85399904803353</v>
      </c>
      <c r="EG2">
        <v>1414.4307619665879</v>
      </c>
      <c r="EH2">
        <v>1041.6309385981735</v>
      </c>
      <c r="EI2">
        <v>101987.28176622784</v>
      </c>
    </row>
    <row r="3" spans="1:139" x14ac:dyDescent="0.25">
      <c r="A3">
        <v>1</v>
      </c>
      <c r="B3">
        <v>154.75118095641321</v>
      </c>
      <c r="C3">
        <v>131.27727957765973</v>
      </c>
      <c r="D3">
        <v>-2.8634891127887232</v>
      </c>
      <c r="E3">
        <v>101.70263371592455</v>
      </c>
      <c r="F3">
        <v>-5.2646265625252546</v>
      </c>
      <c r="G3">
        <v>1.2693800093959093</v>
      </c>
      <c r="H3">
        <v>1153.6882470687103</v>
      </c>
      <c r="I3">
        <v>2.1856113187933395</v>
      </c>
      <c r="J3">
        <v>60.205142454389275</v>
      </c>
      <c r="K3">
        <v>2.5356105249404397</v>
      </c>
      <c r="L3">
        <v>118.71307516503072</v>
      </c>
      <c r="M3">
        <v>13.557916074413521</v>
      </c>
      <c r="N3">
        <v>531.34735249618257</v>
      </c>
      <c r="O3">
        <v>165.30776399621141</v>
      </c>
      <c r="P3">
        <v>176.84188178726498</v>
      </c>
      <c r="Q3">
        <v>504.97746128258427</v>
      </c>
      <c r="R3">
        <v>19.367244608015266</v>
      </c>
      <c r="S3">
        <v>179.96344904397648</v>
      </c>
      <c r="T3">
        <v>56.081526576665468</v>
      </c>
      <c r="U3">
        <v>61.330921743199411</v>
      </c>
      <c r="V3">
        <v>556.78417702487798</v>
      </c>
      <c r="W3">
        <v>209.58053880039739</v>
      </c>
      <c r="X3">
        <v>48.989993948324454</v>
      </c>
      <c r="Y3">
        <v>157.47768028196253</v>
      </c>
      <c r="Z3">
        <v>161.90880120118368</v>
      </c>
      <c r="AA3">
        <v>31.446569200544182</v>
      </c>
      <c r="AB3">
        <v>262.13771983703231</v>
      </c>
      <c r="AC3">
        <v>61.511011594666478</v>
      </c>
      <c r="AD3">
        <v>46.373425558786273</v>
      </c>
      <c r="AE3">
        <v>239.46506344800241</v>
      </c>
      <c r="AF3">
        <v>220.98300518846997</v>
      </c>
      <c r="AG3">
        <v>1570.1686332077661</v>
      </c>
      <c r="AH3">
        <v>40.244222285688977</v>
      </c>
      <c r="AI3">
        <v>438.43962366660963</v>
      </c>
      <c r="AJ3">
        <v>42.010963068698885</v>
      </c>
      <c r="AK3">
        <v>170.02360680255296</v>
      </c>
      <c r="AL3">
        <v>363.1678548122149</v>
      </c>
      <c r="AM3">
        <v>54.504591298984039</v>
      </c>
      <c r="AN3">
        <v>9.5157241965099733</v>
      </c>
      <c r="AO3">
        <v>813.42826830694355</v>
      </c>
      <c r="AP3">
        <v>64.40065335038183</v>
      </c>
      <c r="AQ3">
        <v>8.2463869673126471</v>
      </c>
      <c r="AR3">
        <v>157.02856455073785</v>
      </c>
      <c r="AS3">
        <v>1055.3307677701259</v>
      </c>
      <c r="AT3">
        <v>48.833681461082307</v>
      </c>
      <c r="AU3">
        <v>306.82496971912337</v>
      </c>
      <c r="AV3">
        <v>304.8005003731156</v>
      </c>
      <c r="AW3">
        <v>2005.1941421257668</v>
      </c>
      <c r="AX3">
        <v>2006.674979344986</v>
      </c>
      <c r="AY3">
        <v>15.96104021827399</v>
      </c>
      <c r="AZ3">
        <v>19.496258866689104</v>
      </c>
      <c r="BA3">
        <v>2379.0092608007753</v>
      </c>
      <c r="BB3">
        <v>11.546552643458112</v>
      </c>
      <c r="BC3">
        <v>72.509002909721318</v>
      </c>
      <c r="BD3">
        <v>452.75656391488911</v>
      </c>
      <c r="BE3">
        <v>-95.670978446862392</v>
      </c>
      <c r="BF3">
        <v>16.954501808917044</v>
      </c>
      <c r="BG3">
        <v>293.97277825341996</v>
      </c>
      <c r="BH3">
        <v>31.62170835285503</v>
      </c>
      <c r="BI3">
        <v>952.62919877065087</v>
      </c>
      <c r="BJ3">
        <v>134.49343776277567</v>
      </c>
      <c r="BK3">
        <v>42.890833868065315</v>
      </c>
      <c r="BL3">
        <v>-13.737498090109256</v>
      </c>
      <c r="BM3">
        <v>92.606128042843139</v>
      </c>
      <c r="BN3">
        <v>113.60346712031486</v>
      </c>
      <c r="BO3">
        <v>5.8759042458077744</v>
      </c>
      <c r="BP3">
        <v>445.58086590460061</v>
      </c>
      <c r="BQ3">
        <v>81.208093512213395</v>
      </c>
      <c r="BR3">
        <v>2928.0556957976787</v>
      </c>
      <c r="BS3">
        <v>274.16085622453664</v>
      </c>
      <c r="BT3">
        <v>140.66393758047963</v>
      </c>
      <c r="BU3">
        <v>731.18789375126198</v>
      </c>
      <c r="BV3">
        <v>91.049840591818636</v>
      </c>
      <c r="BW3">
        <v>313.29384104868319</v>
      </c>
      <c r="BX3">
        <v>20.175334774183398</v>
      </c>
      <c r="BY3">
        <v>-222.12268410487877</v>
      </c>
      <c r="BZ3">
        <v>817.89554937679281</v>
      </c>
      <c r="CA3">
        <v>45.878185011244653</v>
      </c>
      <c r="CB3">
        <v>50.822415438360842</v>
      </c>
      <c r="CC3">
        <v>351.22525982432694</v>
      </c>
      <c r="CD3">
        <v>189.6843411734983</v>
      </c>
      <c r="CE3">
        <v>114.50661928636181</v>
      </c>
      <c r="CF3">
        <v>437.00261692320004</v>
      </c>
      <c r="CG3">
        <v>5411.1915121797392</v>
      </c>
      <c r="CH3">
        <v>-224.70836720241024</v>
      </c>
      <c r="CI3">
        <v>-893.5164858506613</v>
      </c>
      <c r="CJ3">
        <v>50.237392106031791</v>
      </c>
      <c r="CK3">
        <v>576.7719833708652</v>
      </c>
      <c r="CL3">
        <v>304.96074613995165</v>
      </c>
      <c r="CM3">
        <v>475.94062712494355</v>
      </c>
      <c r="CN3">
        <v>1382.3311572783346</v>
      </c>
      <c r="CO3">
        <v>136.12644338090345</v>
      </c>
      <c r="CP3">
        <v>-17.577240807969645</v>
      </c>
      <c r="CQ3">
        <v>15.033563292127184</v>
      </c>
      <c r="CR3">
        <v>449.95253167527756</v>
      </c>
      <c r="CS3">
        <v>1299.7789698408001</v>
      </c>
      <c r="CT3">
        <v>1027.5178538396872</v>
      </c>
      <c r="CU3">
        <v>56.002771294318826</v>
      </c>
      <c r="CV3">
        <v>9094.7738237200483</v>
      </c>
      <c r="CW3">
        <v>310.26714558132522</v>
      </c>
      <c r="CX3">
        <v>45.636318034129559</v>
      </c>
      <c r="CY3">
        <v>590.89925316595179</v>
      </c>
      <c r="CZ3">
        <v>6.1653328883681553</v>
      </c>
      <c r="DA3">
        <v>295.71218621632022</v>
      </c>
      <c r="DB3">
        <v>310.37368985695088</v>
      </c>
      <c r="DC3">
        <v>135.43550089334735</v>
      </c>
      <c r="DD3">
        <v>76.100531873390509</v>
      </c>
      <c r="DE3">
        <v>74.19223054795809</v>
      </c>
      <c r="DF3">
        <v>1216.8502115036083</v>
      </c>
      <c r="DG3">
        <v>139.23869041921233</v>
      </c>
      <c r="DH3">
        <v>643.10075080337629</v>
      </c>
      <c r="DI3">
        <v>-0.1657815073347777</v>
      </c>
      <c r="DJ3">
        <v>622.94442900963395</v>
      </c>
      <c r="DK3">
        <v>171.27988222687452</v>
      </c>
      <c r="DL3">
        <v>211.22163037984024</v>
      </c>
      <c r="DM3">
        <v>572.49648931450781</v>
      </c>
      <c r="DN3">
        <v>315.39668374769911</v>
      </c>
      <c r="DO3">
        <v>132.54383097456798</v>
      </c>
      <c r="DP3">
        <v>-149.88128529722275</v>
      </c>
      <c r="DQ3">
        <v>1156.530306921507</v>
      </c>
      <c r="DR3">
        <v>85.850797352391012</v>
      </c>
      <c r="DS3">
        <v>579.77140915354983</v>
      </c>
      <c r="DT3">
        <v>4.1175293103526203</v>
      </c>
      <c r="DU3">
        <v>317.10957665617246</v>
      </c>
      <c r="DV3">
        <v>2.1593092324642811</v>
      </c>
      <c r="DW3">
        <v>-39.748587507700371</v>
      </c>
      <c r="DX3">
        <v>-9.1543162654422758</v>
      </c>
      <c r="DY3">
        <v>43.840935953413563</v>
      </c>
      <c r="DZ3">
        <v>8.9605130351837268</v>
      </c>
      <c r="EA3">
        <v>414.70609004518826</v>
      </c>
      <c r="EB3">
        <v>-8.9964511122825996</v>
      </c>
      <c r="EC3">
        <v>15.458087150061033</v>
      </c>
      <c r="ED3">
        <v>28.356809785099777</v>
      </c>
      <c r="EE3">
        <v>762.98741390891098</v>
      </c>
      <c r="EF3">
        <v>60.654911411591719</v>
      </c>
      <c r="EG3">
        <v>-3.3028911484527157</v>
      </c>
      <c r="EH3">
        <v>640.86695229315319</v>
      </c>
      <c r="EI3">
        <v>55144.051903463798</v>
      </c>
    </row>
    <row r="4" spans="1:139" x14ac:dyDescent="0.25">
      <c r="A4">
        <v>2</v>
      </c>
      <c r="B4">
        <v>9.6542848601653191</v>
      </c>
      <c r="C4">
        <v>-74.854786388468312</v>
      </c>
      <c r="D4">
        <v>-5.3091280815543449</v>
      </c>
      <c r="E4">
        <v>-17.821569360414429</v>
      </c>
      <c r="F4">
        <v>-0.7164004405584441</v>
      </c>
      <c r="G4">
        <v>0.51973788539894406</v>
      </c>
      <c r="H4">
        <v>525.47580862696577</v>
      </c>
      <c r="I4">
        <v>0.26421353073566056</v>
      </c>
      <c r="J4">
        <v>-2.193549302635617</v>
      </c>
      <c r="K4">
        <v>0.39966625389907562</v>
      </c>
      <c r="L4">
        <v>30.712735223051787</v>
      </c>
      <c r="M4">
        <v>0.70435080797988825</v>
      </c>
      <c r="N4">
        <v>145.7316117226535</v>
      </c>
      <c r="O4">
        <v>100.25598102065169</v>
      </c>
      <c r="P4">
        <v>55.072236526866917</v>
      </c>
      <c r="Q4">
        <v>88.376068018003082</v>
      </c>
      <c r="R4">
        <v>10.715105314009467</v>
      </c>
      <c r="S4">
        <v>70.027572509580409</v>
      </c>
      <c r="T4">
        <v>-88.600667255009867</v>
      </c>
      <c r="U4">
        <v>-11.397951445717524</v>
      </c>
      <c r="V4">
        <v>423.72699247654555</v>
      </c>
      <c r="W4">
        <v>116.74601212789901</v>
      </c>
      <c r="X4">
        <v>43.987898901054479</v>
      </c>
      <c r="Y4">
        <v>46.652382839668888</v>
      </c>
      <c r="Z4">
        <v>-72.725480804808967</v>
      </c>
      <c r="AA4">
        <v>21.701292421825151</v>
      </c>
      <c r="AB4">
        <v>165.26349192502201</v>
      </c>
      <c r="AC4">
        <v>41.317695739225414</v>
      </c>
      <c r="AD4">
        <v>57.034218833471549</v>
      </c>
      <c r="AE4">
        <v>149.25789792077043</v>
      </c>
      <c r="AF4">
        <v>93.014188866948984</v>
      </c>
      <c r="AG4">
        <v>630.63634945197259</v>
      </c>
      <c r="AH4">
        <v>21.209294680950194</v>
      </c>
      <c r="AI4">
        <v>295.68071764336884</v>
      </c>
      <c r="AJ4">
        <v>0.30751999045735445</v>
      </c>
      <c r="AK4">
        <v>114.24512843544247</v>
      </c>
      <c r="AL4">
        <v>310.98095035506947</v>
      </c>
      <c r="AM4">
        <v>38.588409190408179</v>
      </c>
      <c r="AN4">
        <v>-0.4091376402455893</v>
      </c>
      <c r="AO4">
        <v>374.15844177566385</v>
      </c>
      <c r="AP4">
        <v>39.157804775931297</v>
      </c>
      <c r="AQ4">
        <v>10.110677934215104</v>
      </c>
      <c r="AR4">
        <v>102.72975734968075</v>
      </c>
      <c r="AS4">
        <v>742.70539828765311</v>
      </c>
      <c r="AT4">
        <v>41.326885800380083</v>
      </c>
      <c r="AU4">
        <v>131.43930817072882</v>
      </c>
      <c r="AV4">
        <v>218.40958526688505</v>
      </c>
      <c r="AW4">
        <v>1631.5292777473733</v>
      </c>
      <c r="AX4">
        <v>1279.6986452241902</v>
      </c>
      <c r="AY4">
        <v>6.6698796441689741</v>
      </c>
      <c r="AZ4">
        <v>47.741736706418912</v>
      </c>
      <c r="BA4">
        <v>1520.7369530562819</v>
      </c>
      <c r="BB4">
        <v>11.704491015998713</v>
      </c>
      <c r="BC4">
        <v>53.940702675341996</v>
      </c>
      <c r="BD4">
        <v>329.23058589989353</v>
      </c>
      <c r="BE4">
        <v>-108.91600773100639</v>
      </c>
      <c r="BF4">
        <v>-175.4647014834986</v>
      </c>
      <c r="BG4">
        <v>121.80340613314016</v>
      </c>
      <c r="BH4">
        <v>-5.1791342868452261</v>
      </c>
      <c r="BI4">
        <v>511.81038075715401</v>
      </c>
      <c r="BJ4">
        <v>12.150687399458519</v>
      </c>
      <c r="BK4">
        <v>-148.19182186367141</v>
      </c>
      <c r="BL4">
        <v>-79.834556011513484</v>
      </c>
      <c r="BM4">
        <v>3.6635782435047588</v>
      </c>
      <c r="BN4">
        <v>0.29726378274857268</v>
      </c>
      <c r="BO4">
        <v>-34.942421255994269</v>
      </c>
      <c r="BP4">
        <v>-523.1728876241126</v>
      </c>
      <c r="BQ4">
        <v>-105.76361159578178</v>
      </c>
      <c r="BR4">
        <v>913.04256316799137</v>
      </c>
      <c r="BS4">
        <v>-19.98322511239644</v>
      </c>
      <c r="BT4">
        <v>-572.72250943297524</v>
      </c>
      <c r="BU4">
        <v>-572.53945377205218</v>
      </c>
      <c r="BV4">
        <v>-71.866813240251005</v>
      </c>
      <c r="BW4">
        <v>-120.64881020133441</v>
      </c>
      <c r="BX4">
        <v>-30.55189160637201</v>
      </c>
      <c r="BY4">
        <v>-358.09517703703784</v>
      </c>
      <c r="BZ4">
        <v>440.51230634977003</v>
      </c>
      <c r="CA4">
        <v>-59.767216682501186</v>
      </c>
      <c r="CB4">
        <v>-13.94874454448205</v>
      </c>
      <c r="CC4">
        <v>133.4675578716936</v>
      </c>
      <c r="CD4">
        <v>96.919547372503416</v>
      </c>
      <c r="CE4">
        <v>70.98769425317802</v>
      </c>
      <c r="CF4">
        <v>221.65875830016682</v>
      </c>
      <c r="CG4">
        <v>1788.2504211163769</v>
      </c>
      <c r="CH4">
        <v>-2032.8231674871888</v>
      </c>
      <c r="CI4">
        <v>-3550.9151297000267</v>
      </c>
      <c r="CJ4">
        <v>-1160.2077209634269</v>
      </c>
      <c r="CK4">
        <v>-829.06366879839061</v>
      </c>
      <c r="CL4">
        <v>-458.79887760234408</v>
      </c>
      <c r="CM4">
        <v>-573.75267601912867</v>
      </c>
      <c r="CN4">
        <v>-352.74760493006238</v>
      </c>
      <c r="CO4">
        <v>-468.49228258697724</v>
      </c>
      <c r="CP4">
        <v>-110.16670326031426</v>
      </c>
      <c r="CQ4">
        <v>-641.71170539207287</v>
      </c>
      <c r="CR4">
        <v>-1.869056791780082</v>
      </c>
      <c r="CS4">
        <v>393.63212752665936</v>
      </c>
      <c r="CT4">
        <v>279.78190694109674</v>
      </c>
      <c r="CU4">
        <v>11.03334087455049</v>
      </c>
      <c r="CV4">
        <v>3549.9395700963196</v>
      </c>
      <c r="CW4">
        <v>-263.16934317926058</v>
      </c>
      <c r="CX4">
        <v>-42.60762328271494</v>
      </c>
      <c r="CY4">
        <v>-497.49326364875253</v>
      </c>
      <c r="CZ4">
        <v>-311.0633341880515</v>
      </c>
      <c r="DA4">
        <v>146.79646697748717</v>
      </c>
      <c r="DB4">
        <v>61.431236889310185</v>
      </c>
      <c r="DC4">
        <v>-30.941669705048128</v>
      </c>
      <c r="DD4">
        <v>22.232126626051048</v>
      </c>
      <c r="DE4">
        <v>-9.2794558714671993</v>
      </c>
      <c r="DF4">
        <v>337.2492942385029</v>
      </c>
      <c r="DG4">
        <v>-162.79544773609041</v>
      </c>
      <c r="DH4">
        <v>-107.99073803651868</v>
      </c>
      <c r="DI4">
        <v>-251.61513470041029</v>
      </c>
      <c r="DJ4">
        <v>-298.74824815066393</v>
      </c>
      <c r="DK4">
        <v>343.32566846999714</v>
      </c>
      <c r="DL4">
        <v>51.185779117969275</v>
      </c>
      <c r="DM4">
        <v>367.71496148820751</v>
      </c>
      <c r="DN4">
        <v>-562.97865969826285</v>
      </c>
      <c r="DO4">
        <v>34.229133818533299</v>
      </c>
      <c r="DP4">
        <v>-549.68991280085856</v>
      </c>
      <c r="DQ4">
        <v>840.32062531295196</v>
      </c>
      <c r="DR4">
        <v>-22.633335239801156</v>
      </c>
      <c r="DS4">
        <v>250.35373881906793</v>
      </c>
      <c r="DT4">
        <v>-8.4241777846443</v>
      </c>
      <c r="DU4">
        <v>-41.111575905132213</v>
      </c>
      <c r="DV4">
        <v>-165.75819064970409</v>
      </c>
      <c r="DW4">
        <v>-230.84688871700951</v>
      </c>
      <c r="DX4">
        <v>-522.21220270100855</v>
      </c>
      <c r="DY4">
        <v>-80.240927738166803</v>
      </c>
      <c r="DZ4">
        <v>-293.67428459028821</v>
      </c>
      <c r="EA4">
        <v>-6.7876797252800429</v>
      </c>
      <c r="EB4">
        <v>-385.68122685594108</v>
      </c>
      <c r="EC4">
        <v>-10.346379183886768</v>
      </c>
      <c r="ED4">
        <v>-16.022658199141858</v>
      </c>
      <c r="EE4">
        <v>-463.80130803211205</v>
      </c>
      <c r="EF4">
        <v>-75.00901828209804</v>
      </c>
      <c r="EG4">
        <v>-906.29723574983916</v>
      </c>
      <c r="EH4">
        <v>-181.00416894411069</v>
      </c>
      <c r="EI4">
        <v>1198.9497503460404</v>
      </c>
    </row>
    <row r="5" spans="1:139" x14ac:dyDescent="0.25">
      <c r="A5">
        <v>3</v>
      </c>
      <c r="B5">
        <v>6.8395599279657233</v>
      </c>
      <c r="C5">
        <v>65.948090209164462</v>
      </c>
      <c r="D5">
        <v>-3.0686358504177171</v>
      </c>
      <c r="E5">
        <v>27.294332527796939</v>
      </c>
      <c r="F5">
        <v>1.0863568911049932</v>
      </c>
      <c r="G5">
        <v>1.6858439775008254</v>
      </c>
      <c r="H5">
        <v>704.04264310615281</v>
      </c>
      <c r="I5">
        <v>-0.55653062705030254</v>
      </c>
      <c r="J5">
        <v>50.775221766660209</v>
      </c>
      <c r="K5">
        <v>3.4434081229971092</v>
      </c>
      <c r="L5">
        <v>63.718760426889382</v>
      </c>
      <c r="M5">
        <v>10.339578658334382</v>
      </c>
      <c r="N5">
        <v>488.34624364742672</v>
      </c>
      <c r="O5">
        <v>141.28947992529859</v>
      </c>
      <c r="P5">
        <v>126.18856045270118</v>
      </c>
      <c r="Q5">
        <v>281.79969859136133</v>
      </c>
      <c r="R5">
        <v>5.3295093004985779</v>
      </c>
      <c r="S5">
        <v>126.90786006593686</v>
      </c>
      <c r="T5">
        <v>-14.997415454242628</v>
      </c>
      <c r="U5">
        <v>6.9190544167842489</v>
      </c>
      <c r="V5">
        <v>508.75364007246174</v>
      </c>
      <c r="W5">
        <v>138.95001004391909</v>
      </c>
      <c r="X5">
        <v>42.157822360752078</v>
      </c>
      <c r="Y5">
        <v>2.5089088648838143</v>
      </c>
      <c r="Z5">
        <v>-93.5331061105461</v>
      </c>
      <c r="AA5">
        <v>15.206894794771053</v>
      </c>
      <c r="AB5">
        <v>190.07996629172061</v>
      </c>
      <c r="AC5">
        <v>8.4054151566890383</v>
      </c>
      <c r="AD5">
        <v>29.312010284696481</v>
      </c>
      <c r="AE5">
        <v>95.951812357304505</v>
      </c>
      <c r="AF5">
        <v>116.7411046519023</v>
      </c>
      <c r="AG5">
        <v>1276.1967320616036</v>
      </c>
      <c r="AH5">
        <v>20.068576292302996</v>
      </c>
      <c r="AI5">
        <v>183.86425544876977</v>
      </c>
      <c r="AJ5">
        <v>18.508600832288785</v>
      </c>
      <c r="AK5">
        <v>87.931471071348639</v>
      </c>
      <c r="AL5">
        <v>268.94413470493959</v>
      </c>
      <c r="AM5">
        <v>38.938864523838113</v>
      </c>
      <c r="AN5">
        <v>-2.6388796872631364</v>
      </c>
      <c r="AO5">
        <v>510.05861657747448</v>
      </c>
      <c r="AP5">
        <v>48.385025736022961</v>
      </c>
      <c r="AQ5">
        <v>6.9071327713217503</v>
      </c>
      <c r="AR5">
        <v>171.03221998232044</v>
      </c>
      <c r="AS5">
        <v>932.15992195751551</v>
      </c>
      <c r="AT5">
        <v>36.232656842854411</v>
      </c>
      <c r="AU5">
        <v>230.54174834641617</v>
      </c>
      <c r="AV5">
        <v>272.12489927779416</v>
      </c>
      <c r="AW5">
        <v>2011.8954718441446</v>
      </c>
      <c r="AX5">
        <v>2039.6308842373128</v>
      </c>
      <c r="AY5">
        <v>7.3082087351233129</v>
      </c>
      <c r="AZ5">
        <v>7.5345594576495607</v>
      </c>
      <c r="BA5">
        <v>3429.0963777029597</v>
      </c>
      <c r="BB5">
        <v>11.454472140018064</v>
      </c>
      <c r="BC5">
        <v>132.87681188296571</v>
      </c>
      <c r="BD5">
        <v>468.41489155887803</v>
      </c>
      <c r="BE5">
        <v>50.302340744501024</v>
      </c>
      <c r="BF5">
        <v>-170.62487465488601</v>
      </c>
      <c r="BG5">
        <v>250.67967707663971</v>
      </c>
      <c r="BH5">
        <v>17.965068633421602</v>
      </c>
      <c r="BI5">
        <v>1316.7885369217879</v>
      </c>
      <c r="BJ5">
        <v>97.606310375111448</v>
      </c>
      <c r="BK5">
        <v>-69.852780961975711</v>
      </c>
      <c r="BL5">
        <v>-0.49645909352494755</v>
      </c>
      <c r="BM5">
        <v>116.39312305578736</v>
      </c>
      <c r="BN5">
        <v>-47.486901592832922</v>
      </c>
      <c r="BO5">
        <v>2.8142754722330707</v>
      </c>
      <c r="BP5">
        <v>-86.666687394056908</v>
      </c>
      <c r="BQ5">
        <v>-51.240956113485794</v>
      </c>
      <c r="BR5">
        <v>2216.0581742562763</v>
      </c>
      <c r="BS5">
        <v>184.13842347017527</v>
      </c>
      <c r="BT5">
        <v>-168.43904530385208</v>
      </c>
      <c r="BU5">
        <v>-775.69850218175407</v>
      </c>
      <c r="BV5">
        <v>-19.749447741771419</v>
      </c>
      <c r="BW5">
        <v>-56.599134402817015</v>
      </c>
      <c r="BX5">
        <v>4.3182949083487365</v>
      </c>
      <c r="BY5">
        <v>-188.20779028579892</v>
      </c>
      <c r="BZ5">
        <v>825.11211846961089</v>
      </c>
      <c r="CA5">
        <v>-1.7326986946753848</v>
      </c>
      <c r="CB5">
        <v>34.242940016637945</v>
      </c>
      <c r="CC5">
        <v>101.94107711625125</v>
      </c>
      <c r="CD5">
        <v>140.91327622493259</v>
      </c>
      <c r="CE5">
        <v>218.59118605303269</v>
      </c>
      <c r="CF5">
        <v>345.67369817135119</v>
      </c>
      <c r="CG5">
        <v>3623.6001373026979</v>
      </c>
      <c r="CH5">
        <v>-233.76077464301795</v>
      </c>
      <c r="CI5">
        <v>-649.77169228061769</v>
      </c>
      <c r="CJ5">
        <v>-339.22299543786886</v>
      </c>
      <c r="CK5">
        <v>83.678090171208396</v>
      </c>
      <c r="CL5">
        <v>131.51319324873242</v>
      </c>
      <c r="CM5">
        <v>142.22477669755187</v>
      </c>
      <c r="CN5">
        <v>988.20845730351516</v>
      </c>
      <c r="CO5">
        <v>-81.840581294955541</v>
      </c>
      <c r="CP5">
        <v>-6.2457659501089111</v>
      </c>
      <c r="CQ5">
        <v>-159.72930050146877</v>
      </c>
      <c r="CR5">
        <v>277.6525769329271</v>
      </c>
      <c r="CS5">
        <v>1118.5730145064383</v>
      </c>
      <c r="CT5">
        <v>676.52649455793562</v>
      </c>
      <c r="CU5">
        <v>100.68959393227735</v>
      </c>
      <c r="CV5">
        <v>8214.9444694556296</v>
      </c>
      <c r="CW5">
        <v>-230.55800634179596</v>
      </c>
      <c r="CX5">
        <v>-27.45283033672602</v>
      </c>
      <c r="CY5">
        <v>288.40565327410218</v>
      </c>
      <c r="CZ5">
        <v>-146.96484803629795</v>
      </c>
      <c r="DA5">
        <v>245.2502254060422</v>
      </c>
      <c r="DB5">
        <v>363.89360761957926</v>
      </c>
      <c r="DC5">
        <v>45.849885912123241</v>
      </c>
      <c r="DD5">
        <v>131.03619631514999</v>
      </c>
      <c r="DE5">
        <v>28.079505228269621</v>
      </c>
      <c r="DF5">
        <v>1413.9279241243764</v>
      </c>
      <c r="DG5">
        <v>865.7429881385234</v>
      </c>
      <c r="DH5">
        <v>368.99785867151598</v>
      </c>
      <c r="DI5">
        <v>363.88556697940896</v>
      </c>
      <c r="DJ5">
        <v>666.75646993277371</v>
      </c>
      <c r="DK5">
        <v>708.87378646586217</v>
      </c>
      <c r="DL5">
        <v>302.55106176164662</v>
      </c>
      <c r="DM5">
        <v>421.28331800296468</v>
      </c>
      <c r="DN5">
        <v>1244.9976353115997</v>
      </c>
      <c r="DO5">
        <v>51.025510160005879</v>
      </c>
      <c r="DP5">
        <v>-705.22638850944111</v>
      </c>
      <c r="DQ5">
        <v>1614.3702695036675</v>
      </c>
      <c r="DR5">
        <v>39.514625030052009</v>
      </c>
      <c r="DS5">
        <v>214.48424702694024</v>
      </c>
      <c r="DT5">
        <v>10.00522112190067</v>
      </c>
      <c r="DU5">
        <v>250.50415647919581</v>
      </c>
      <c r="DV5">
        <v>1.8347899404765258</v>
      </c>
      <c r="DW5">
        <v>-38.747874098452662</v>
      </c>
      <c r="DX5">
        <v>256.12679848547975</v>
      </c>
      <c r="DY5">
        <v>35.691241088050482</v>
      </c>
      <c r="DZ5">
        <v>-158.07400280974815</v>
      </c>
      <c r="EA5">
        <v>250.58427801268536</v>
      </c>
      <c r="EB5">
        <v>57.41516305148032</v>
      </c>
      <c r="EC5">
        <v>-6.2865867750276418</v>
      </c>
      <c r="ED5">
        <v>-9.2325824381406605</v>
      </c>
      <c r="EE5">
        <v>295.02162149507581</v>
      </c>
      <c r="EF5">
        <v>-83.339817733193428</v>
      </c>
      <c r="EG5">
        <v>-102.57491809383455</v>
      </c>
      <c r="EH5">
        <v>566.95423488612278</v>
      </c>
      <c r="EI5">
        <v>43123.722673947981</v>
      </c>
    </row>
    <row r="6" spans="1:139" x14ac:dyDescent="0.25">
      <c r="A6">
        <v>4</v>
      </c>
      <c r="B6">
        <v>-41.315408689776802</v>
      </c>
      <c r="C6">
        <v>-33.438584720190903</v>
      </c>
      <c r="D6">
        <v>-11.670558175874026</v>
      </c>
      <c r="E6">
        <v>-37.899773217864549</v>
      </c>
      <c r="F6">
        <v>-0.57487855261796539</v>
      </c>
      <c r="G6">
        <v>0.90933835026377385</v>
      </c>
      <c r="H6">
        <v>376.59426157313624</v>
      </c>
      <c r="I6">
        <v>-0.2289133456142407</v>
      </c>
      <c r="J6">
        <v>8.6052837061943492</v>
      </c>
      <c r="K6">
        <v>0.99305969886760792</v>
      </c>
      <c r="L6">
        <v>16.1462429625781</v>
      </c>
      <c r="M6">
        <v>5.5633489018262354</v>
      </c>
      <c r="N6">
        <v>219.93551599235582</v>
      </c>
      <c r="O6">
        <v>49.699466257732013</v>
      </c>
      <c r="P6">
        <v>64.264382831839015</v>
      </c>
      <c r="Q6">
        <v>60.373350834123983</v>
      </c>
      <c r="R6">
        <v>1.8710341478472019</v>
      </c>
      <c r="S6">
        <v>46.29742966666339</v>
      </c>
      <c r="T6">
        <v>-7.4790384956017846</v>
      </c>
      <c r="U6">
        <v>-18.884341833145854</v>
      </c>
      <c r="V6">
        <v>303.26305754749512</v>
      </c>
      <c r="W6">
        <v>75.564096590412362</v>
      </c>
      <c r="X6">
        <v>29.733959117277774</v>
      </c>
      <c r="Y6">
        <v>-45.290148969948454</v>
      </c>
      <c r="Z6">
        <v>-81.314740139421602</v>
      </c>
      <c r="AA6">
        <v>13.163803353318592</v>
      </c>
      <c r="AB6">
        <v>49.476809029452433</v>
      </c>
      <c r="AC6">
        <v>7.7473575540400574</v>
      </c>
      <c r="AD6">
        <v>15.479349686433782</v>
      </c>
      <c r="AE6">
        <v>23.11726552662855</v>
      </c>
      <c r="AF6">
        <v>95.084569880727301</v>
      </c>
      <c r="AG6">
        <v>1037.9139056232548</v>
      </c>
      <c r="AH6">
        <v>11.930575114015824</v>
      </c>
      <c r="AI6">
        <v>25.87633418147923</v>
      </c>
      <c r="AJ6">
        <v>16.675647079460884</v>
      </c>
      <c r="AK6">
        <v>94.521294663934242</v>
      </c>
      <c r="AL6">
        <v>165.39761774035554</v>
      </c>
      <c r="AM6">
        <v>27.502337161983629</v>
      </c>
      <c r="AN6">
        <v>-2.8342924561217782</v>
      </c>
      <c r="AO6">
        <v>268.02970303939009</v>
      </c>
      <c r="AP6">
        <v>25.061968658761806</v>
      </c>
      <c r="AQ6">
        <v>8.199494274980994</v>
      </c>
      <c r="AR6">
        <v>96.295307914278979</v>
      </c>
      <c r="AS6">
        <v>446.58975520446347</v>
      </c>
      <c r="AT6">
        <v>19.605623916478642</v>
      </c>
      <c r="AU6">
        <v>-13.373650297497022</v>
      </c>
      <c r="AV6">
        <v>195.70008120009857</v>
      </c>
      <c r="AW6">
        <v>1743.913471403459</v>
      </c>
      <c r="AX6">
        <v>1592.601854168727</v>
      </c>
      <c r="AY6">
        <v>5.1432566315446584</v>
      </c>
      <c r="AZ6">
        <v>12.735619074487904</v>
      </c>
      <c r="BA6">
        <v>3772.93579050786</v>
      </c>
      <c r="BB6">
        <v>18.092839698694526</v>
      </c>
      <c r="BC6">
        <v>107.35309477380365</v>
      </c>
      <c r="BD6">
        <v>482.88698218603776</v>
      </c>
      <c r="BE6">
        <v>-61.804345082599653</v>
      </c>
      <c r="BF6">
        <v>-176.23984833726729</v>
      </c>
      <c r="BG6">
        <v>136.64222546925629</v>
      </c>
      <c r="BH6">
        <v>10.967915469430665</v>
      </c>
      <c r="BI6">
        <v>580.5686507107921</v>
      </c>
      <c r="BJ6">
        <v>18.158144315306401</v>
      </c>
      <c r="BK6">
        <v>-78.131523870074076</v>
      </c>
      <c r="BL6">
        <v>-92.606446195455888</v>
      </c>
      <c r="BM6">
        <v>-12.106094155793869</v>
      </c>
      <c r="BN6">
        <v>-115.59120236116841</v>
      </c>
      <c r="BO6">
        <v>-29.297415121127997</v>
      </c>
      <c r="BP6">
        <v>-697.2251229069999</v>
      </c>
      <c r="BQ6">
        <v>-66.580735824582305</v>
      </c>
      <c r="BR6">
        <v>1418.1959444791191</v>
      </c>
      <c r="BS6">
        <v>98.184225626746013</v>
      </c>
      <c r="BT6">
        <v>-174.29964277474016</v>
      </c>
      <c r="BU6">
        <v>-1288.1203701399106</v>
      </c>
      <c r="BV6">
        <v>-58.84938354098999</v>
      </c>
      <c r="BW6">
        <v>-50.941279183046959</v>
      </c>
      <c r="BX6">
        <v>77.985473750839105</v>
      </c>
      <c r="BY6">
        <v>52.843406187679804</v>
      </c>
      <c r="BZ6">
        <v>445.77893028698372</v>
      </c>
      <c r="CA6">
        <v>-77.941412367321306</v>
      </c>
      <c r="CB6">
        <v>-5.1327026294206846</v>
      </c>
      <c r="CC6">
        <v>142.39646902314701</v>
      </c>
      <c r="CD6">
        <v>69.555370270356036</v>
      </c>
      <c r="CE6">
        <v>91.890630120664582</v>
      </c>
      <c r="CF6">
        <v>246.20010232135655</v>
      </c>
      <c r="CG6">
        <v>2522.9952356018616</v>
      </c>
      <c r="CH6">
        <v>-399.97542088617257</v>
      </c>
      <c r="CI6">
        <v>-1912.9190737871829</v>
      </c>
      <c r="CJ6">
        <v>-909.93211999752839</v>
      </c>
      <c r="CK6">
        <v>-935.17353944791978</v>
      </c>
      <c r="CL6">
        <v>-619.13505288509839</v>
      </c>
      <c r="CM6">
        <v>-392.7279967782805</v>
      </c>
      <c r="CN6">
        <v>-84.718073022090948</v>
      </c>
      <c r="CO6">
        <v>-210.9930868697333</v>
      </c>
      <c r="CP6">
        <v>-2.9957228479994313</v>
      </c>
      <c r="CQ6">
        <v>-363.86424601855759</v>
      </c>
      <c r="CR6">
        <v>125.63750419853974</v>
      </c>
      <c r="CS6">
        <v>574.11524178338664</v>
      </c>
      <c r="CT6">
        <v>234.68209509203848</v>
      </c>
      <c r="CU6">
        <v>35.011043148892838</v>
      </c>
      <c r="CV6">
        <v>4793.1621451503561</v>
      </c>
      <c r="CW6">
        <v>-387.81671912806883</v>
      </c>
      <c r="CX6">
        <v>-1.5191842430358484</v>
      </c>
      <c r="CY6">
        <v>-130.35730333974891</v>
      </c>
      <c r="CZ6">
        <v>-202.99517330183198</v>
      </c>
      <c r="DA6">
        <v>190.91827189251558</v>
      </c>
      <c r="DB6">
        <v>231.05941971857328</v>
      </c>
      <c r="DC6">
        <v>12.111617950522529</v>
      </c>
      <c r="DD6">
        <v>70.162140536470758</v>
      </c>
      <c r="DE6">
        <v>-9.578378853828255</v>
      </c>
      <c r="DF6">
        <v>569.61160595950105</v>
      </c>
      <c r="DG6">
        <v>323.69083227649088</v>
      </c>
      <c r="DH6">
        <v>234.79775747284884</v>
      </c>
      <c r="DI6">
        <v>62.758360380055777</v>
      </c>
      <c r="DJ6">
        <v>250.08245626717303</v>
      </c>
      <c r="DK6">
        <v>314.31292500146367</v>
      </c>
      <c r="DL6">
        <v>11.087372758555659</v>
      </c>
      <c r="DM6">
        <v>305.76818523430518</v>
      </c>
      <c r="DN6">
        <v>175.22365264029429</v>
      </c>
      <c r="DO6">
        <v>15.278612473155789</v>
      </c>
      <c r="DP6">
        <v>-301.2404984428332</v>
      </c>
      <c r="DQ6">
        <v>760.67094843321865</v>
      </c>
      <c r="DR6">
        <v>119.65016432269601</v>
      </c>
      <c r="DS6">
        <v>144.95166362179953</v>
      </c>
      <c r="DT6">
        <v>-5.5714643231254097</v>
      </c>
      <c r="DU6">
        <v>52.651569855777382</v>
      </c>
      <c r="DV6">
        <v>-86.998668966674813</v>
      </c>
      <c r="DW6">
        <v>-137.54157676285493</v>
      </c>
      <c r="DX6">
        <v>242.43539394515702</v>
      </c>
      <c r="DY6">
        <v>47.827610926199718</v>
      </c>
      <c r="DZ6">
        <v>-274.23494730471305</v>
      </c>
      <c r="EA6">
        <v>-44.112303274890564</v>
      </c>
      <c r="EB6">
        <v>89.771562200683277</v>
      </c>
      <c r="EC6">
        <v>-15.056460234420317</v>
      </c>
      <c r="ED6">
        <v>-24.601919049732128</v>
      </c>
      <c r="EE6">
        <v>-671.68111882195808</v>
      </c>
      <c r="EF6">
        <v>-167.04295265344439</v>
      </c>
      <c r="EG6">
        <v>-177.82890222326398</v>
      </c>
      <c r="EH6">
        <v>99.206288126129607</v>
      </c>
      <c r="EI6">
        <v>15888.060945577943</v>
      </c>
    </row>
    <row r="7" spans="1:139" x14ac:dyDescent="0.25">
      <c r="A7">
        <v>5</v>
      </c>
      <c r="B7">
        <v>37.57633346295512</v>
      </c>
      <c r="C7">
        <v>61.394963116816598</v>
      </c>
      <c r="D7">
        <v>-8.7306732684964246</v>
      </c>
      <c r="E7">
        <v>16.285101581170267</v>
      </c>
      <c r="F7">
        <v>2.8278088130366603</v>
      </c>
      <c r="G7">
        <v>1.8541998337288284</v>
      </c>
      <c r="H7">
        <v>719.65513222202856</v>
      </c>
      <c r="I7">
        <v>2.0054216809101284</v>
      </c>
      <c r="J7">
        <v>32.816356365961809</v>
      </c>
      <c r="K7">
        <v>2.5593967341200212</v>
      </c>
      <c r="L7">
        <v>47.11182083775244</v>
      </c>
      <c r="M7">
        <v>9.5845576559913326</v>
      </c>
      <c r="N7">
        <v>371.35306910625366</v>
      </c>
      <c r="O7">
        <v>101.73637899639765</v>
      </c>
      <c r="P7">
        <v>141.12286439284009</v>
      </c>
      <c r="Q7">
        <v>188.87722550180223</v>
      </c>
      <c r="R7">
        <v>6.6934469676202095</v>
      </c>
      <c r="S7">
        <v>89.930480577963962</v>
      </c>
      <c r="T7">
        <v>31.551525998062786</v>
      </c>
      <c r="U7">
        <v>49.002655834956983</v>
      </c>
      <c r="V7">
        <v>409.23621082867612</v>
      </c>
      <c r="W7">
        <v>129.69350369493958</v>
      </c>
      <c r="X7">
        <v>38.153171469570097</v>
      </c>
      <c r="Y7">
        <v>24.039408622205201</v>
      </c>
      <c r="Z7">
        <v>10.554038847893253</v>
      </c>
      <c r="AA7">
        <v>10.309960511837339</v>
      </c>
      <c r="AB7">
        <v>163.68786427908748</v>
      </c>
      <c r="AC7">
        <v>28.316586356458636</v>
      </c>
      <c r="AD7">
        <v>26.96285670385069</v>
      </c>
      <c r="AE7">
        <v>82.034474970458604</v>
      </c>
      <c r="AF7">
        <v>117.41942928588583</v>
      </c>
      <c r="AG7">
        <v>1011.626926990868</v>
      </c>
      <c r="AH7">
        <v>27.074470381532052</v>
      </c>
      <c r="AI7">
        <v>66.51867332484278</v>
      </c>
      <c r="AJ7">
        <v>25.149317730633584</v>
      </c>
      <c r="AK7">
        <v>111.02266501680205</v>
      </c>
      <c r="AL7">
        <v>222.96696998688236</v>
      </c>
      <c r="AM7">
        <v>34.847435626840472</v>
      </c>
      <c r="AN7">
        <v>2.3383325021045298</v>
      </c>
      <c r="AO7">
        <v>335.30124814585884</v>
      </c>
      <c r="AP7">
        <v>50.103620887310598</v>
      </c>
      <c r="AQ7">
        <v>9.2127026878452458</v>
      </c>
      <c r="AR7">
        <v>153.75453513599911</v>
      </c>
      <c r="AS7">
        <v>533.43050326459729</v>
      </c>
      <c r="AT7">
        <v>19.698329668596742</v>
      </c>
      <c r="AU7">
        <v>-176.24204387987731</v>
      </c>
      <c r="AV7">
        <v>199.57942435612506</v>
      </c>
      <c r="AW7">
        <v>932.98616573064271</v>
      </c>
      <c r="AX7">
        <v>1655.0745340778935</v>
      </c>
      <c r="AY7">
        <v>10.23966975004242</v>
      </c>
      <c r="AZ7">
        <v>16.603516073923011</v>
      </c>
      <c r="BA7">
        <v>1934.6698170639952</v>
      </c>
      <c r="BB7">
        <v>15.109187538622193</v>
      </c>
      <c r="BC7">
        <v>56.127534977254399</v>
      </c>
      <c r="BD7">
        <v>418.93839545989772</v>
      </c>
      <c r="BE7">
        <v>105.91941215054426</v>
      </c>
      <c r="BF7">
        <v>-156.71523994762788</v>
      </c>
      <c r="BG7">
        <v>238.53213179520239</v>
      </c>
      <c r="BH7">
        <v>41.954368597649832</v>
      </c>
      <c r="BI7">
        <v>1182.3008967937453</v>
      </c>
      <c r="BJ7">
        <v>137.52183560760048</v>
      </c>
      <c r="BK7">
        <v>194.14289170645952</v>
      </c>
      <c r="BL7">
        <v>2.7895386546593244</v>
      </c>
      <c r="BM7">
        <v>85.685700168058972</v>
      </c>
      <c r="BN7">
        <v>-49.039799950638979</v>
      </c>
      <c r="BO7">
        <v>2.9235436841485836</v>
      </c>
      <c r="BP7">
        <v>218.73810575482196</v>
      </c>
      <c r="BQ7">
        <v>18.75393167343293</v>
      </c>
      <c r="BR7">
        <v>2488.7408588497192</v>
      </c>
      <c r="BS7">
        <v>193.98805561023966</v>
      </c>
      <c r="BT7">
        <v>179.27243033651825</v>
      </c>
      <c r="BU7">
        <v>-722.98667194710515</v>
      </c>
      <c r="BV7">
        <v>-7.1220688573663011</v>
      </c>
      <c r="BW7">
        <v>161.54473262602778</v>
      </c>
      <c r="BX7">
        <v>58.075210342593962</v>
      </c>
      <c r="BY7">
        <v>118.94958532779063</v>
      </c>
      <c r="BZ7">
        <v>683.07987504527227</v>
      </c>
      <c r="CA7">
        <v>10.551251444141741</v>
      </c>
      <c r="CB7">
        <v>42.012586938371321</v>
      </c>
      <c r="CC7">
        <v>259.20010288682124</v>
      </c>
      <c r="CD7">
        <v>122.0706763117671</v>
      </c>
      <c r="CE7">
        <v>150.2514525934385</v>
      </c>
      <c r="CF7">
        <v>290.79461498527922</v>
      </c>
      <c r="CG7">
        <v>3118.3336889322218</v>
      </c>
      <c r="CH7">
        <v>244.30723092826639</v>
      </c>
      <c r="CI7">
        <v>-197.42773646071964</v>
      </c>
      <c r="CJ7">
        <v>153.33911816115116</v>
      </c>
      <c r="CK7">
        <v>42.057034110970676</v>
      </c>
      <c r="CL7">
        <v>-186.99953243382595</v>
      </c>
      <c r="CM7">
        <v>314.68691750492962</v>
      </c>
      <c r="CN7">
        <v>1028.6328052336858</v>
      </c>
      <c r="CO7">
        <v>52.30793725295834</v>
      </c>
      <c r="CP7">
        <v>37.275347012736702</v>
      </c>
      <c r="CQ7">
        <v>-126.34038490142812</v>
      </c>
      <c r="CR7">
        <v>297.22194339994292</v>
      </c>
      <c r="CS7">
        <v>1126.3845179783809</v>
      </c>
      <c r="CT7">
        <v>610.20957604063358</v>
      </c>
      <c r="CU7">
        <v>46.799327308560642</v>
      </c>
      <c r="CV7">
        <v>7800.0963079698759</v>
      </c>
      <c r="CW7">
        <v>147.39027169669598</v>
      </c>
      <c r="CX7">
        <v>30.395035870717713</v>
      </c>
      <c r="CY7">
        <v>522.24518373922388</v>
      </c>
      <c r="CZ7">
        <v>-121.62289751564465</v>
      </c>
      <c r="DA7">
        <v>269.7041446729159</v>
      </c>
      <c r="DB7">
        <v>390.64343093799721</v>
      </c>
      <c r="DC7">
        <v>82.221709801594301</v>
      </c>
      <c r="DD7">
        <v>135.29941483140746</v>
      </c>
      <c r="DE7">
        <v>38.747182500372837</v>
      </c>
      <c r="DF7">
        <v>1439.747445021213</v>
      </c>
      <c r="DG7">
        <v>512.94558139128026</v>
      </c>
      <c r="DH7">
        <v>590.22128468991593</v>
      </c>
      <c r="DI7">
        <v>203.51458078317086</v>
      </c>
      <c r="DJ7">
        <v>860.29081864399097</v>
      </c>
      <c r="DK7">
        <v>497.40230822335661</v>
      </c>
      <c r="DL7">
        <v>299.86964501444839</v>
      </c>
      <c r="DM7">
        <v>678.49237965998293</v>
      </c>
      <c r="DN7">
        <v>696.06963916969517</v>
      </c>
      <c r="DO7">
        <v>148.94389617179257</v>
      </c>
      <c r="DP7">
        <v>69.469833408395459</v>
      </c>
      <c r="DQ7">
        <v>1716.8007209424627</v>
      </c>
      <c r="DR7">
        <v>207.60954638540497</v>
      </c>
      <c r="DS7">
        <v>304.90089008199084</v>
      </c>
      <c r="DT7">
        <v>11.217492940518385</v>
      </c>
      <c r="DU7">
        <v>242.7677395882352</v>
      </c>
      <c r="DV7">
        <v>79.041931320709097</v>
      </c>
      <c r="DW7">
        <v>78.416484263834846</v>
      </c>
      <c r="DX7">
        <v>365.12531575671085</v>
      </c>
      <c r="DY7">
        <v>91.773553468889958</v>
      </c>
      <c r="DZ7">
        <v>-72.355951118989935</v>
      </c>
      <c r="EA7">
        <v>210.82357330815222</v>
      </c>
      <c r="EB7">
        <v>190.64028483097138</v>
      </c>
      <c r="EC7">
        <v>1.279830573613399</v>
      </c>
      <c r="ED7">
        <v>6.5346126015583508</v>
      </c>
      <c r="EE7">
        <v>462.54657788070153</v>
      </c>
      <c r="EF7">
        <v>23.049739188356028</v>
      </c>
      <c r="EG7">
        <v>214.33996721308546</v>
      </c>
      <c r="EH7">
        <v>475.40995237545792</v>
      </c>
      <c r="EI7">
        <v>43126.474762016056</v>
      </c>
    </row>
    <row r="8" spans="1:139" x14ac:dyDescent="0.25">
      <c r="A8">
        <v>6</v>
      </c>
      <c r="B8">
        <v>-16.342036042432198</v>
      </c>
      <c r="C8">
        <v>12.268487799535393</v>
      </c>
      <c r="D8">
        <v>-9.7619550165048175</v>
      </c>
      <c r="E8">
        <v>1.4067109239097135</v>
      </c>
      <c r="F8">
        <v>-0.91662432926312332</v>
      </c>
      <c r="G8">
        <v>1.524767891241761</v>
      </c>
      <c r="H8">
        <v>449.41361098966627</v>
      </c>
      <c r="I8">
        <v>-7.3066612267909115E-2</v>
      </c>
      <c r="J8">
        <v>24.385866143033276</v>
      </c>
      <c r="K8">
        <v>1.8436527606521091</v>
      </c>
      <c r="L8">
        <v>33.674152074883231</v>
      </c>
      <c r="M8">
        <v>8.2113025349585484</v>
      </c>
      <c r="N8">
        <v>280.55398341530571</v>
      </c>
      <c r="O8">
        <v>92.835896377181953</v>
      </c>
      <c r="P8">
        <v>125.14091746286157</v>
      </c>
      <c r="Q8">
        <v>125.8141740047073</v>
      </c>
      <c r="R8">
        <v>4.5486872232610178</v>
      </c>
      <c r="S8">
        <v>77.571598239506969</v>
      </c>
      <c r="T8">
        <v>8.3239491355820689</v>
      </c>
      <c r="U8">
        <v>10.43793509854396</v>
      </c>
      <c r="V8">
        <v>350.4657087332742</v>
      </c>
      <c r="W8">
        <v>106.23488639001206</v>
      </c>
      <c r="X8">
        <v>33.057945877718787</v>
      </c>
      <c r="Y8">
        <v>32.772704405949312</v>
      </c>
      <c r="Z8">
        <v>-4.0537882914878054</v>
      </c>
      <c r="AA8">
        <v>16.649402833957438</v>
      </c>
      <c r="AB8">
        <v>138.23079625404785</v>
      </c>
      <c r="AC8">
        <v>19.198551709263803</v>
      </c>
      <c r="AD8">
        <v>18.648567255429668</v>
      </c>
      <c r="AE8">
        <v>43.207924214452838</v>
      </c>
      <c r="AF8">
        <v>124.83347321718171</v>
      </c>
      <c r="AG8">
        <v>1204.4928149322968</v>
      </c>
      <c r="AH8">
        <v>18.319797025065185</v>
      </c>
      <c r="AI8">
        <v>17.317892809071843</v>
      </c>
      <c r="AJ8">
        <v>22.149636818821094</v>
      </c>
      <c r="AK8">
        <v>100.47745731000566</v>
      </c>
      <c r="AL8">
        <v>137.96436813038898</v>
      </c>
      <c r="AM8">
        <v>30.701663494054152</v>
      </c>
      <c r="AN8">
        <v>-0.87163824518651545</v>
      </c>
      <c r="AO8">
        <v>329.78139872039145</v>
      </c>
      <c r="AP8">
        <v>40.817444951486806</v>
      </c>
      <c r="AQ8">
        <v>6.9791028787016973</v>
      </c>
      <c r="AR8">
        <v>112.78880374360119</v>
      </c>
      <c r="AS8">
        <v>399.00762328082612</v>
      </c>
      <c r="AT8">
        <v>3.0866224281770371</v>
      </c>
      <c r="AU8">
        <v>-269.37439046524219</v>
      </c>
      <c r="AV8">
        <v>174.68998826588808</v>
      </c>
      <c r="AW8">
        <v>840.3522911682071</v>
      </c>
      <c r="AX8">
        <v>1526.1025102019144</v>
      </c>
      <c r="AY8">
        <v>6.4045741309982596</v>
      </c>
      <c r="AZ8">
        <v>9.707788219324252</v>
      </c>
      <c r="BA8">
        <v>1921.0876591262497</v>
      </c>
      <c r="BB8">
        <v>12.037422616029692</v>
      </c>
      <c r="BC8">
        <v>74.307272771159461</v>
      </c>
      <c r="BD8">
        <v>366.18532075972615</v>
      </c>
      <c r="BE8">
        <v>-19.465631602909468</v>
      </c>
      <c r="BF8">
        <v>-119.11806967655701</v>
      </c>
      <c r="BG8">
        <v>187.45006431130508</v>
      </c>
      <c r="BH8">
        <v>22.776102309935681</v>
      </c>
      <c r="BI8">
        <v>784.52509778252056</v>
      </c>
      <c r="BJ8">
        <v>75.511666643112363</v>
      </c>
      <c r="BK8">
        <v>169.98398092308457</v>
      </c>
      <c r="BL8">
        <v>-26.55421422714717</v>
      </c>
      <c r="BM8">
        <v>49.172131568212706</v>
      </c>
      <c r="BN8">
        <v>-7.4035039167499335</v>
      </c>
      <c r="BO8">
        <v>-13.612677272325826</v>
      </c>
      <c r="BP8">
        <v>11.94510627047805</v>
      </c>
      <c r="BQ8">
        <v>-38.096506546591769</v>
      </c>
      <c r="BR8">
        <v>1857.9602394236717</v>
      </c>
      <c r="BS8">
        <v>163.27408833365598</v>
      </c>
      <c r="BT8">
        <v>-60.105295382537406</v>
      </c>
      <c r="BU8">
        <v>-528.98630258451703</v>
      </c>
      <c r="BV8">
        <v>1.5195091697522969</v>
      </c>
      <c r="BW8">
        <v>48.815827591543211</v>
      </c>
      <c r="BX8">
        <v>36.024081087101401</v>
      </c>
      <c r="BY8">
        <v>2.9425606736481811</v>
      </c>
      <c r="BZ8">
        <v>502.311757448344</v>
      </c>
      <c r="CA8">
        <v>-10.159151950897211</v>
      </c>
      <c r="CB8">
        <v>14.716730746590521</v>
      </c>
      <c r="CC8">
        <v>209.00884910896741</v>
      </c>
      <c r="CD8">
        <v>107.61067723568618</v>
      </c>
      <c r="CE8">
        <v>125.182163336702</v>
      </c>
      <c r="CF8">
        <v>293.92860770042466</v>
      </c>
      <c r="CG8">
        <v>3334.3931774735115</v>
      </c>
      <c r="CH8">
        <v>-290.00357991538647</v>
      </c>
      <c r="CI8">
        <v>-1335.7233118233644</v>
      </c>
      <c r="CJ8">
        <v>-183.91147469053334</v>
      </c>
      <c r="CK8">
        <v>-208.67134668926906</v>
      </c>
      <c r="CL8">
        <v>-447.44132515325089</v>
      </c>
      <c r="CM8">
        <v>-39.815657491540037</v>
      </c>
      <c r="CN8">
        <v>407.83366421118581</v>
      </c>
      <c r="CO8">
        <v>-31.919674066869447</v>
      </c>
      <c r="CP8">
        <v>4.8741883725269304</v>
      </c>
      <c r="CQ8">
        <v>-233.92534159709066</v>
      </c>
      <c r="CR8">
        <v>141.44069944065109</v>
      </c>
      <c r="CS8">
        <v>738.25582612410585</v>
      </c>
      <c r="CT8">
        <v>434.25351977448179</v>
      </c>
      <c r="CU8">
        <v>43.798521772269616</v>
      </c>
      <c r="CV8">
        <v>5845.3127771080126</v>
      </c>
      <c r="CW8">
        <v>-91.379209715149472</v>
      </c>
      <c r="CX8">
        <v>7.2821695837954081</v>
      </c>
      <c r="CY8">
        <v>151.8673115753727</v>
      </c>
      <c r="CZ8">
        <v>-134.24873662814019</v>
      </c>
      <c r="DA8">
        <v>239.31712170039387</v>
      </c>
      <c r="DB8">
        <v>245.37078052797796</v>
      </c>
      <c r="DC8">
        <v>45.600193714810302</v>
      </c>
      <c r="DD8">
        <v>81.081574870706078</v>
      </c>
      <c r="DE8">
        <v>31.775580718679016</v>
      </c>
      <c r="DF8">
        <v>875.43061333662399</v>
      </c>
      <c r="DG8">
        <v>252.60075467657748</v>
      </c>
      <c r="DH8">
        <v>369.77786881754992</v>
      </c>
      <c r="DI8">
        <v>33.938253047390845</v>
      </c>
      <c r="DJ8">
        <v>393.93251594937601</v>
      </c>
      <c r="DK8">
        <v>366.58232388532974</v>
      </c>
      <c r="DL8">
        <v>162.01082265041453</v>
      </c>
      <c r="DM8">
        <v>449.34345824586921</v>
      </c>
      <c r="DN8">
        <v>510.24475022144793</v>
      </c>
      <c r="DO8">
        <v>91.048046756675845</v>
      </c>
      <c r="DP8">
        <v>65.114071974685316</v>
      </c>
      <c r="DQ8">
        <v>1147.340555132796</v>
      </c>
      <c r="DR8">
        <v>129.82705421399322</v>
      </c>
      <c r="DS8">
        <v>278.77247492645665</v>
      </c>
      <c r="DT8">
        <v>1.664431444762247</v>
      </c>
      <c r="DU8">
        <v>142.35198118207262</v>
      </c>
      <c r="DV8">
        <v>-32.291944519394775</v>
      </c>
      <c r="DW8">
        <v>-54.955429349520102</v>
      </c>
      <c r="DX8">
        <v>-34.713882355719988</v>
      </c>
      <c r="DY8">
        <v>6.6415994635178492</v>
      </c>
      <c r="DZ8">
        <v>-109.88209372576068</v>
      </c>
      <c r="EA8">
        <v>139.17478116040303</v>
      </c>
      <c r="EB8">
        <v>-4.898205084384287</v>
      </c>
      <c r="EC8">
        <v>-3.9710043100341679</v>
      </c>
      <c r="ED8">
        <v>-6.5211183678810798</v>
      </c>
      <c r="EE8">
        <v>104.61092005558839</v>
      </c>
      <c r="EF8">
        <v>-55.703889892601694</v>
      </c>
      <c r="EG8">
        <v>-66.486702623679321</v>
      </c>
      <c r="EH8">
        <v>321.6291020720563</v>
      </c>
      <c r="EI8">
        <v>27263.809054433121</v>
      </c>
    </row>
    <row r="9" spans="1:139" x14ac:dyDescent="0.25">
      <c r="A9">
        <v>7</v>
      </c>
      <c r="B9">
        <v>11.353432338114487</v>
      </c>
      <c r="C9">
        <v>37.397891431349194</v>
      </c>
      <c r="D9">
        <v>-4.9892081659881953</v>
      </c>
      <c r="E9">
        <v>3.8709869675465995</v>
      </c>
      <c r="F9">
        <v>1.7379778017569385</v>
      </c>
      <c r="G9">
        <v>1.8646675989765022</v>
      </c>
      <c r="H9">
        <v>504.84741768430877</v>
      </c>
      <c r="I9">
        <v>1.1360287531171682</v>
      </c>
      <c r="J9">
        <v>19.382827734840433</v>
      </c>
      <c r="K9">
        <v>1.9121880759770009</v>
      </c>
      <c r="L9">
        <v>28.047895425117389</v>
      </c>
      <c r="M9">
        <v>8.2155177079932464</v>
      </c>
      <c r="N9">
        <v>273.58724026114021</v>
      </c>
      <c r="O9">
        <v>86.906275833921541</v>
      </c>
      <c r="P9">
        <v>143.31478699930199</v>
      </c>
      <c r="Q9">
        <v>141.85423755373762</v>
      </c>
      <c r="R9">
        <v>6.1468880892046771</v>
      </c>
      <c r="S9">
        <v>60.887063346407615</v>
      </c>
      <c r="T9">
        <v>14.409258200970072</v>
      </c>
      <c r="U9">
        <v>40.910858142420409</v>
      </c>
      <c r="V9">
        <v>337.47997319667962</v>
      </c>
      <c r="W9">
        <v>94.205575093549882</v>
      </c>
      <c r="X9">
        <v>33.586683062427184</v>
      </c>
      <c r="Y9">
        <v>14.865661700983793</v>
      </c>
      <c r="Z9">
        <v>-17.489237770278393</v>
      </c>
      <c r="AA9">
        <v>12.122442501484709</v>
      </c>
      <c r="AB9">
        <v>153.09337295991151</v>
      </c>
      <c r="AC9">
        <v>25.057531104314805</v>
      </c>
      <c r="AD9">
        <v>22.01701240556763</v>
      </c>
      <c r="AE9">
        <v>49.740102271575125</v>
      </c>
      <c r="AF9">
        <v>107.59354879559345</v>
      </c>
      <c r="AG9">
        <v>959.96955469481372</v>
      </c>
      <c r="AH9">
        <v>18.085665291047736</v>
      </c>
      <c r="AI9">
        <v>15.358838283722271</v>
      </c>
      <c r="AJ9">
        <v>17.528835582845026</v>
      </c>
      <c r="AK9">
        <v>101.70377353391142</v>
      </c>
      <c r="AL9">
        <v>135.80082008432666</v>
      </c>
      <c r="AM9">
        <v>28.902953794924795</v>
      </c>
      <c r="AN9">
        <v>-0.3025969127110173</v>
      </c>
      <c r="AO9">
        <v>240.22871952102986</v>
      </c>
      <c r="AP9">
        <v>38.369233162018048</v>
      </c>
      <c r="AQ9">
        <v>7.3952988953877492</v>
      </c>
      <c r="AR9">
        <v>119.98744929689018</v>
      </c>
      <c r="AS9">
        <v>385.19327501319981</v>
      </c>
      <c r="AT9">
        <v>2.5180103673485377</v>
      </c>
      <c r="AU9">
        <v>-244.75378488714358</v>
      </c>
      <c r="AV9">
        <v>157.00488315265946</v>
      </c>
      <c r="AW9">
        <v>623.5498594174062</v>
      </c>
      <c r="AX9">
        <v>1346.9163524317421</v>
      </c>
      <c r="AY9">
        <v>4.9065453569797146</v>
      </c>
      <c r="AZ9">
        <v>21.217841575733527</v>
      </c>
      <c r="BA9">
        <v>1374.0389201884798</v>
      </c>
      <c r="BB9">
        <v>8.5992648910957445</v>
      </c>
      <c r="BC9">
        <v>65.438699359475294</v>
      </c>
      <c r="BD9">
        <v>335.62794244330138</v>
      </c>
      <c r="BE9">
        <v>43.313895279240199</v>
      </c>
      <c r="BF9">
        <v>-82.305097706606176</v>
      </c>
      <c r="BG9">
        <v>192.12027548198631</v>
      </c>
      <c r="BH9">
        <v>31.29252681602199</v>
      </c>
      <c r="BI9">
        <v>918.62859165271539</v>
      </c>
      <c r="BJ9">
        <v>106.82450711718741</v>
      </c>
      <c r="BK9">
        <v>156.28339344526245</v>
      </c>
      <c r="BL9">
        <v>29.437112537812794</v>
      </c>
      <c r="BM9">
        <v>80.158759507604003</v>
      </c>
      <c r="BN9">
        <v>3.8306325729898134</v>
      </c>
      <c r="BO9">
        <v>1.1722333098227438</v>
      </c>
      <c r="BP9">
        <v>365.31326796231008</v>
      </c>
      <c r="BQ9">
        <v>-15.952256361796827</v>
      </c>
      <c r="BR9">
        <v>2007.5776888693963</v>
      </c>
      <c r="BS9">
        <v>162.5780432715278</v>
      </c>
      <c r="BT9">
        <v>54.059202872924232</v>
      </c>
      <c r="BU9">
        <v>56.028355046110846</v>
      </c>
      <c r="BV9">
        <v>8.2529619916226125</v>
      </c>
      <c r="BW9">
        <v>155.27637369566628</v>
      </c>
      <c r="BX9">
        <v>67.443755370093157</v>
      </c>
      <c r="BY9">
        <v>85.054847242583079</v>
      </c>
      <c r="BZ9">
        <v>508.21665707384091</v>
      </c>
      <c r="CA9">
        <v>13.767926751688606</v>
      </c>
      <c r="CB9">
        <v>21.985275368827821</v>
      </c>
      <c r="CC9">
        <v>263.14611462419424</v>
      </c>
      <c r="CD9">
        <v>103.67924111230818</v>
      </c>
      <c r="CE9">
        <v>116.99626131300953</v>
      </c>
      <c r="CF9">
        <v>267.48561642563033</v>
      </c>
      <c r="CG9">
        <v>2902.8143883955545</v>
      </c>
      <c r="CH9">
        <v>88.637448605016289</v>
      </c>
      <c r="CI9">
        <v>-331.25257362360799</v>
      </c>
      <c r="CJ9">
        <v>-69.794424687037747</v>
      </c>
      <c r="CK9">
        <v>-5.2770066366801984</v>
      </c>
      <c r="CL9">
        <v>-206.97147506348938</v>
      </c>
      <c r="CM9">
        <v>183.18740980259179</v>
      </c>
      <c r="CN9">
        <v>779.16914889537156</v>
      </c>
      <c r="CO9">
        <v>39.408441933440827</v>
      </c>
      <c r="CP9">
        <v>45.674379022347608</v>
      </c>
      <c r="CQ9">
        <v>-146.76505269307307</v>
      </c>
      <c r="CR9">
        <v>168.92516157128554</v>
      </c>
      <c r="CS9">
        <v>843.24005665355776</v>
      </c>
      <c r="CT9">
        <v>405.25441832846218</v>
      </c>
      <c r="CU9">
        <v>38.27861767374516</v>
      </c>
      <c r="CV9">
        <v>6100.3044477744588</v>
      </c>
      <c r="CW9">
        <v>72.096906656987414</v>
      </c>
      <c r="CX9">
        <v>21.829063868906033</v>
      </c>
      <c r="CY9">
        <v>308.49907199068207</v>
      </c>
      <c r="CZ9">
        <v>-80.945804708527461</v>
      </c>
      <c r="DA9">
        <v>245.96930766215473</v>
      </c>
      <c r="DB9">
        <v>332.42030598065799</v>
      </c>
      <c r="DC9">
        <v>70.482614333730595</v>
      </c>
      <c r="DD9">
        <v>96.403487694176064</v>
      </c>
      <c r="DE9">
        <v>35.730664944316118</v>
      </c>
      <c r="DF9">
        <v>1100.3652732313203</v>
      </c>
      <c r="DG9">
        <v>327.41515104762175</v>
      </c>
      <c r="DH9">
        <v>422.23825890600301</v>
      </c>
      <c r="DI9">
        <v>63.016169072328182</v>
      </c>
      <c r="DJ9">
        <v>547.49844315491146</v>
      </c>
      <c r="DK9">
        <v>443.85942595484244</v>
      </c>
      <c r="DL9">
        <v>222.72811694115268</v>
      </c>
      <c r="DM9">
        <v>493.72918684636511</v>
      </c>
      <c r="DN9">
        <v>383.17981723714695</v>
      </c>
      <c r="DO9">
        <v>82.828791910892448</v>
      </c>
      <c r="DP9">
        <v>117.55489082476447</v>
      </c>
      <c r="DQ9">
        <v>1366.0239637950117</v>
      </c>
      <c r="DR9">
        <v>66.763268195828971</v>
      </c>
      <c r="DS9">
        <v>208.32887764590271</v>
      </c>
      <c r="DT9">
        <v>9.7399598382508294</v>
      </c>
      <c r="DU9">
        <v>169.86457665476951</v>
      </c>
      <c r="DV9">
        <v>34.513797662752836</v>
      </c>
      <c r="DW9">
        <v>50.256474705146758</v>
      </c>
      <c r="DX9">
        <v>63.279942850956445</v>
      </c>
      <c r="DY9">
        <v>15.268066986063857</v>
      </c>
      <c r="DZ9">
        <v>-64.27984677366959</v>
      </c>
      <c r="EA9">
        <v>140.50602393668908</v>
      </c>
      <c r="EB9">
        <v>15.917390300527472</v>
      </c>
      <c r="EC9">
        <v>1.7078587872824684</v>
      </c>
      <c r="ED9">
        <v>6.8364612563508658</v>
      </c>
      <c r="EE9">
        <v>356.51253593856995</v>
      </c>
      <c r="EF9">
        <v>15.3735091243461</v>
      </c>
      <c r="EG9">
        <v>91.5035272568241</v>
      </c>
      <c r="EH9">
        <v>357.1431499793166</v>
      </c>
      <c r="EI9">
        <v>32747.011481927791</v>
      </c>
    </row>
    <row r="10" spans="1:139" x14ac:dyDescent="0.25">
      <c r="A10">
        <v>8</v>
      </c>
      <c r="B10">
        <v>18.409452941054781</v>
      </c>
      <c r="C10">
        <v>74.617242779519302</v>
      </c>
      <c r="D10">
        <v>-1.5415093364617558</v>
      </c>
      <c r="E10">
        <v>23.744601349899312</v>
      </c>
      <c r="F10">
        <v>0.99148020595686148</v>
      </c>
      <c r="G10">
        <v>2.0929651518044534</v>
      </c>
      <c r="H10">
        <v>534.70051339844269</v>
      </c>
      <c r="I10">
        <v>0.79240396281873471</v>
      </c>
      <c r="J10">
        <v>31.406578885273518</v>
      </c>
      <c r="K10">
        <v>2.3465567831150898</v>
      </c>
      <c r="L10">
        <v>40.285785532513195</v>
      </c>
      <c r="M10">
        <v>10.543928674989687</v>
      </c>
      <c r="N10">
        <v>341.29380601615287</v>
      </c>
      <c r="O10">
        <v>92.870854628144485</v>
      </c>
      <c r="P10">
        <v>167.02973115998299</v>
      </c>
      <c r="Q10">
        <v>220.2942260937794</v>
      </c>
      <c r="R10">
        <v>6.5157306856470658</v>
      </c>
      <c r="S10">
        <v>79.376606476320887</v>
      </c>
      <c r="T10">
        <v>33.936753542507475</v>
      </c>
      <c r="U10">
        <v>47.784708085754147</v>
      </c>
      <c r="V10">
        <v>367.0357408023101</v>
      </c>
      <c r="W10">
        <v>103.10874099426157</v>
      </c>
      <c r="X10">
        <v>32.23840142537567</v>
      </c>
      <c r="Y10">
        <v>29.343577362775854</v>
      </c>
      <c r="Z10">
        <v>-7.8638951120202165</v>
      </c>
      <c r="AA10">
        <v>15.891023935881339</v>
      </c>
      <c r="AB10">
        <v>188.87939392111775</v>
      </c>
      <c r="AC10">
        <v>23.221025738001309</v>
      </c>
      <c r="AD10">
        <v>18.199825445241597</v>
      </c>
      <c r="AE10">
        <v>49.589402187360093</v>
      </c>
      <c r="AF10">
        <v>121.5618207922889</v>
      </c>
      <c r="AG10">
        <v>1210.6057873020679</v>
      </c>
      <c r="AH10">
        <v>18.157905097404463</v>
      </c>
      <c r="AI10">
        <v>27.407907320547189</v>
      </c>
      <c r="AJ10">
        <v>22.147185765690967</v>
      </c>
      <c r="AK10">
        <v>104.52343895183809</v>
      </c>
      <c r="AL10">
        <v>135.8033204590771</v>
      </c>
      <c r="AM10">
        <v>30.267204295370863</v>
      </c>
      <c r="AN10">
        <v>-7.2524330548668914E-2</v>
      </c>
      <c r="AO10">
        <v>306.58803796725203</v>
      </c>
      <c r="AP10">
        <v>40.207713786774576</v>
      </c>
      <c r="AQ10">
        <v>6.5166185262257379</v>
      </c>
      <c r="AR10">
        <v>131.55013589750854</v>
      </c>
      <c r="AS10">
        <v>451.6593590087582</v>
      </c>
      <c r="AT10">
        <v>-1.9124242753399159</v>
      </c>
      <c r="AU10">
        <v>-126.17745451833983</v>
      </c>
      <c r="AV10">
        <v>171.2959058079571</v>
      </c>
      <c r="AW10">
        <v>850.42184432547583</v>
      </c>
      <c r="AX10">
        <v>1551.0765596362248</v>
      </c>
      <c r="AY10">
        <v>8.2283900206615801</v>
      </c>
      <c r="AZ10">
        <v>12.447851213015477</v>
      </c>
      <c r="BA10">
        <v>1978.8959659425216</v>
      </c>
      <c r="BB10">
        <v>7.7853134015072261</v>
      </c>
      <c r="BC10">
        <v>85.014800326505338</v>
      </c>
      <c r="BD10">
        <v>381.45642366295181</v>
      </c>
      <c r="BE10">
        <v>50.036686038450142</v>
      </c>
      <c r="BF10">
        <v>-48.459993969227455</v>
      </c>
      <c r="BG10">
        <v>212.07415784946431</v>
      </c>
      <c r="BH10">
        <v>32.967410189708346</v>
      </c>
      <c r="BI10">
        <v>961.07416950037896</v>
      </c>
      <c r="BJ10">
        <v>116.02216243586963</v>
      </c>
      <c r="BK10">
        <v>147.40029951214083</v>
      </c>
      <c r="BL10">
        <v>58.840933489609569</v>
      </c>
      <c r="BM10">
        <v>115.25346956430147</v>
      </c>
      <c r="BN10">
        <v>23.875976354079057</v>
      </c>
      <c r="BO10">
        <v>16.688429764690397</v>
      </c>
      <c r="BP10">
        <v>603.9747062833012</v>
      </c>
      <c r="BQ10">
        <v>9.7018546894452413</v>
      </c>
      <c r="BR10">
        <v>2237.9866551192736</v>
      </c>
      <c r="BS10">
        <v>217.09809881796696</v>
      </c>
      <c r="BT10">
        <v>178.22296671918969</v>
      </c>
      <c r="BU10">
        <v>636.97678867907166</v>
      </c>
      <c r="BV10">
        <v>50.785276018398051</v>
      </c>
      <c r="BW10">
        <v>236.60904805395717</v>
      </c>
      <c r="BX10">
        <v>77.879871037865072</v>
      </c>
      <c r="BY10">
        <v>114.99599385788336</v>
      </c>
      <c r="BZ10">
        <v>566.06133242086071</v>
      </c>
      <c r="CA10">
        <v>41.714706645071601</v>
      </c>
      <c r="CB10">
        <v>34.757094725214515</v>
      </c>
      <c r="CC10">
        <v>289.14610730259375</v>
      </c>
      <c r="CD10">
        <v>121.46833021622231</v>
      </c>
      <c r="CE10">
        <v>141.48787610785953</v>
      </c>
      <c r="CF10">
        <v>307.67651061037566</v>
      </c>
      <c r="CG10">
        <v>3620.7132259527771</v>
      </c>
      <c r="CH10">
        <v>489.83712337083</v>
      </c>
      <c r="CI10">
        <v>414.55080983848723</v>
      </c>
      <c r="CJ10">
        <v>133.0522490565732</v>
      </c>
      <c r="CK10">
        <v>266.2682855537937</v>
      </c>
      <c r="CL10">
        <v>86.774449242137052</v>
      </c>
      <c r="CM10">
        <v>374.50300500565618</v>
      </c>
      <c r="CN10">
        <v>1096.0055399421176</v>
      </c>
      <c r="CO10">
        <v>153.494831113966</v>
      </c>
      <c r="CP10">
        <v>74.868295716644909</v>
      </c>
      <c r="CQ10">
        <v>12.832351296820093</v>
      </c>
      <c r="CR10">
        <v>219.20002305305937</v>
      </c>
      <c r="CS10">
        <v>921.90791532150638</v>
      </c>
      <c r="CT10">
        <v>491.59371449818036</v>
      </c>
      <c r="CU10">
        <v>54.25981767936851</v>
      </c>
      <c r="CV10">
        <v>6721.9310933918241</v>
      </c>
      <c r="CW10">
        <v>107.75984967189939</v>
      </c>
      <c r="CX10">
        <v>33.205024492625682</v>
      </c>
      <c r="CY10">
        <v>459.41918644717884</v>
      </c>
      <c r="CZ10">
        <v>10.727846515378516</v>
      </c>
      <c r="DA10">
        <v>264.93705077327667</v>
      </c>
      <c r="DB10">
        <v>360.73032284606421</v>
      </c>
      <c r="DC10">
        <v>88.732336002544443</v>
      </c>
      <c r="DD10">
        <v>94.88167828753852</v>
      </c>
      <c r="DE10">
        <v>48.032956831705867</v>
      </c>
      <c r="DF10">
        <v>1172.4035711571896</v>
      </c>
      <c r="DG10">
        <v>406.59344307648701</v>
      </c>
      <c r="DH10">
        <v>463.9352866994036</v>
      </c>
      <c r="DI10">
        <v>115.24802919525085</v>
      </c>
      <c r="DJ10">
        <v>597.4536112251028</v>
      </c>
      <c r="DK10">
        <v>435.55201005079709</v>
      </c>
      <c r="DL10">
        <v>242.10308584472824</v>
      </c>
      <c r="DM10">
        <v>460.67912932746253</v>
      </c>
      <c r="DN10">
        <v>595.46071009428135</v>
      </c>
      <c r="DO10">
        <v>90.012207331240049</v>
      </c>
      <c r="DP10">
        <v>81.734315301580011</v>
      </c>
      <c r="DQ10">
        <v>1361.9817746543117</v>
      </c>
      <c r="DR10">
        <v>57.432768886623691</v>
      </c>
      <c r="DS10">
        <v>212.37033585427321</v>
      </c>
      <c r="DT10">
        <v>13.147598679085576</v>
      </c>
      <c r="DU10">
        <v>227.36427916847072</v>
      </c>
      <c r="DV10">
        <v>53.624712920339732</v>
      </c>
      <c r="DW10">
        <v>84.526471713698314</v>
      </c>
      <c r="DX10">
        <v>232.31042289370873</v>
      </c>
      <c r="DY10">
        <v>40.887202511745535</v>
      </c>
      <c r="DZ10">
        <v>-1.1541681386977132</v>
      </c>
      <c r="EA10">
        <v>215.44242279838511</v>
      </c>
      <c r="EB10">
        <v>97.852475562463567</v>
      </c>
      <c r="EC10">
        <v>5.1456606141940924</v>
      </c>
      <c r="ED10">
        <v>12.66565786425793</v>
      </c>
      <c r="EE10">
        <v>548.38131156017698</v>
      </c>
      <c r="EF10">
        <v>22.288047718263584</v>
      </c>
      <c r="EG10">
        <v>254.87442243618045</v>
      </c>
      <c r="EH10">
        <v>520.71021128824191</v>
      </c>
      <c r="EI10">
        <v>42846.15564832613</v>
      </c>
    </row>
    <row r="11" spans="1:139" x14ac:dyDescent="0.25">
      <c r="A11">
        <v>9</v>
      </c>
      <c r="B11">
        <v>15.996068806351218</v>
      </c>
      <c r="C11">
        <v>46.32221099231532</v>
      </c>
      <c r="D11">
        <v>-0.29605854890136207</v>
      </c>
      <c r="E11">
        <v>11.226569310537442</v>
      </c>
      <c r="F11">
        <v>0.95470316775757036</v>
      </c>
      <c r="G11">
        <v>1.8807004336323021</v>
      </c>
      <c r="H11">
        <v>451.53751951778406</v>
      </c>
      <c r="I11">
        <v>1.0243456474416242</v>
      </c>
      <c r="J11">
        <v>18.242714560997072</v>
      </c>
      <c r="K11">
        <v>1.5733834438223591</v>
      </c>
      <c r="L11">
        <v>29.211124120455906</v>
      </c>
      <c r="M11">
        <v>8.4284613887965882</v>
      </c>
      <c r="N11">
        <v>254.08962767904313</v>
      </c>
      <c r="O11">
        <v>70.607586590166918</v>
      </c>
      <c r="P11">
        <v>150.35112157834763</v>
      </c>
      <c r="Q11">
        <v>173.7360662361159</v>
      </c>
      <c r="R11">
        <v>6.8590894596269241</v>
      </c>
      <c r="S11">
        <v>58.869401643681442</v>
      </c>
      <c r="T11">
        <v>25.240852803844021</v>
      </c>
      <c r="U11">
        <v>46.113420386678968</v>
      </c>
      <c r="V11">
        <v>325.38941611744184</v>
      </c>
      <c r="W11">
        <v>85.698762606614196</v>
      </c>
      <c r="X11">
        <v>30.673686289771059</v>
      </c>
      <c r="Y11">
        <v>15.271649339857476</v>
      </c>
      <c r="Z11">
        <v>-12.547245132883162</v>
      </c>
      <c r="AA11">
        <v>14.982830213527507</v>
      </c>
      <c r="AB11">
        <v>171.19795629740941</v>
      </c>
      <c r="AC11">
        <v>27.789143572591819</v>
      </c>
      <c r="AD11">
        <v>17.681967853970107</v>
      </c>
      <c r="AE11">
        <v>48.408399048618293</v>
      </c>
      <c r="AF11">
        <v>113.58507877500033</v>
      </c>
      <c r="AG11">
        <v>1061.9276935552218</v>
      </c>
      <c r="AH11">
        <v>16.540493140760084</v>
      </c>
      <c r="AI11">
        <v>37.358698293760611</v>
      </c>
      <c r="AJ11">
        <v>17.793886453049961</v>
      </c>
      <c r="AK11">
        <v>107.87257311597324</v>
      </c>
      <c r="AL11">
        <v>137.94275414797593</v>
      </c>
      <c r="AM11">
        <v>27.934993364625942</v>
      </c>
      <c r="AN11">
        <v>0.16188596389167031</v>
      </c>
      <c r="AO11">
        <v>246.2641794283474</v>
      </c>
      <c r="AP11">
        <v>34.653627314574962</v>
      </c>
      <c r="AQ11">
        <v>7.0123019279910528</v>
      </c>
      <c r="AR11">
        <v>117.2540258595244</v>
      </c>
      <c r="AS11">
        <v>367.89765323730444</v>
      </c>
      <c r="AT11">
        <v>-5.9393098172534593</v>
      </c>
      <c r="AU11">
        <v>-113.92764856588204</v>
      </c>
      <c r="AV11">
        <v>150.21430247166776</v>
      </c>
      <c r="AW11">
        <v>803.32470030884178</v>
      </c>
      <c r="AX11">
        <v>1392.8087456354599</v>
      </c>
      <c r="AY11">
        <v>9.6456884912700591</v>
      </c>
      <c r="AZ11">
        <v>17.593556509465824</v>
      </c>
      <c r="BA11">
        <v>1905.2019714746091</v>
      </c>
      <c r="BB11">
        <v>8.640096210252862</v>
      </c>
      <c r="BC11">
        <v>71.934617329759362</v>
      </c>
      <c r="BD11">
        <v>373.52639763265165</v>
      </c>
      <c r="BE11">
        <v>34.492392950352553</v>
      </c>
      <c r="BF11">
        <v>-43.062453642075226</v>
      </c>
      <c r="BG11">
        <v>174.95370076749884</v>
      </c>
      <c r="BH11">
        <v>28.275322733489645</v>
      </c>
      <c r="BI11">
        <v>789.11929301368286</v>
      </c>
      <c r="BJ11">
        <v>99.342722339386199</v>
      </c>
      <c r="BK11">
        <v>134.59116907921143</v>
      </c>
      <c r="BL11">
        <v>48.981407763080341</v>
      </c>
      <c r="BM11">
        <v>96.872612005665133</v>
      </c>
      <c r="BN11">
        <v>21.525273804179641</v>
      </c>
      <c r="BO11">
        <v>14.988948119239836</v>
      </c>
      <c r="BP11">
        <v>501.77820586921723</v>
      </c>
      <c r="BQ11">
        <v>10.357992980246252</v>
      </c>
      <c r="BR11">
        <v>1917.5219072338241</v>
      </c>
      <c r="BS11">
        <v>175.71535526095937</v>
      </c>
      <c r="BT11">
        <v>163.4167133454394</v>
      </c>
      <c r="BU11">
        <v>809.51605028979645</v>
      </c>
      <c r="BV11">
        <v>50.456559127893428</v>
      </c>
      <c r="BW11">
        <v>264.91472132663614</v>
      </c>
      <c r="BX11">
        <v>85.993771067700308</v>
      </c>
      <c r="BY11">
        <v>138.67293987343587</v>
      </c>
      <c r="BZ11">
        <v>460.16079347936306</v>
      </c>
      <c r="CA11">
        <v>34.754997453318381</v>
      </c>
      <c r="CB11">
        <v>25.686211631470066</v>
      </c>
      <c r="CC11">
        <v>303.21820677962415</v>
      </c>
      <c r="CD11">
        <v>105.9786135183671</v>
      </c>
      <c r="CE11">
        <v>109.26041626597564</v>
      </c>
      <c r="CF11">
        <v>266.79431923363813</v>
      </c>
      <c r="CG11">
        <v>3126.3386578361969</v>
      </c>
      <c r="CH11">
        <v>280.90299282293108</v>
      </c>
      <c r="CI11">
        <v>157.86102521743533</v>
      </c>
      <c r="CJ11">
        <v>23.08079030230499</v>
      </c>
      <c r="CK11">
        <v>64.426165345048958</v>
      </c>
      <c r="CL11">
        <v>49.903526999642281</v>
      </c>
      <c r="CM11">
        <v>261.50167398150143</v>
      </c>
      <c r="CN11">
        <v>811.01299254183641</v>
      </c>
      <c r="CO11">
        <v>91.916135595990539</v>
      </c>
      <c r="CP11">
        <v>67.787613355469801</v>
      </c>
      <c r="CQ11">
        <v>-38.014454261240246</v>
      </c>
      <c r="CR11">
        <v>169.62533861377366</v>
      </c>
      <c r="CS11">
        <v>730.27935202661934</v>
      </c>
      <c r="CT11">
        <v>351.67842120165801</v>
      </c>
      <c r="CU11">
        <v>33.902693071516794</v>
      </c>
      <c r="CV11">
        <v>5391.6975425082619</v>
      </c>
      <c r="CW11">
        <v>93.837284280644269</v>
      </c>
      <c r="CX11">
        <v>37.471487926386544</v>
      </c>
      <c r="CY11">
        <v>330.46167050628901</v>
      </c>
      <c r="CZ11">
        <v>16.582303485158448</v>
      </c>
      <c r="DA11">
        <v>235.36922372050617</v>
      </c>
      <c r="DB11">
        <v>302.79234130341092</v>
      </c>
      <c r="DC11">
        <v>76.295320524485589</v>
      </c>
      <c r="DD11">
        <v>67.809641788648506</v>
      </c>
      <c r="DE11">
        <v>37.639231749053579</v>
      </c>
      <c r="DF11">
        <v>913.29324577494208</v>
      </c>
      <c r="DG11">
        <v>224.66428873267216</v>
      </c>
      <c r="DH11">
        <v>344.8949569286367</v>
      </c>
      <c r="DI11">
        <v>10.415192911427852</v>
      </c>
      <c r="DJ11">
        <v>421.42305658841019</v>
      </c>
      <c r="DK11">
        <v>346.51495898426356</v>
      </c>
      <c r="DL11">
        <v>171.85242931738384</v>
      </c>
      <c r="DM11">
        <v>423.44993556431064</v>
      </c>
      <c r="DN11">
        <v>279.33956242653107</v>
      </c>
      <c r="DO11">
        <v>74.922273782905393</v>
      </c>
      <c r="DP11">
        <v>103.12340329105001</v>
      </c>
      <c r="DQ11">
        <v>1139.2631450812787</v>
      </c>
      <c r="DR11">
        <v>55.502172798034593</v>
      </c>
      <c r="DS11">
        <v>183.95318461844965</v>
      </c>
      <c r="DT11">
        <v>10.078009721066444</v>
      </c>
      <c r="DU11">
        <v>160.76609102077202</v>
      </c>
      <c r="DV11">
        <v>24.168244938799887</v>
      </c>
      <c r="DW11">
        <v>55.274980179646377</v>
      </c>
      <c r="DX11">
        <v>173.67996221187741</v>
      </c>
      <c r="DY11">
        <v>31.92384099260601</v>
      </c>
      <c r="DZ11">
        <v>-20.079037818600767</v>
      </c>
      <c r="EA11">
        <v>142.22514816903902</v>
      </c>
      <c r="EB11">
        <v>54.12225308248577</v>
      </c>
      <c r="EC11">
        <v>4.1870004936006211</v>
      </c>
      <c r="ED11">
        <v>11.379695570655343</v>
      </c>
      <c r="EE11">
        <v>349.13857051761556</v>
      </c>
      <c r="EF11">
        <v>17.660620112055909</v>
      </c>
      <c r="EG11">
        <v>152.25591715981625</v>
      </c>
      <c r="EH11">
        <v>358.91109671237132</v>
      </c>
      <c r="EI11">
        <v>34818.479773662511</v>
      </c>
    </row>
    <row r="12" spans="1:139" x14ac:dyDescent="0.25">
      <c r="A12">
        <v>10</v>
      </c>
      <c r="B12">
        <v>25.488009530388808</v>
      </c>
      <c r="C12">
        <v>66.640943612486438</v>
      </c>
      <c r="D12">
        <v>2.094437554903088</v>
      </c>
      <c r="E12">
        <v>25.845682343023768</v>
      </c>
      <c r="F12">
        <v>1.4728632146407672</v>
      </c>
      <c r="G12">
        <v>2.0722118965432856</v>
      </c>
      <c r="H12">
        <v>501.73953810281489</v>
      </c>
      <c r="I12">
        <v>1.1095350283866554</v>
      </c>
      <c r="J12">
        <v>27.685018652416495</v>
      </c>
      <c r="K12">
        <v>2.0148843358904158</v>
      </c>
      <c r="L12">
        <v>40.135986786592134</v>
      </c>
      <c r="M12">
        <v>9.1537308350130271</v>
      </c>
      <c r="N12">
        <v>296.82854859922719</v>
      </c>
      <c r="O12">
        <v>84.134224661930688</v>
      </c>
      <c r="P12">
        <v>160.80253865530037</v>
      </c>
      <c r="Q12">
        <v>219.16712495936247</v>
      </c>
      <c r="R12">
        <v>7.6336746856630562</v>
      </c>
      <c r="S12">
        <v>73.467294598186442</v>
      </c>
      <c r="T12">
        <v>27.360822366047955</v>
      </c>
      <c r="U12">
        <v>52.192490495388142</v>
      </c>
      <c r="V12">
        <v>361.51602113791978</v>
      </c>
      <c r="W12">
        <v>98.562651327495601</v>
      </c>
      <c r="X12">
        <v>31.755287557118464</v>
      </c>
      <c r="Y12">
        <v>29.966278737726128</v>
      </c>
      <c r="Z12">
        <v>-7.6376846351682133</v>
      </c>
      <c r="AA12">
        <v>15.424458468712039</v>
      </c>
      <c r="AB12">
        <v>202.43939620873311</v>
      </c>
      <c r="AC12">
        <v>28.614405168025236</v>
      </c>
      <c r="AD12">
        <v>19.74256962833384</v>
      </c>
      <c r="AE12">
        <v>62.249689247825309</v>
      </c>
      <c r="AF12">
        <v>115.98548713879273</v>
      </c>
      <c r="AG12">
        <v>1090.3418540777377</v>
      </c>
      <c r="AH12">
        <v>18.483192168854259</v>
      </c>
      <c r="AI12">
        <v>74.733319941836271</v>
      </c>
      <c r="AJ12">
        <v>18.733554716742489</v>
      </c>
      <c r="AK12">
        <v>106.48658089506681</v>
      </c>
      <c r="AL12">
        <v>159.76212482485349</v>
      </c>
      <c r="AM12">
        <v>29.471975657002801</v>
      </c>
      <c r="AN12">
        <v>0.63834970076751674</v>
      </c>
      <c r="AO12">
        <v>285.30930602922399</v>
      </c>
      <c r="AP12">
        <v>39.63196726569798</v>
      </c>
      <c r="AQ12">
        <v>6.6624871393215903</v>
      </c>
      <c r="AR12">
        <v>133.44015035188463</v>
      </c>
      <c r="AS12">
        <v>431.90312531500882</v>
      </c>
      <c r="AT12">
        <v>-7.8102840845789956</v>
      </c>
      <c r="AU12">
        <v>-102.69810191329091</v>
      </c>
      <c r="AV12">
        <v>153.62238473770057</v>
      </c>
      <c r="AW12">
        <v>735.73581190176048</v>
      </c>
      <c r="AX12">
        <v>1428.8598880069362</v>
      </c>
      <c r="AY12">
        <v>10.304706560443163</v>
      </c>
      <c r="AZ12">
        <v>15.986130780394141</v>
      </c>
      <c r="BA12">
        <v>1685.8469425987059</v>
      </c>
      <c r="BB12">
        <v>7.3191731628706478</v>
      </c>
      <c r="BC12">
        <v>68.430603438836499</v>
      </c>
      <c r="BD12">
        <v>359.75588944161183</v>
      </c>
      <c r="BE12">
        <v>57.181837697823255</v>
      </c>
      <c r="BF12">
        <v>-46.003346815016656</v>
      </c>
      <c r="BG12">
        <v>191.92686548531606</v>
      </c>
      <c r="BH12">
        <v>29.981466193101355</v>
      </c>
      <c r="BI12">
        <v>906.04137012844853</v>
      </c>
      <c r="BJ12">
        <v>116.43466099061527</v>
      </c>
      <c r="BK12">
        <v>153.11974933668105</v>
      </c>
      <c r="BL12">
        <v>60.720548625304303</v>
      </c>
      <c r="BM12">
        <v>125.26561078079993</v>
      </c>
      <c r="BN12">
        <v>34.421734986062489</v>
      </c>
      <c r="BO12">
        <v>24.344441003461576</v>
      </c>
      <c r="BP12">
        <v>583.22783724626072</v>
      </c>
      <c r="BQ12">
        <v>24.660832831779516</v>
      </c>
      <c r="BR12">
        <v>2001.8580902016483</v>
      </c>
      <c r="BS12">
        <v>188.41778469370473</v>
      </c>
      <c r="BT12">
        <v>197.73981881335334</v>
      </c>
      <c r="BU12">
        <v>775.16999746277156</v>
      </c>
      <c r="BV12">
        <v>63.377447116567311</v>
      </c>
      <c r="BW12">
        <v>289.2493314754206</v>
      </c>
      <c r="BX12">
        <v>66.696239916674472</v>
      </c>
      <c r="BY12">
        <v>86.209114014059566</v>
      </c>
      <c r="BZ12">
        <v>518.93841305433511</v>
      </c>
      <c r="CA12">
        <v>55.579339262675617</v>
      </c>
      <c r="CB12">
        <v>36.209820009981179</v>
      </c>
      <c r="CC12">
        <v>301.14673927141814</v>
      </c>
      <c r="CD12">
        <v>120.50541825108917</v>
      </c>
      <c r="CE12">
        <v>133.23665356636374</v>
      </c>
      <c r="CF12">
        <v>273.93864290717255</v>
      </c>
      <c r="CG12">
        <v>3297.0394305558852</v>
      </c>
      <c r="CH12">
        <v>355.94609331240383</v>
      </c>
      <c r="CI12">
        <v>541.28112003883916</v>
      </c>
      <c r="CJ12">
        <v>206.98334674844563</v>
      </c>
      <c r="CK12">
        <v>301.91027722626768</v>
      </c>
      <c r="CL12">
        <v>241.70689660391395</v>
      </c>
      <c r="CM12">
        <v>405.93737666026948</v>
      </c>
      <c r="CN12">
        <v>987.19776042897183</v>
      </c>
      <c r="CO12">
        <v>127.8247049839463</v>
      </c>
      <c r="CP12">
        <v>66.572872674222992</v>
      </c>
      <c r="CQ12">
        <v>26.925008944799117</v>
      </c>
      <c r="CR12">
        <v>210.48544979015958</v>
      </c>
      <c r="CS12">
        <v>794.58741327311736</v>
      </c>
      <c r="CT12">
        <v>430.36258514943449</v>
      </c>
      <c r="CU12">
        <v>43.896498415801055</v>
      </c>
      <c r="CV12">
        <v>5776.5361182597717</v>
      </c>
      <c r="CW12">
        <v>145.92381896534837</v>
      </c>
      <c r="CX12">
        <v>36.495741812165242</v>
      </c>
      <c r="CY12">
        <v>425.10945252573083</v>
      </c>
      <c r="CZ12">
        <v>41.496877778469369</v>
      </c>
      <c r="DA12">
        <v>240.63095483342673</v>
      </c>
      <c r="DB12">
        <v>310.60375603537318</v>
      </c>
      <c r="DC12">
        <v>83.316528310950957</v>
      </c>
      <c r="DD12">
        <v>75.439190836977019</v>
      </c>
      <c r="DE12">
        <v>45.471425773785228</v>
      </c>
      <c r="DF12">
        <v>1032.4981741317774</v>
      </c>
      <c r="DG12">
        <v>302.19805598399921</v>
      </c>
      <c r="DH12">
        <v>358.19070977502895</v>
      </c>
      <c r="DI12">
        <v>67.545007401998433</v>
      </c>
      <c r="DJ12">
        <v>490.20958261997248</v>
      </c>
      <c r="DK12">
        <v>386.21712602185369</v>
      </c>
      <c r="DL12">
        <v>221.31007989301355</v>
      </c>
      <c r="DM12">
        <v>447.28507833125923</v>
      </c>
      <c r="DN12">
        <v>429.23081384206432</v>
      </c>
      <c r="DO12">
        <v>88.338563987327689</v>
      </c>
      <c r="DP12">
        <v>42.787040810372162</v>
      </c>
      <c r="DQ12">
        <v>1258.2038245883527</v>
      </c>
      <c r="DR12">
        <v>61.039448478397077</v>
      </c>
      <c r="DS12">
        <v>202.44322381419579</v>
      </c>
      <c r="DT12">
        <v>13.371146752594896</v>
      </c>
      <c r="DU12">
        <v>196.93068544744108</v>
      </c>
      <c r="DV12">
        <v>45.844600659140326</v>
      </c>
      <c r="DW12">
        <v>83.791568485909522</v>
      </c>
      <c r="DX12">
        <v>164.72336715087465</v>
      </c>
      <c r="DY12">
        <v>32.870897126500722</v>
      </c>
      <c r="DZ12">
        <v>15.011601114132802</v>
      </c>
      <c r="EA12">
        <v>199.70296839857366</v>
      </c>
      <c r="EB12">
        <v>58.488966448205559</v>
      </c>
      <c r="EC12">
        <v>6.4020604760091757</v>
      </c>
      <c r="ED12">
        <v>14.83840042355105</v>
      </c>
      <c r="EE12">
        <v>546.64458726441376</v>
      </c>
      <c r="EF12">
        <v>40.023316218377232</v>
      </c>
      <c r="EG12">
        <v>185.65624771504304</v>
      </c>
      <c r="EH12">
        <v>439.97527889041044</v>
      </c>
      <c r="EI12">
        <v>39357.658834312249</v>
      </c>
    </row>
    <row r="13" spans="1:139" x14ac:dyDescent="0.25">
      <c r="A13">
        <v>11</v>
      </c>
      <c r="B13">
        <v>-2.2776442379025639</v>
      </c>
      <c r="C13">
        <v>31.569368643193059</v>
      </c>
      <c r="D13">
        <v>1.1186469872913936</v>
      </c>
      <c r="E13">
        <v>11.238470667486524</v>
      </c>
      <c r="F13">
        <v>0.49018726829828374</v>
      </c>
      <c r="G13">
        <v>1.7889810604993011</v>
      </c>
      <c r="H13">
        <v>364.70286653216817</v>
      </c>
      <c r="I13">
        <v>0.43803041889294869</v>
      </c>
      <c r="J13">
        <v>20.621759479661193</v>
      </c>
      <c r="K13">
        <v>1.4729209719712011</v>
      </c>
      <c r="L13">
        <v>31.834462193817345</v>
      </c>
      <c r="M13">
        <v>7.2736652879111876</v>
      </c>
      <c r="N13">
        <v>228.82130085216045</v>
      </c>
      <c r="O13">
        <v>67.869071999133155</v>
      </c>
      <c r="P13">
        <v>132.31864679120361</v>
      </c>
      <c r="Q13">
        <v>168.07674956250804</v>
      </c>
      <c r="R13">
        <v>6.2262715807484525</v>
      </c>
      <c r="S13">
        <v>59.745549659729932</v>
      </c>
      <c r="T13">
        <v>11.733129537128946</v>
      </c>
      <c r="U13">
        <v>29.688820236836506</v>
      </c>
      <c r="V13">
        <v>317.39217091826248</v>
      </c>
      <c r="W13">
        <v>80.731400244557989</v>
      </c>
      <c r="X13">
        <v>28.338704799977876</v>
      </c>
      <c r="Y13">
        <v>13.392616933938847</v>
      </c>
      <c r="Z13">
        <v>-28.142818714942351</v>
      </c>
      <c r="AA13">
        <v>15.287912818506523</v>
      </c>
      <c r="AB13">
        <v>166.28388920597848</v>
      </c>
      <c r="AC13">
        <v>22.317253680730659</v>
      </c>
      <c r="AD13">
        <v>15.414089834886603</v>
      </c>
      <c r="AE13">
        <v>46.215558371774222</v>
      </c>
      <c r="AF13">
        <v>106.73167747258302</v>
      </c>
      <c r="AG13">
        <v>1038.2692134090566</v>
      </c>
      <c r="AH13">
        <v>14.23172007429703</v>
      </c>
      <c r="AI13">
        <v>70.26255235666946</v>
      </c>
      <c r="AJ13">
        <v>15.043017677362883</v>
      </c>
      <c r="AK13">
        <v>97.807503937843094</v>
      </c>
      <c r="AL13">
        <v>139.03572125317248</v>
      </c>
      <c r="AM13">
        <v>26.428210017509503</v>
      </c>
      <c r="AN13">
        <v>-0.67235247246163254</v>
      </c>
      <c r="AO13">
        <v>255.44379319092724</v>
      </c>
      <c r="AP13">
        <v>32.642443894538914</v>
      </c>
      <c r="AQ13">
        <v>5.9623415762029532</v>
      </c>
      <c r="AR13">
        <v>114.28398773136686</v>
      </c>
      <c r="AS13">
        <v>383.72842619532901</v>
      </c>
      <c r="AT13">
        <v>-13.24289853989174</v>
      </c>
      <c r="AU13">
        <v>-136.60754442985686</v>
      </c>
      <c r="AV13">
        <v>136.44652248903881</v>
      </c>
      <c r="AW13">
        <v>767.74133408117768</v>
      </c>
      <c r="AX13">
        <v>1281.9686144144987</v>
      </c>
      <c r="AY13">
        <v>8.4280059956894426</v>
      </c>
      <c r="AZ13">
        <v>16.12127797834566</v>
      </c>
      <c r="BA13">
        <v>1751.4698515997686</v>
      </c>
      <c r="BB13">
        <v>6.7398117232105044</v>
      </c>
      <c r="BC13">
        <v>71.278233698267641</v>
      </c>
      <c r="BD13">
        <v>334.59652510240852</v>
      </c>
      <c r="BE13">
        <v>2.4615878953373453</v>
      </c>
      <c r="BF13">
        <v>-63.35740347234217</v>
      </c>
      <c r="BG13">
        <v>151.52323249822757</v>
      </c>
      <c r="BH13">
        <v>18.649136857826093</v>
      </c>
      <c r="BI13">
        <v>702.42861368430567</v>
      </c>
      <c r="BJ13">
        <v>80.517136983583583</v>
      </c>
      <c r="BK13">
        <v>91.677362349462356</v>
      </c>
      <c r="BL13">
        <v>22.720125251232304</v>
      </c>
      <c r="BM13">
        <v>95.744585726471087</v>
      </c>
      <c r="BN13">
        <v>25.867035642447874</v>
      </c>
      <c r="BO13">
        <v>15.009798051325909</v>
      </c>
      <c r="BP13">
        <v>260.63653411178984</v>
      </c>
      <c r="BQ13">
        <v>0.89977985779520964</v>
      </c>
      <c r="BR13">
        <v>1514.6459122553024</v>
      </c>
      <c r="BS13">
        <v>141.86992816933332</v>
      </c>
      <c r="BT13">
        <v>72.080645696575232</v>
      </c>
      <c r="BU13">
        <v>312.21114367151267</v>
      </c>
      <c r="BV13">
        <v>46.103911537875462</v>
      </c>
      <c r="BW13">
        <v>217.49642438125727</v>
      </c>
      <c r="BX13">
        <v>56.775778408460212</v>
      </c>
      <c r="BY13">
        <v>32.26946237030208</v>
      </c>
      <c r="BZ13">
        <v>415.34530661077929</v>
      </c>
      <c r="CA13">
        <v>33.131383273470917</v>
      </c>
      <c r="CB13">
        <v>22.997373373984715</v>
      </c>
      <c r="CC13">
        <v>252.66333779581487</v>
      </c>
      <c r="CD13">
        <v>102.67904574214123</v>
      </c>
      <c r="CE13">
        <v>113.82180364388236</v>
      </c>
      <c r="CF13">
        <v>241.09390997351329</v>
      </c>
      <c r="CG13">
        <v>2946.1760557572366</v>
      </c>
      <c r="CH13">
        <v>53.212704069712117</v>
      </c>
      <c r="CI13">
        <v>-48.093215132453679</v>
      </c>
      <c r="CJ13">
        <v>-83.164508138928625</v>
      </c>
      <c r="CK13">
        <v>45.89605304582642</v>
      </c>
      <c r="CL13">
        <v>109.67186463417596</v>
      </c>
      <c r="CM13">
        <v>187.67517770993686</v>
      </c>
      <c r="CN13">
        <v>534.61122848131799</v>
      </c>
      <c r="CO13">
        <v>32.553657581527602</v>
      </c>
      <c r="CP13">
        <v>41.09498497956622</v>
      </c>
      <c r="CQ13">
        <v>-50.105426149141351</v>
      </c>
      <c r="CR13">
        <v>150.42331285243696</v>
      </c>
      <c r="CS13">
        <v>558.15583276258394</v>
      </c>
      <c r="CT13">
        <v>302.43830915169337</v>
      </c>
      <c r="CU13">
        <v>36.786392241981133</v>
      </c>
      <c r="CV13">
        <v>4373.5362892961384</v>
      </c>
      <c r="CW13">
        <v>0.15152425839329453</v>
      </c>
      <c r="CX13">
        <v>23.439824013953071</v>
      </c>
      <c r="CY13">
        <v>204.49324256698742</v>
      </c>
      <c r="CZ13">
        <v>11.217040949712185</v>
      </c>
      <c r="DA13">
        <v>204.06070669041122</v>
      </c>
      <c r="DB13">
        <v>224.96760595658981</v>
      </c>
      <c r="DC13">
        <v>57.161386328886806</v>
      </c>
      <c r="DD13">
        <v>50.189301456855446</v>
      </c>
      <c r="DE13">
        <v>31.619719735910216</v>
      </c>
      <c r="DF13">
        <v>701.63267623196361</v>
      </c>
      <c r="DG13">
        <v>193.06753852699558</v>
      </c>
      <c r="DH13">
        <v>212.35085105218252</v>
      </c>
      <c r="DI13">
        <v>12.024995695789642</v>
      </c>
      <c r="DJ13">
        <v>269.81016146058982</v>
      </c>
      <c r="DK13">
        <v>307.08853216780028</v>
      </c>
      <c r="DL13">
        <v>134.65770859520529</v>
      </c>
      <c r="DM13">
        <v>332.43206695547929</v>
      </c>
      <c r="DN13">
        <v>219.01880727867501</v>
      </c>
      <c r="DO13">
        <v>55.255046797751135</v>
      </c>
      <c r="DP13">
        <v>-58.672093404902853</v>
      </c>
      <c r="DQ13">
        <v>927.95182215568229</v>
      </c>
      <c r="DR13">
        <v>37.838616520894817</v>
      </c>
      <c r="DS13">
        <v>159.65240372196922</v>
      </c>
      <c r="DT13">
        <v>7.7196009490318254</v>
      </c>
      <c r="DU13">
        <v>126.958573897218</v>
      </c>
      <c r="DV13">
        <v>-9.3797338535165409</v>
      </c>
      <c r="DW13">
        <v>12.286678738458448</v>
      </c>
      <c r="DX13">
        <v>44.915662329228667</v>
      </c>
      <c r="DY13">
        <v>11.045281431554372</v>
      </c>
      <c r="DZ13">
        <v>-38.261345004751504</v>
      </c>
      <c r="EA13">
        <v>123.19727891774016</v>
      </c>
      <c r="EB13">
        <v>-1.7416659142523088</v>
      </c>
      <c r="EC13">
        <v>1.4451786957267316</v>
      </c>
      <c r="ED13">
        <v>4.4602306691645666</v>
      </c>
      <c r="EE13">
        <v>223.36364160608946</v>
      </c>
      <c r="EF13">
        <v>-10.030464775142065</v>
      </c>
      <c r="EG13">
        <v>25.245895433782493</v>
      </c>
      <c r="EH13">
        <v>290.28178233872518</v>
      </c>
      <c r="EI13">
        <v>27669.867710671577</v>
      </c>
    </row>
    <row r="14" spans="1:139" x14ac:dyDescent="0.25">
      <c r="A14">
        <v>12</v>
      </c>
      <c r="B14">
        <v>-3.7182293701319509</v>
      </c>
      <c r="C14">
        <v>29.741173395014584</v>
      </c>
      <c r="D14">
        <v>0.76680476565930178</v>
      </c>
      <c r="E14">
        <v>10.077334164906418</v>
      </c>
      <c r="F14">
        <v>1.2727314784142669</v>
      </c>
      <c r="G14">
        <v>1.7961362451590408</v>
      </c>
      <c r="H14">
        <v>358.97442358251044</v>
      </c>
      <c r="I14">
        <v>0.6772445965981313</v>
      </c>
      <c r="J14">
        <v>21.07749962929018</v>
      </c>
      <c r="K14">
        <v>1.4946676920583299</v>
      </c>
      <c r="L14">
        <v>32.054713203446248</v>
      </c>
      <c r="M14">
        <v>6.63649186064284</v>
      </c>
      <c r="N14">
        <v>217.31230025269929</v>
      </c>
      <c r="O14">
        <v>64.51638638337964</v>
      </c>
      <c r="P14">
        <v>122.69169535246486</v>
      </c>
      <c r="Q14">
        <v>158.89349168365345</v>
      </c>
      <c r="R14">
        <v>6.049263805717854</v>
      </c>
      <c r="S14">
        <v>56.225376092973534</v>
      </c>
      <c r="T14">
        <v>9.2328535837561105</v>
      </c>
      <c r="U14">
        <v>29.146610313205258</v>
      </c>
      <c r="V14">
        <v>305.43383193361745</v>
      </c>
      <c r="W14">
        <v>77.911293103629049</v>
      </c>
      <c r="X14">
        <v>27.175009192578813</v>
      </c>
      <c r="Y14">
        <v>6.9006731767628366</v>
      </c>
      <c r="Z14">
        <v>-33.642646667751052</v>
      </c>
      <c r="AA14">
        <v>12.674616618543844</v>
      </c>
      <c r="AB14">
        <v>157.51801250541047</v>
      </c>
      <c r="AC14">
        <v>20.446864804581395</v>
      </c>
      <c r="AD14">
        <v>15.390171297852742</v>
      </c>
      <c r="AE14">
        <v>48.186365621340869</v>
      </c>
      <c r="AF14">
        <v>96.695036866106392</v>
      </c>
      <c r="AG14">
        <v>917.14246615801881</v>
      </c>
      <c r="AH14">
        <v>14.41856576055233</v>
      </c>
      <c r="AI14">
        <v>79.125946497470295</v>
      </c>
      <c r="AJ14">
        <v>13.397495343916539</v>
      </c>
      <c r="AK14">
        <v>91.659954555039022</v>
      </c>
      <c r="AL14">
        <v>144.48454557908502</v>
      </c>
      <c r="AM14">
        <v>25.325029100573012</v>
      </c>
      <c r="AN14">
        <v>-0.52250991032255101</v>
      </c>
      <c r="AO14">
        <v>232.63436059095284</v>
      </c>
      <c r="AP14">
        <v>31.915655235586826</v>
      </c>
      <c r="AQ14">
        <v>5.8805229640939984</v>
      </c>
      <c r="AR14">
        <v>115.05031695268131</v>
      </c>
      <c r="AS14">
        <v>398.35241656355117</v>
      </c>
      <c r="AT14">
        <v>-13.647628238370444</v>
      </c>
      <c r="AU14">
        <v>-155.62363863689689</v>
      </c>
      <c r="AV14">
        <v>127.13900108014164</v>
      </c>
      <c r="AW14">
        <v>721.05986465378021</v>
      </c>
      <c r="AX14">
        <v>1164.2686816597409</v>
      </c>
      <c r="AY14">
        <v>8.1318987777403855</v>
      </c>
      <c r="AZ14">
        <v>18.398911261100658</v>
      </c>
      <c r="BA14">
        <v>1555.5623247287592</v>
      </c>
      <c r="BB14">
        <v>5.7896485399697077</v>
      </c>
      <c r="BC14">
        <v>64.543540427234177</v>
      </c>
      <c r="BD14">
        <v>309.92546664092026</v>
      </c>
      <c r="BE14">
        <v>19.596288161417675</v>
      </c>
      <c r="BF14">
        <v>-82.87678121531772</v>
      </c>
      <c r="BG14">
        <v>143.70151911610941</v>
      </c>
      <c r="BH14">
        <v>18.269537590539755</v>
      </c>
      <c r="BI14">
        <v>714.21910856426939</v>
      </c>
      <c r="BJ14">
        <v>81.606940874995985</v>
      </c>
      <c r="BK14">
        <v>75.645635057640249</v>
      </c>
      <c r="BL14">
        <v>14.510755800916399</v>
      </c>
      <c r="BM14">
        <v>93.524428523289998</v>
      </c>
      <c r="BN14">
        <v>19.788292942587987</v>
      </c>
      <c r="BO14">
        <v>15.743593160497497</v>
      </c>
      <c r="BP14">
        <v>191.83444072404359</v>
      </c>
      <c r="BQ14">
        <v>5.2058167134508153</v>
      </c>
      <c r="BR14">
        <v>1396.9459026470795</v>
      </c>
      <c r="BS14">
        <v>121.96707411629865</v>
      </c>
      <c r="BT14">
        <v>74.15161880199372</v>
      </c>
      <c r="BU14">
        <v>-43.598729570434671</v>
      </c>
      <c r="BV14">
        <v>33.107674537569238</v>
      </c>
      <c r="BW14">
        <v>201.22730319838024</v>
      </c>
      <c r="BX14">
        <v>49.877520778729917</v>
      </c>
      <c r="BY14">
        <v>21.179490911647918</v>
      </c>
      <c r="BZ14">
        <v>402.18647167078325</v>
      </c>
      <c r="CA14">
        <v>30.744999581728237</v>
      </c>
      <c r="CB14">
        <v>24.960074727266225</v>
      </c>
      <c r="CC14">
        <v>228.7985591270272</v>
      </c>
      <c r="CD14">
        <v>96.023914862446901</v>
      </c>
      <c r="CE14">
        <v>112.96490498320134</v>
      </c>
      <c r="CF14">
        <v>214.10291229376082</v>
      </c>
      <c r="CG14">
        <v>2610.4652468143831</v>
      </c>
      <c r="CH14">
        <v>48.744401693910845</v>
      </c>
      <c r="CI14">
        <v>38.092159990618939</v>
      </c>
      <c r="CJ14">
        <v>-90.887644764840218</v>
      </c>
      <c r="CK14">
        <v>48.281273123937808</v>
      </c>
      <c r="CL14">
        <v>126.05342720602073</v>
      </c>
      <c r="CM14">
        <v>196.06344378673271</v>
      </c>
      <c r="CN14">
        <v>489.29137208121438</v>
      </c>
      <c r="CO14">
        <v>13.149408706981262</v>
      </c>
      <c r="CP14">
        <v>34.416455451701836</v>
      </c>
      <c r="CQ14">
        <v>-49.375854015756317</v>
      </c>
      <c r="CR14">
        <v>163.36642605746383</v>
      </c>
      <c r="CS14">
        <v>536.87355645374487</v>
      </c>
      <c r="CT14">
        <v>291.63644028486897</v>
      </c>
      <c r="CU14">
        <v>35.499295177056858</v>
      </c>
      <c r="CV14">
        <v>4106.8886384365742</v>
      </c>
      <c r="CW14">
        <v>6.065959774276223</v>
      </c>
      <c r="CX14">
        <v>20.985974319164498</v>
      </c>
      <c r="CY14">
        <v>209.65515174300822</v>
      </c>
      <c r="CZ14">
        <v>-1.9991305282833167</v>
      </c>
      <c r="DA14">
        <v>191.56881122558417</v>
      </c>
      <c r="DB14">
        <v>219.43223269792981</v>
      </c>
      <c r="DC14">
        <v>55.177981758921391</v>
      </c>
      <c r="DD14">
        <v>55.794899528110108</v>
      </c>
      <c r="DE14">
        <v>28.411256800625139</v>
      </c>
      <c r="DF14">
        <v>703.81731486007766</v>
      </c>
      <c r="DG14">
        <v>228.94404930900271</v>
      </c>
      <c r="DH14">
        <v>198.38622460535294</v>
      </c>
      <c r="DI14">
        <v>46.186485580567961</v>
      </c>
      <c r="DJ14">
        <v>297.0657737461911</v>
      </c>
      <c r="DK14">
        <v>315.17207787457062</v>
      </c>
      <c r="DL14">
        <v>143.78488561149629</v>
      </c>
      <c r="DM14">
        <v>335.30746085625003</v>
      </c>
      <c r="DN14">
        <v>239.28374384060965</v>
      </c>
      <c r="DO14">
        <v>56.121064541910954</v>
      </c>
      <c r="DP14">
        <v>-107.8913213430219</v>
      </c>
      <c r="DQ14">
        <v>941.19741780656113</v>
      </c>
      <c r="DR14">
        <v>35.174512685821298</v>
      </c>
      <c r="DS14">
        <v>140.40314445864794</v>
      </c>
      <c r="DT14">
        <v>8.1741235824335341</v>
      </c>
      <c r="DU14">
        <v>123.88434862318559</v>
      </c>
      <c r="DV14">
        <v>1.2479322068795682</v>
      </c>
      <c r="DW14">
        <v>21.873131787539705</v>
      </c>
      <c r="DX14">
        <v>97.804646176926099</v>
      </c>
      <c r="DY14">
        <v>22.777762128214164</v>
      </c>
      <c r="DZ14">
        <v>-45.312028117127625</v>
      </c>
      <c r="EA14">
        <v>114.3090432735064</v>
      </c>
      <c r="EB14">
        <v>19.20120607604224</v>
      </c>
      <c r="EC14">
        <v>0.7679822501233744</v>
      </c>
      <c r="ED14">
        <v>3.0369777457796872</v>
      </c>
      <c r="EE14">
        <v>214.87749907605621</v>
      </c>
      <c r="EF14">
        <v>-5.2734408319910244</v>
      </c>
      <c r="EG14">
        <v>29.432566529652036</v>
      </c>
      <c r="EH14">
        <v>264.00212444476369</v>
      </c>
      <c r="EI14">
        <v>25836.838195321314</v>
      </c>
    </row>
    <row r="15" spans="1:139" x14ac:dyDescent="0.25">
      <c r="A15">
        <v>13</v>
      </c>
      <c r="B15">
        <v>-18.850103099248656</v>
      </c>
      <c r="C15">
        <v>17.313333828810642</v>
      </c>
      <c r="D15">
        <v>-1.1624118794228409</v>
      </c>
      <c r="E15">
        <v>6.0724613998664978</v>
      </c>
      <c r="F15">
        <v>0.73429494614515978</v>
      </c>
      <c r="G15">
        <v>1.6749410348439073</v>
      </c>
      <c r="H15">
        <v>302.29311357498125</v>
      </c>
      <c r="I15">
        <v>0.34517546653828823</v>
      </c>
      <c r="J15">
        <v>21.118519666173071</v>
      </c>
      <c r="K15">
        <v>1.3652548900900308</v>
      </c>
      <c r="L15">
        <v>31.292537089757516</v>
      </c>
      <c r="M15">
        <v>6.0398097891247051</v>
      </c>
      <c r="N15">
        <v>194.85412760223278</v>
      </c>
      <c r="O15">
        <v>59.29020846293335</v>
      </c>
      <c r="P15">
        <v>108.21296695179865</v>
      </c>
      <c r="Q15">
        <v>138.67866937450498</v>
      </c>
      <c r="R15">
        <v>5.1358543317491705</v>
      </c>
      <c r="S15">
        <v>54.044158528684846</v>
      </c>
      <c r="T15">
        <v>5.7300248188565632</v>
      </c>
      <c r="U15">
        <v>16.880068046639479</v>
      </c>
      <c r="V15">
        <v>281.00381084571001</v>
      </c>
      <c r="W15">
        <v>72.932797811777178</v>
      </c>
      <c r="X15">
        <v>24.641403754287872</v>
      </c>
      <c r="Y15">
        <v>4.6278684740601506</v>
      </c>
      <c r="Z15">
        <v>-34.316697643141509</v>
      </c>
      <c r="AA15">
        <v>12.122270070602521</v>
      </c>
      <c r="AB15">
        <v>137.56857432312216</v>
      </c>
      <c r="AC15">
        <v>16.018649061347311</v>
      </c>
      <c r="AD15">
        <v>12.284210562542746</v>
      </c>
      <c r="AE15">
        <v>41.170976024052919</v>
      </c>
      <c r="AF15">
        <v>93.191110818161974</v>
      </c>
      <c r="AG15">
        <v>903.46221676077198</v>
      </c>
      <c r="AH15">
        <v>13.341392752943662</v>
      </c>
      <c r="AI15">
        <v>74.724537151860034</v>
      </c>
      <c r="AJ15">
        <v>13.448653047388174</v>
      </c>
      <c r="AK15">
        <v>84.69458023080071</v>
      </c>
      <c r="AL15">
        <v>133.82182568566222</v>
      </c>
      <c r="AM15">
        <v>23.942008429169388</v>
      </c>
      <c r="AN15">
        <v>-0.88655731707528496</v>
      </c>
      <c r="AO15">
        <v>229.5574339074355</v>
      </c>
      <c r="AP15">
        <v>29.818772171211236</v>
      </c>
      <c r="AQ15">
        <v>5.3463668249306764</v>
      </c>
      <c r="AR15">
        <v>106.63902838538708</v>
      </c>
      <c r="AS15">
        <v>390.31109245999761</v>
      </c>
      <c r="AT15">
        <v>-15.890591145536845</v>
      </c>
      <c r="AU15">
        <v>-158.00636808692786</v>
      </c>
      <c r="AV15">
        <v>119.88903641616338</v>
      </c>
      <c r="AW15">
        <v>777.96770104702796</v>
      </c>
      <c r="AX15">
        <v>1088.4422434421399</v>
      </c>
      <c r="AY15">
        <v>8.2589331915188318</v>
      </c>
      <c r="AZ15">
        <v>15.419483077231277</v>
      </c>
      <c r="BA15">
        <v>1666.742831163072</v>
      </c>
      <c r="BB15">
        <v>5.6373215954116844</v>
      </c>
      <c r="BC15">
        <v>65.611422001206591</v>
      </c>
      <c r="BD15">
        <v>298.19442318387632</v>
      </c>
      <c r="BE15">
        <v>3.6815847742758194</v>
      </c>
      <c r="BF15">
        <v>-97.073620542886104</v>
      </c>
      <c r="BG15">
        <v>127.39257769311121</v>
      </c>
      <c r="BH15">
        <v>13.633036742533946</v>
      </c>
      <c r="BI15">
        <v>615.48287790705012</v>
      </c>
      <c r="BJ15">
        <v>64.331107080486817</v>
      </c>
      <c r="BK15">
        <v>52.28715393767547</v>
      </c>
      <c r="BL15">
        <v>-7.520108618264203</v>
      </c>
      <c r="BM15">
        <v>75.726800183608049</v>
      </c>
      <c r="BN15">
        <v>16.988426240993455</v>
      </c>
      <c r="BO15">
        <v>10.319566081572894</v>
      </c>
      <c r="BP15">
        <v>46.902491944244048</v>
      </c>
      <c r="BQ15">
        <v>-1.2409834316669333</v>
      </c>
      <c r="BR15">
        <v>1192.5244212840244</v>
      </c>
      <c r="BS15">
        <v>104.13254308957926</v>
      </c>
      <c r="BT15">
        <v>35.909867910842081</v>
      </c>
      <c r="BU15">
        <v>-315.95088301243709</v>
      </c>
      <c r="BV15">
        <v>23.181293527024877</v>
      </c>
      <c r="BW15">
        <v>147.95494005292085</v>
      </c>
      <c r="BX15">
        <v>39.070005250902142</v>
      </c>
      <c r="BY15">
        <v>-7.9932179489447037</v>
      </c>
      <c r="BZ15">
        <v>355.44623834156687</v>
      </c>
      <c r="CA15">
        <v>18.106123579221801</v>
      </c>
      <c r="CB15">
        <v>20.845807739994171</v>
      </c>
      <c r="CC15">
        <v>188.54982298114612</v>
      </c>
      <c r="CD15">
        <v>86.41785661076139</v>
      </c>
      <c r="CE15">
        <v>106.96252968619052</v>
      </c>
      <c r="CF15">
        <v>196.35995984465421</v>
      </c>
      <c r="CG15">
        <v>2445.1520151693776</v>
      </c>
      <c r="CH15">
        <v>-62.566671399432039</v>
      </c>
      <c r="CI15">
        <v>-235.39798566792876</v>
      </c>
      <c r="CJ15">
        <v>-158.57922611048909</v>
      </c>
      <c r="CK15">
        <v>-43.044057278634227</v>
      </c>
      <c r="CL15">
        <v>39.707886908362354</v>
      </c>
      <c r="CM15">
        <v>102.7670763454654</v>
      </c>
      <c r="CN15">
        <v>301.97555949074103</v>
      </c>
      <c r="CO15">
        <v>-21.57373489978815</v>
      </c>
      <c r="CP15">
        <v>18.771457795146603</v>
      </c>
      <c r="CQ15">
        <v>-73.522407798188411</v>
      </c>
      <c r="CR15">
        <v>149.96713048464554</v>
      </c>
      <c r="CS15">
        <v>446.53117589892304</v>
      </c>
      <c r="CT15">
        <v>262.66255749213428</v>
      </c>
      <c r="CU15">
        <v>34.843839590370777</v>
      </c>
      <c r="CV15">
        <v>3550.8809202400098</v>
      </c>
      <c r="CW15">
        <v>-57.740463284614407</v>
      </c>
      <c r="CX15">
        <v>14.679196510719322</v>
      </c>
      <c r="CY15">
        <v>139.4333783171835</v>
      </c>
      <c r="CZ15">
        <v>-22.451183879415964</v>
      </c>
      <c r="DA15">
        <v>176.1216318177604</v>
      </c>
      <c r="DB15">
        <v>180.65178945154713</v>
      </c>
      <c r="DC15">
        <v>46.074556293422745</v>
      </c>
      <c r="DD15">
        <v>50.720442930581235</v>
      </c>
      <c r="DE15">
        <v>23.84640947618928</v>
      </c>
      <c r="DF15">
        <v>570.71747809726867</v>
      </c>
      <c r="DG15">
        <v>214.48773332833605</v>
      </c>
      <c r="DH15">
        <v>158.28551994515078</v>
      </c>
      <c r="DI15">
        <v>50.856233860949359</v>
      </c>
      <c r="DJ15">
        <v>239.54638388887474</v>
      </c>
      <c r="DK15">
        <v>275.59416857004624</v>
      </c>
      <c r="DL15">
        <v>112.72535060698652</v>
      </c>
      <c r="DM15">
        <v>290.21155603770956</v>
      </c>
      <c r="DN15">
        <v>248.03204585305946</v>
      </c>
      <c r="DO15">
        <v>49.618102079719193</v>
      </c>
      <c r="DP15">
        <v>-146.52556858300397</v>
      </c>
      <c r="DQ15">
        <v>793.15588765403118</v>
      </c>
      <c r="DR15">
        <v>39.781190810137758</v>
      </c>
      <c r="DS15">
        <v>135.08785894997686</v>
      </c>
      <c r="DT15">
        <v>5.1682492991192461</v>
      </c>
      <c r="DU15">
        <v>103.65007778043906</v>
      </c>
      <c r="DV15">
        <v>-17.281099042206733</v>
      </c>
      <c r="DW15">
        <v>-9.3346170351666444</v>
      </c>
      <c r="DX15">
        <v>105.88020559370574</v>
      </c>
      <c r="DY15">
        <v>24.145564125162707</v>
      </c>
      <c r="DZ15">
        <v>-65.55361631877949</v>
      </c>
      <c r="EA15">
        <v>93.926850186211368</v>
      </c>
      <c r="EB15">
        <v>24.903949174387265</v>
      </c>
      <c r="EC15">
        <v>-1.7702130457291929</v>
      </c>
      <c r="ED15">
        <v>-2.8124585503194908</v>
      </c>
      <c r="EE15">
        <v>92.671340261262685</v>
      </c>
      <c r="EF15">
        <v>-29.654251824113089</v>
      </c>
      <c r="EG15">
        <v>-14.438827315556523</v>
      </c>
      <c r="EH15">
        <v>217.05410073809526</v>
      </c>
      <c r="EI15">
        <v>21473.264473253264</v>
      </c>
    </row>
    <row r="16" spans="1:139" x14ac:dyDescent="0.25">
      <c r="A16">
        <v>14</v>
      </c>
      <c r="B16">
        <v>-24.531147364674496</v>
      </c>
      <c r="C16">
        <v>4.310923159400545</v>
      </c>
      <c r="D16">
        <v>-2.9368895652393263</v>
      </c>
      <c r="E16">
        <v>-0.42113331613340677</v>
      </c>
      <c r="F16">
        <v>0.93134903336940811</v>
      </c>
      <c r="G16">
        <v>1.5922096394987644</v>
      </c>
      <c r="H16">
        <v>269.90498946613286</v>
      </c>
      <c r="I16">
        <v>0.47867260984974358</v>
      </c>
      <c r="J16">
        <v>17.425680820307527</v>
      </c>
      <c r="K16">
        <v>1.1628301759289332</v>
      </c>
      <c r="L16">
        <v>27.261034068504166</v>
      </c>
      <c r="M16">
        <v>5.0847178063168332</v>
      </c>
      <c r="N16">
        <v>157.92912191304106</v>
      </c>
      <c r="O16">
        <v>53.062153639628207</v>
      </c>
      <c r="P16">
        <v>96.385737548277802</v>
      </c>
      <c r="Q16">
        <v>106.87046314464374</v>
      </c>
      <c r="R16">
        <v>4.8277317725562092</v>
      </c>
      <c r="S16">
        <v>45.765491758773692</v>
      </c>
      <c r="T16">
        <v>1.0662380619586145</v>
      </c>
      <c r="U16">
        <v>12.966985805771685</v>
      </c>
      <c r="V16">
        <v>250.7954486044739</v>
      </c>
      <c r="W16">
        <v>66.189486806847299</v>
      </c>
      <c r="X16">
        <v>23.068083770469158</v>
      </c>
      <c r="Y16">
        <v>0.95002769054913472</v>
      </c>
      <c r="Z16">
        <v>-32.20540626377263</v>
      </c>
      <c r="AA16">
        <v>10.047080153640984</v>
      </c>
      <c r="AB16">
        <v>117.78451063583887</v>
      </c>
      <c r="AC16">
        <v>15.723717370436347</v>
      </c>
      <c r="AD16">
        <v>12.189022906137307</v>
      </c>
      <c r="AE16">
        <v>39.847270363009677</v>
      </c>
      <c r="AF16">
        <v>85.809959400108653</v>
      </c>
      <c r="AG16">
        <v>785.80342301727705</v>
      </c>
      <c r="AH16">
        <v>13.204586025631183</v>
      </c>
      <c r="AI16">
        <v>70.777536002937239</v>
      </c>
      <c r="AJ16">
        <v>12.358389898434488</v>
      </c>
      <c r="AK16">
        <v>80.197003949783252</v>
      </c>
      <c r="AL16">
        <v>127.85916868407541</v>
      </c>
      <c r="AM16">
        <v>22.435134276689457</v>
      </c>
      <c r="AN16">
        <v>-0.82114203050281098</v>
      </c>
      <c r="AO16">
        <v>196.17503660000932</v>
      </c>
      <c r="AP16">
        <v>28.090270445665368</v>
      </c>
      <c r="AQ16">
        <v>5.3207843530524492</v>
      </c>
      <c r="AR16">
        <v>98.956342941301273</v>
      </c>
      <c r="AS16">
        <v>358.2900380280438</v>
      </c>
      <c r="AT16">
        <v>-16.459138015111137</v>
      </c>
      <c r="AU16">
        <v>-159.65080234815056</v>
      </c>
      <c r="AV16">
        <v>107.52087956883463</v>
      </c>
      <c r="AW16">
        <v>731.45021099496978</v>
      </c>
      <c r="AX16">
        <v>950.90408501750926</v>
      </c>
      <c r="AY16">
        <v>7.9200079287678111</v>
      </c>
      <c r="AZ16">
        <v>16.53075967082783</v>
      </c>
      <c r="BA16">
        <v>1519.7107950847794</v>
      </c>
      <c r="BB16">
        <v>5.5005518619238281</v>
      </c>
      <c r="BC16">
        <v>57.225252067056992</v>
      </c>
      <c r="BD16">
        <v>276.08987545402755</v>
      </c>
      <c r="BE16">
        <v>3.9339014687006966</v>
      </c>
      <c r="BF16">
        <v>-105.08481777713364</v>
      </c>
      <c r="BG16">
        <v>111.93932923836985</v>
      </c>
      <c r="BH16">
        <v>12.223958823379434</v>
      </c>
      <c r="BI16">
        <v>539.97634335331554</v>
      </c>
      <c r="BJ16">
        <v>54.496732550016503</v>
      </c>
      <c r="BK16">
        <v>38.887124614749098</v>
      </c>
      <c r="BL16">
        <v>-19.405585196221693</v>
      </c>
      <c r="BM16">
        <v>56.90250674145841</v>
      </c>
      <c r="BN16">
        <v>12.625095965630919</v>
      </c>
      <c r="BO16">
        <v>4.4958163145720036</v>
      </c>
      <c r="BP16">
        <v>-28.981099271206404</v>
      </c>
      <c r="BQ16">
        <v>-5.2546727117322831</v>
      </c>
      <c r="BR16">
        <v>1034.260923493508</v>
      </c>
      <c r="BS16">
        <v>78.98621905209626</v>
      </c>
      <c r="BT16">
        <v>12.221551111388635</v>
      </c>
      <c r="BU16">
        <v>-418.28625508998971</v>
      </c>
      <c r="BV16">
        <v>8.4527057734092352</v>
      </c>
      <c r="BW16">
        <v>108.10729923046051</v>
      </c>
      <c r="BX16">
        <v>33.372788934328938</v>
      </c>
      <c r="BY16">
        <v>-17.78941260504476</v>
      </c>
      <c r="BZ16">
        <v>303.45791814176891</v>
      </c>
      <c r="CA16">
        <v>6.1068240469459028</v>
      </c>
      <c r="CB16">
        <v>16.567479807204769</v>
      </c>
      <c r="CC16">
        <v>163.43765576745102</v>
      </c>
      <c r="CD16">
        <v>73.70643819413263</v>
      </c>
      <c r="CE16">
        <v>92.720373126118488</v>
      </c>
      <c r="CF16">
        <v>167.53405904559014</v>
      </c>
      <c r="CG16">
        <v>2062.180609333217</v>
      </c>
      <c r="CH16">
        <v>-174.15798399270949</v>
      </c>
      <c r="CI16">
        <v>-458.40229703322143</v>
      </c>
      <c r="CJ16">
        <v>-206.63769389789911</v>
      </c>
      <c r="CK16">
        <v>-138.09437588577418</v>
      </c>
      <c r="CL16">
        <v>-67.901605570158836</v>
      </c>
      <c r="CM16">
        <v>29.786348715804593</v>
      </c>
      <c r="CN16">
        <v>172.6457526725726</v>
      </c>
      <c r="CO16">
        <v>-57.318811823436675</v>
      </c>
      <c r="CP16">
        <v>7.0351883230848102</v>
      </c>
      <c r="CQ16">
        <v>-114.41502512552712</v>
      </c>
      <c r="CR16">
        <v>134.92947254553152</v>
      </c>
      <c r="CS16">
        <v>385.36708477512093</v>
      </c>
      <c r="CT16">
        <v>221.84102799226571</v>
      </c>
      <c r="CU16">
        <v>27.928139995962795</v>
      </c>
      <c r="CV16">
        <v>3041.1384816406771</v>
      </c>
      <c r="CW16">
        <v>-67.760189348854624</v>
      </c>
      <c r="CX16">
        <v>11.630239624146313</v>
      </c>
      <c r="CY16">
        <v>92.803848766569445</v>
      </c>
      <c r="CZ16">
        <v>-51.226718962305533</v>
      </c>
      <c r="DA16">
        <v>163.31339365165687</v>
      </c>
      <c r="DB16">
        <v>160.91379248604193</v>
      </c>
      <c r="DC16">
        <v>41.759976280366658</v>
      </c>
      <c r="DD16">
        <v>51.20793289432882</v>
      </c>
      <c r="DE16">
        <v>19.378918188045908</v>
      </c>
      <c r="DF16">
        <v>496.96331261146906</v>
      </c>
      <c r="DG16">
        <v>189.79747599619793</v>
      </c>
      <c r="DH16">
        <v>141.65455151380115</v>
      </c>
      <c r="DI16">
        <v>44.60691807829744</v>
      </c>
      <c r="DJ16">
        <v>222.95784245844084</v>
      </c>
      <c r="DK16">
        <v>252.23770218305549</v>
      </c>
      <c r="DL16">
        <v>97.650397474581666</v>
      </c>
      <c r="DM16">
        <v>286.32442016998698</v>
      </c>
      <c r="DN16">
        <v>187.48576288518007</v>
      </c>
      <c r="DO16">
        <v>47.926887601717823</v>
      </c>
      <c r="DP16">
        <v>-127.0275637266372</v>
      </c>
      <c r="DQ16">
        <v>727.1264129293113</v>
      </c>
      <c r="DR16">
        <v>47.580107154981846</v>
      </c>
      <c r="DS16">
        <v>130.00540826919814</v>
      </c>
      <c r="DT16">
        <v>3.2650842487656959</v>
      </c>
      <c r="DU16">
        <v>82.127186089198858</v>
      </c>
      <c r="DV16">
        <v>-20.94053089614863</v>
      </c>
      <c r="DW16">
        <v>-20.193431799083925</v>
      </c>
      <c r="DX16">
        <v>89.528445170341797</v>
      </c>
      <c r="DY16">
        <v>22.819365015746648</v>
      </c>
      <c r="DZ16">
        <v>-83.062966710862128</v>
      </c>
      <c r="EA16">
        <v>64.817198682270941</v>
      </c>
      <c r="EB16">
        <v>20.445825823643503</v>
      </c>
      <c r="EC16">
        <v>-3.0892539380261965</v>
      </c>
      <c r="ED16">
        <v>-5.5226680827993633</v>
      </c>
      <c r="EE16">
        <v>20.152756374447563</v>
      </c>
      <c r="EF16">
        <v>-32.241770451106817</v>
      </c>
      <c r="EG16">
        <v>-46.859976511810146</v>
      </c>
      <c r="EH16">
        <v>150.13948651138526</v>
      </c>
      <c r="EI16">
        <v>17278.956504607806</v>
      </c>
    </row>
    <row r="17" spans="1:139" x14ac:dyDescent="0.25">
      <c r="A17">
        <v>15</v>
      </c>
      <c r="B17">
        <v>-26.867011958291187</v>
      </c>
      <c r="C17">
        <v>6.2695394710700043</v>
      </c>
      <c r="D17">
        <v>-3.9941035185432607</v>
      </c>
      <c r="E17">
        <v>0.94276122096106008</v>
      </c>
      <c r="F17">
        <v>0.89933952911064652</v>
      </c>
      <c r="G17">
        <v>1.6284056715590656</v>
      </c>
      <c r="H17">
        <v>266.61054204907441</v>
      </c>
      <c r="I17">
        <v>0.45376845042309633</v>
      </c>
      <c r="J17">
        <v>19.471970914366018</v>
      </c>
      <c r="K17">
        <v>1.2608464194407345</v>
      </c>
      <c r="L17">
        <v>28.491585981105025</v>
      </c>
      <c r="M17">
        <v>5.2043237959456636</v>
      </c>
      <c r="N17">
        <v>157.22675338278873</v>
      </c>
      <c r="O17">
        <v>56.038686388757384</v>
      </c>
      <c r="P17">
        <v>96.896080651767363</v>
      </c>
      <c r="Q17">
        <v>102.91197084614328</v>
      </c>
      <c r="R17">
        <v>4.6572917866377299</v>
      </c>
      <c r="S17">
        <v>47.557050989374574</v>
      </c>
      <c r="T17">
        <v>0.99880344006167832</v>
      </c>
      <c r="U17">
        <v>11.648474329800791</v>
      </c>
      <c r="V17">
        <v>240.50128972524465</v>
      </c>
      <c r="W17">
        <v>66.53544265904759</v>
      </c>
      <c r="X17">
        <v>22.096161757483152</v>
      </c>
      <c r="Y17">
        <v>7.1896376926116972</v>
      </c>
      <c r="Z17">
        <v>-25.10700113559335</v>
      </c>
      <c r="AA17">
        <v>9.3161184429482589</v>
      </c>
      <c r="AB17">
        <v>113.01704319228438</v>
      </c>
      <c r="AC17">
        <v>14.98726611847674</v>
      </c>
      <c r="AD17">
        <v>12.405326447387001</v>
      </c>
      <c r="AE17">
        <v>40.441782388113033</v>
      </c>
      <c r="AF17">
        <v>84.847418848683645</v>
      </c>
      <c r="AG17">
        <v>765.62487279630659</v>
      </c>
      <c r="AH17">
        <v>13.640173848385221</v>
      </c>
      <c r="AI17">
        <v>69.249805783271881</v>
      </c>
      <c r="AJ17">
        <v>13.40277167344458</v>
      </c>
      <c r="AK17">
        <v>76.372907658923552</v>
      </c>
      <c r="AL17">
        <v>122.01439864331104</v>
      </c>
      <c r="AM17">
        <v>22.067242924204375</v>
      </c>
      <c r="AN17">
        <v>-0.80833651830533881</v>
      </c>
      <c r="AO17">
        <v>193.62715590123247</v>
      </c>
      <c r="AP17">
        <v>28.845369699613506</v>
      </c>
      <c r="AQ17">
        <v>4.9971818605263172</v>
      </c>
      <c r="AR17">
        <v>97.853969122107372</v>
      </c>
      <c r="AS17">
        <v>354.7140199857555</v>
      </c>
      <c r="AT17">
        <v>-17.263880686884519</v>
      </c>
      <c r="AU17">
        <v>-133.82134389311184</v>
      </c>
      <c r="AV17">
        <v>103.58964880530471</v>
      </c>
      <c r="AW17">
        <v>709.23311528988916</v>
      </c>
      <c r="AX17">
        <v>906.29671478733417</v>
      </c>
      <c r="AY17">
        <v>7.7921911318792834</v>
      </c>
      <c r="AZ17">
        <v>14.482505660013773</v>
      </c>
      <c r="BA17">
        <v>1441.8422445416847</v>
      </c>
      <c r="BB17">
        <v>4.9002598157768169</v>
      </c>
      <c r="BC17">
        <v>54.891520691550355</v>
      </c>
      <c r="BD17">
        <v>262.47295761740139</v>
      </c>
      <c r="BE17">
        <v>8.3412452723466686</v>
      </c>
      <c r="BF17">
        <v>-100.42390435944182</v>
      </c>
      <c r="BG17">
        <v>112.49677014708516</v>
      </c>
      <c r="BH17">
        <v>12.559553920443619</v>
      </c>
      <c r="BI17">
        <v>518.96574563536797</v>
      </c>
      <c r="BJ17">
        <v>51.393607129688945</v>
      </c>
      <c r="BK17">
        <v>34.51969259554474</v>
      </c>
      <c r="BL17">
        <v>-19.414679469617511</v>
      </c>
      <c r="BM17">
        <v>51.230564085549219</v>
      </c>
      <c r="BN17">
        <v>13.937730024905612</v>
      </c>
      <c r="BO17">
        <v>1.7156782743763017</v>
      </c>
      <c r="BP17">
        <v>-12.426901569064967</v>
      </c>
      <c r="BQ17">
        <v>-6.6614373732970478</v>
      </c>
      <c r="BR17">
        <v>1015.1272163714075</v>
      </c>
      <c r="BS17">
        <v>76.417114929233833</v>
      </c>
      <c r="BT17">
        <v>8.3129094054012853</v>
      </c>
      <c r="BU17">
        <v>-354.70532107017061</v>
      </c>
      <c r="BV17">
        <v>3.8446554409642033</v>
      </c>
      <c r="BW17">
        <v>75.420084069893392</v>
      </c>
      <c r="BX17">
        <v>25.249340071081335</v>
      </c>
      <c r="BY17">
        <v>-34.31138536364287</v>
      </c>
      <c r="BZ17">
        <v>293.01050318857983</v>
      </c>
      <c r="CA17">
        <v>3.1611829677149927</v>
      </c>
      <c r="CB17">
        <v>16.897922191704545</v>
      </c>
      <c r="CC17">
        <v>143.51789170927594</v>
      </c>
      <c r="CD17">
        <v>70.263915069544851</v>
      </c>
      <c r="CE17">
        <v>92.37759923876996</v>
      </c>
      <c r="CF17">
        <v>160.92795057196196</v>
      </c>
      <c r="CG17">
        <v>1989.6836173844658</v>
      </c>
      <c r="CH17">
        <v>-175.46302332088658</v>
      </c>
      <c r="CI17">
        <v>-499.32870020827488</v>
      </c>
      <c r="CJ17">
        <v>-177.9138474400319</v>
      </c>
      <c r="CK17">
        <v>-114.88062008743725</v>
      </c>
      <c r="CL17">
        <v>-110.14792228888786</v>
      </c>
      <c r="CM17">
        <v>24.763494638094812</v>
      </c>
      <c r="CN17">
        <v>193.57476186397253</v>
      </c>
      <c r="CO17">
        <v>-52.825644763836635</v>
      </c>
      <c r="CP17">
        <v>2.7450752455828251</v>
      </c>
      <c r="CQ17">
        <v>-115.92190247293726</v>
      </c>
      <c r="CR17">
        <v>136.68980220784616</v>
      </c>
      <c r="CS17">
        <v>392.96951755602777</v>
      </c>
      <c r="CT17">
        <v>236.216867328842</v>
      </c>
      <c r="CU17">
        <v>29.393024191173765</v>
      </c>
      <c r="CV17">
        <v>3028.2971088612248</v>
      </c>
      <c r="CW17">
        <v>-59.861724482629654</v>
      </c>
      <c r="CX17">
        <v>9.1736798865269122</v>
      </c>
      <c r="CY17">
        <v>107.78564069278877</v>
      </c>
      <c r="CZ17">
        <v>-63.969203757848959</v>
      </c>
      <c r="DA17">
        <v>164.39309148443451</v>
      </c>
      <c r="DB17">
        <v>161.66215762136721</v>
      </c>
      <c r="DC17">
        <v>44.389598748721482</v>
      </c>
      <c r="DD17">
        <v>57.855985222771324</v>
      </c>
      <c r="DE17">
        <v>21.352151876242019</v>
      </c>
      <c r="DF17">
        <v>511.01100554998629</v>
      </c>
      <c r="DG17">
        <v>218.03341189145863</v>
      </c>
      <c r="DH17">
        <v>166.52697920851665</v>
      </c>
      <c r="DI17">
        <v>68.207950802838113</v>
      </c>
      <c r="DJ17">
        <v>258.83739939812449</v>
      </c>
      <c r="DK17">
        <v>253.33794713075736</v>
      </c>
      <c r="DL17">
        <v>108.2405093353903</v>
      </c>
      <c r="DM17">
        <v>290.93537193831605</v>
      </c>
      <c r="DN17">
        <v>259.88009586935493</v>
      </c>
      <c r="DO17">
        <v>53.062043260435019</v>
      </c>
      <c r="DP17">
        <v>-104.38517097267425</v>
      </c>
      <c r="DQ17">
        <v>730.281681299703</v>
      </c>
      <c r="DR17">
        <v>55.45429504570852</v>
      </c>
      <c r="DS17">
        <v>140.67270924641753</v>
      </c>
      <c r="DT17">
        <v>2.8874168733247636</v>
      </c>
      <c r="DU17">
        <v>89.899295747803762</v>
      </c>
      <c r="DV17">
        <v>-14.447652832725112</v>
      </c>
      <c r="DW17">
        <v>-16.997014304982116</v>
      </c>
      <c r="DX17">
        <v>86.334485798883861</v>
      </c>
      <c r="DY17">
        <v>23.980041211354603</v>
      </c>
      <c r="DZ17">
        <v>-79.407572743430364</v>
      </c>
      <c r="EA17">
        <v>74.163527760411398</v>
      </c>
      <c r="EB17">
        <v>30.106008518806931</v>
      </c>
      <c r="EC17">
        <v>-3.0873479804999633</v>
      </c>
      <c r="ED17">
        <v>-6.0530796070944106</v>
      </c>
      <c r="EE17">
        <v>61.156970086123238</v>
      </c>
      <c r="EF17">
        <v>-28.795782740917389</v>
      </c>
      <c r="EG17">
        <v>-28.870126585798175</v>
      </c>
      <c r="EH17">
        <v>160.35353304993623</v>
      </c>
      <c r="EI17">
        <v>17334.252193466295</v>
      </c>
    </row>
    <row r="18" spans="1:139" x14ac:dyDescent="0.25">
      <c r="A18">
        <v>16</v>
      </c>
      <c r="B18">
        <v>-32.438009960522663</v>
      </c>
      <c r="C18">
        <v>-1.8377492130130122</v>
      </c>
      <c r="D18">
        <v>-4.8751450867503721</v>
      </c>
      <c r="E18">
        <v>-4.0935200546904724</v>
      </c>
      <c r="F18">
        <v>0.73185673797668316</v>
      </c>
      <c r="G18">
        <v>1.5959186992244483</v>
      </c>
      <c r="H18">
        <v>228.95691858842122</v>
      </c>
      <c r="I18">
        <v>0.4036264970041028</v>
      </c>
      <c r="J18">
        <v>16.392620360851858</v>
      </c>
      <c r="K18">
        <v>1.1096850766180308</v>
      </c>
      <c r="L18">
        <v>24.003674205854516</v>
      </c>
      <c r="M18">
        <v>4.7614325660673451</v>
      </c>
      <c r="N18">
        <v>128.75309514069238</v>
      </c>
      <c r="O18">
        <v>51.497405649949314</v>
      </c>
      <c r="P18">
        <v>93.422790360993361</v>
      </c>
      <c r="Q18">
        <v>78.069809778407262</v>
      </c>
      <c r="R18">
        <v>4.3321197463208279</v>
      </c>
      <c r="S18">
        <v>41.146372090790862</v>
      </c>
      <c r="T18">
        <v>-2.7303597485161362</v>
      </c>
      <c r="U18">
        <v>8.5715206140862961</v>
      </c>
      <c r="V18">
        <v>213.90354723403641</v>
      </c>
      <c r="W18">
        <v>59.067878061401316</v>
      </c>
      <c r="X18">
        <v>20.585194132859755</v>
      </c>
      <c r="Y18">
        <v>6.435267365994612</v>
      </c>
      <c r="Z18">
        <v>-23.281300821723207</v>
      </c>
      <c r="AA18">
        <v>8.4377557313111922</v>
      </c>
      <c r="AB18">
        <v>97.82331031954439</v>
      </c>
      <c r="AC18">
        <v>14.738314449721607</v>
      </c>
      <c r="AD18">
        <v>12.318433379761981</v>
      </c>
      <c r="AE18">
        <v>36.168245078291996</v>
      </c>
      <c r="AF18">
        <v>81.276612861603951</v>
      </c>
      <c r="AG18">
        <v>711.77548461976539</v>
      </c>
      <c r="AH18">
        <v>12.814688371210543</v>
      </c>
      <c r="AI18">
        <v>58.814261178583578</v>
      </c>
      <c r="AJ18">
        <v>13.004351724762181</v>
      </c>
      <c r="AK18">
        <v>73.276219143249662</v>
      </c>
      <c r="AL18">
        <v>108.90115777940616</v>
      </c>
      <c r="AM18">
        <v>20.75811097354234</v>
      </c>
      <c r="AN18">
        <v>-1.0709706118686384</v>
      </c>
      <c r="AO18">
        <v>165.91514783965562</v>
      </c>
      <c r="AP18">
        <v>27.047778612663059</v>
      </c>
      <c r="AQ18">
        <v>4.8057662000016359</v>
      </c>
      <c r="AR18">
        <v>89.735628122785272</v>
      </c>
      <c r="AS18">
        <v>314.41317877830079</v>
      </c>
      <c r="AT18">
        <v>-19.067570633194677</v>
      </c>
      <c r="AU18">
        <v>-111.15008837860827</v>
      </c>
      <c r="AV18">
        <v>94.012951484608038</v>
      </c>
      <c r="AW18">
        <v>672.42528930460833</v>
      </c>
      <c r="AX18">
        <v>823.49258150408559</v>
      </c>
      <c r="AY18">
        <v>7.374819034103453</v>
      </c>
      <c r="AZ18">
        <v>14.149569608303581</v>
      </c>
      <c r="BA18">
        <v>1363.1638728937985</v>
      </c>
      <c r="BB18">
        <v>4.4474781183269556</v>
      </c>
      <c r="BC18">
        <v>51.859871502681798</v>
      </c>
      <c r="BD18">
        <v>247.43208177332525</v>
      </c>
      <c r="BE18">
        <v>2.5570245866947232</v>
      </c>
      <c r="BF18">
        <v>-88.506035870841004</v>
      </c>
      <c r="BG18">
        <v>101.96575928809233</v>
      </c>
      <c r="BH18">
        <v>11.318130945937028</v>
      </c>
      <c r="BI18">
        <v>436.31414289660233</v>
      </c>
      <c r="BJ18">
        <v>40.48768064304187</v>
      </c>
      <c r="BK18">
        <v>22.556498949173175</v>
      </c>
      <c r="BL18">
        <v>-21.827582268387744</v>
      </c>
      <c r="BM18">
        <v>36.680932433719505</v>
      </c>
      <c r="BN18">
        <v>9.7694777830265593</v>
      </c>
      <c r="BO18">
        <v>-3.5617229619119826</v>
      </c>
      <c r="BP18">
        <v>-34.830904809923595</v>
      </c>
      <c r="BQ18">
        <v>-14.372311363459971</v>
      </c>
      <c r="BR18">
        <v>898.1775506960148</v>
      </c>
      <c r="BS18">
        <v>61.783676573359912</v>
      </c>
      <c r="BT18">
        <v>-16.935109456213013</v>
      </c>
      <c r="BU18">
        <v>-259.39717529542929</v>
      </c>
      <c r="BV18">
        <v>-4.4234873428839308</v>
      </c>
      <c r="BW18">
        <v>41.888749534141084</v>
      </c>
      <c r="BX18">
        <v>24.310969849392336</v>
      </c>
      <c r="BY18">
        <v>-32.638647422590822</v>
      </c>
      <c r="BZ18">
        <v>248.02551642319781</v>
      </c>
      <c r="CA18">
        <v>-5.2816385170168587</v>
      </c>
      <c r="CB18">
        <v>12.487603415842266</v>
      </c>
      <c r="CC18">
        <v>128.71955069832831</v>
      </c>
      <c r="CD18">
        <v>60.59562396354093</v>
      </c>
      <c r="CE18">
        <v>80.454447790458914</v>
      </c>
      <c r="CF18">
        <v>146.13352336630879</v>
      </c>
      <c r="CG18">
        <v>1795.5091487710433</v>
      </c>
      <c r="CH18">
        <v>-226.9110842932422</v>
      </c>
      <c r="CI18">
        <v>-663.92875028264348</v>
      </c>
      <c r="CJ18">
        <v>-226.55837565742891</v>
      </c>
      <c r="CK18">
        <v>-185.1609329204432</v>
      </c>
      <c r="CL18">
        <v>-197.26987339355668</v>
      </c>
      <c r="CM18">
        <v>-36.923770329450804</v>
      </c>
      <c r="CN18">
        <v>118.25554200117085</v>
      </c>
      <c r="CO18">
        <v>-67.187053368784149</v>
      </c>
      <c r="CP18">
        <v>-0.50088111578298822</v>
      </c>
      <c r="CQ18">
        <v>-143.18824285712253</v>
      </c>
      <c r="CR18">
        <v>113.55762938356415</v>
      </c>
      <c r="CS18">
        <v>343.87282393542841</v>
      </c>
      <c r="CT18">
        <v>196.22771704403999</v>
      </c>
      <c r="CU18">
        <v>24.932952553139557</v>
      </c>
      <c r="CV18">
        <v>2650.5937946036192</v>
      </c>
      <c r="CW18">
        <v>-69.999224698891823</v>
      </c>
      <c r="CX18">
        <v>7.147873667344129</v>
      </c>
      <c r="CY18">
        <v>68.231464414171342</v>
      </c>
      <c r="CZ18">
        <v>-79.82834624546058</v>
      </c>
      <c r="DA18">
        <v>158.94135770711972</v>
      </c>
      <c r="DB18">
        <v>151.07131380322778</v>
      </c>
      <c r="DC18">
        <v>41.982938051561945</v>
      </c>
      <c r="DD18">
        <v>56.552365237281421</v>
      </c>
      <c r="DE18">
        <v>19.432943084408691</v>
      </c>
      <c r="DF18">
        <v>444.96024299310557</v>
      </c>
      <c r="DG18">
        <v>190.24752634689673</v>
      </c>
      <c r="DH18">
        <v>160.48715985577928</v>
      </c>
      <c r="DI18">
        <v>53.745737570515502</v>
      </c>
      <c r="DJ18">
        <v>233.54081769719733</v>
      </c>
      <c r="DK18">
        <v>232.07540509840419</v>
      </c>
      <c r="DL18">
        <v>93.157249801343255</v>
      </c>
      <c r="DM18">
        <v>276.04130608738285</v>
      </c>
      <c r="DN18">
        <v>217.08447906175297</v>
      </c>
      <c r="DO18">
        <v>49.006035799899735</v>
      </c>
      <c r="DP18">
        <v>-65.02624164906922</v>
      </c>
      <c r="DQ18">
        <v>658.87561229840821</v>
      </c>
      <c r="DR18">
        <v>54.35823690790771</v>
      </c>
      <c r="DS18">
        <v>135.92373053084407</v>
      </c>
      <c r="DT18">
        <v>1.3459496978534453</v>
      </c>
      <c r="DU18">
        <v>75.33211543624941</v>
      </c>
      <c r="DV18">
        <v>-19.79381770668806</v>
      </c>
      <c r="DW18">
        <v>-25.164828377347305</v>
      </c>
      <c r="DX18">
        <v>64.16733929591112</v>
      </c>
      <c r="DY18">
        <v>20.323536315961</v>
      </c>
      <c r="DZ18">
        <v>-87.053087370164548</v>
      </c>
      <c r="EA18">
        <v>54.418361536956581</v>
      </c>
      <c r="EB18">
        <v>23.166401493326845</v>
      </c>
      <c r="EC18">
        <v>-3.6989252425878334</v>
      </c>
      <c r="ED18">
        <v>-7.413324677162386</v>
      </c>
      <c r="EE18">
        <v>19.026819539782991</v>
      </c>
      <c r="EF18">
        <v>-31.287172364268287</v>
      </c>
      <c r="EG18">
        <v>-41.143745035580878</v>
      </c>
      <c r="EH18">
        <v>120.0767449610687</v>
      </c>
      <c r="EI18">
        <v>14541.664218312875</v>
      </c>
    </row>
    <row r="19" spans="1:139" x14ac:dyDescent="0.25">
      <c r="A19">
        <v>17</v>
      </c>
      <c r="B19">
        <v>-29.086977298274178</v>
      </c>
      <c r="C19">
        <v>4.8773753540039024</v>
      </c>
      <c r="D19">
        <v>-4.5704948780164347</v>
      </c>
      <c r="E19">
        <v>-2.2418181038799503</v>
      </c>
      <c r="F19">
        <v>0.95367121675042943</v>
      </c>
      <c r="G19">
        <v>1.6904571054149042</v>
      </c>
      <c r="H19">
        <v>233.00873304135257</v>
      </c>
      <c r="I19">
        <v>0.52659617155307537</v>
      </c>
      <c r="J19">
        <v>17.095558155090067</v>
      </c>
      <c r="K19">
        <v>1.1937638911626554</v>
      </c>
      <c r="L19">
        <v>23.442349756372025</v>
      </c>
      <c r="M19">
        <v>5.0083118479076365</v>
      </c>
      <c r="N19">
        <v>127.82212925720125</v>
      </c>
      <c r="O19">
        <v>52.669692262822707</v>
      </c>
      <c r="P19">
        <v>100.35144353404918</v>
      </c>
      <c r="Q19">
        <v>77.418810224334777</v>
      </c>
      <c r="R19">
        <v>4.4715161311030975</v>
      </c>
      <c r="S19">
        <v>40.752466805303442</v>
      </c>
      <c r="T19">
        <v>-1.5924637065183731</v>
      </c>
      <c r="U19">
        <v>12.912431710535515</v>
      </c>
      <c r="V19">
        <v>206.31878283093124</v>
      </c>
      <c r="W19">
        <v>57.646186249626908</v>
      </c>
      <c r="X19">
        <v>19.98019320717453</v>
      </c>
      <c r="Y19">
        <v>10.897552790683484</v>
      </c>
      <c r="Z19">
        <v>-17.683313266016114</v>
      </c>
      <c r="AA19">
        <v>7.6832576295243271</v>
      </c>
      <c r="AB19">
        <v>98.446633706240846</v>
      </c>
      <c r="AC19">
        <v>15.761856022409482</v>
      </c>
      <c r="AD19">
        <v>13.333744193700337</v>
      </c>
      <c r="AE19">
        <v>37.448108266259183</v>
      </c>
      <c r="AF19">
        <v>79.952398276499878</v>
      </c>
      <c r="AG19">
        <v>681.73147391416387</v>
      </c>
      <c r="AH19">
        <v>13.114547801655483</v>
      </c>
      <c r="AI19">
        <v>54.690154230269187</v>
      </c>
      <c r="AJ19">
        <v>13.520761505534132</v>
      </c>
      <c r="AK19">
        <v>71.959735282062638</v>
      </c>
      <c r="AL19">
        <v>104.44910424334088</v>
      </c>
      <c r="AM19">
        <v>20.431311625035907</v>
      </c>
      <c r="AN19">
        <v>-0.98518251610539309</v>
      </c>
      <c r="AO19">
        <v>151.4011129971999</v>
      </c>
      <c r="AP19">
        <v>27.685956493580697</v>
      </c>
      <c r="AQ19">
        <v>4.6806890230993652</v>
      </c>
      <c r="AR19">
        <v>89.935899859467014</v>
      </c>
      <c r="AS19">
        <v>299.35469297892342</v>
      </c>
      <c r="AT19">
        <v>-20.395833984494573</v>
      </c>
      <c r="AU19">
        <v>-83.956228741053707</v>
      </c>
      <c r="AV19">
        <v>89.343402079866678</v>
      </c>
      <c r="AW19">
        <v>613.9313743840986</v>
      </c>
      <c r="AX19">
        <v>790.44471577515787</v>
      </c>
      <c r="AY19">
        <v>7.582929297990427</v>
      </c>
      <c r="AZ19">
        <v>13.537967695775773</v>
      </c>
      <c r="BA19">
        <v>1237.909456112759</v>
      </c>
      <c r="BB19">
        <v>3.6842607130249512</v>
      </c>
      <c r="BC19">
        <v>48.791123240368726</v>
      </c>
      <c r="BD19">
        <v>236.8153508641044</v>
      </c>
      <c r="BE19">
        <v>15.578808480078834</v>
      </c>
      <c r="BF19">
        <v>-70.51011764583086</v>
      </c>
      <c r="BG19">
        <v>105.14598342616313</v>
      </c>
      <c r="BH19">
        <v>13.220248319714543</v>
      </c>
      <c r="BI19">
        <v>432.20789371469027</v>
      </c>
      <c r="BJ19">
        <v>42.715286920907602</v>
      </c>
      <c r="BK19">
        <v>30.337683779152115</v>
      </c>
      <c r="BL19">
        <v>-10.533718732931618</v>
      </c>
      <c r="BM19">
        <v>37.670471674518552</v>
      </c>
      <c r="BN19">
        <v>8.3859748320243028</v>
      </c>
      <c r="BO19">
        <v>-3.3658786272151033</v>
      </c>
      <c r="BP19">
        <v>45.375944533280972</v>
      </c>
      <c r="BQ19">
        <v>-12.594028102039516</v>
      </c>
      <c r="BR19">
        <v>914.44220419796693</v>
      </c>
      <c r="BS19">
        <v>62.070724219702129</v>
      </c>
      <c r="BT19">
        <v>0.66360723323731463</v>
      </c>
      <c r="BU19">
        <v>-111.76260252085285</v>
      </c>
      <c r="BV19">
        <v>-4.8231744479756742</v>
      </c>
      <c r="BW19">
        <v>39.647083221435423</v>
      </c>
      <c r="BX19">
        <v>24.899384717497213</v>
      </c>
      <c r="BY19">
        <v>-18.074965639413193</v>
      </c>
      <c r="BZ19">
        <v>242.78784094270213</v>
      </c>
      <c r="CA19">
        <v>-2.1650641451469994</v>
      </c>
      <c r="CB19">
        <v>14.102019419582724</v>
      </c>
      <c r="CC19">
        <v>128.93059317483824</v>
      </c>
      <c r="CD19">
        <v>58.758968033404045</v>
      </c>
      <c r="CE19">
        <v>79.13601717379666</v>
      </c>
      <c r="CF19">
        <v>141.99865929992723</v>
      </c>
      <c r="CG19">
        <v>1745.2055273306223</v>
      </c>
      <c r="CH19">
        <v>-148.87434827023549</v>
      </c>
      <c r="CI19">
        <v>-529.62787806233234</v>
      </c>
      <c r="CJ19">
        <v>-160.55085408955972</v>
      </c>
      <c r="CK19">
        <v>-132.95429775418359</v>
      </c>
      <c r="CL19">
        <v>-187.72167943265327</v>
      </c>
      <c r="CM19">
        <v>-2.9926627185450343</v>
      </c>
      <c r="CN19">
        <v>200.4476176442754</v>
      </c>
      <c r="CO19">
        <v>-43.697354028144673</v>
      </c>
      <c r="CP19">
        <v>5.9620782161236434</v>
      </c>
      <c r="CQ19">
        <v>-127.97083462803279</v>
      </c>
      <c r="CR19">
        <v>114.83773395120716</v>
      </c>
      <c r="CS19">
        <v>366.78074007312853</v>
      </c>
      <c r="CT19">
        <v>199.61480435421231</v>
      </c>
      <c r="CU19">
        <v>24.825799974022203</v>
      </c>
      <c r="CV19">
        <v>2704.7536803571529</v>
      </c>
      <c r="CW19">
        <v>-32.344362824937548</v>
      </c>
      <c r="CX19">
        <v>9.1420469707103393</v>
      </c>
      <c r="CY19">
        <v>108.23968593078303</v>
      </c>
      <c r="CZ19">
        <v>-76.006267176520041</v>
      </c>
      <c r="DA19">
        <v>163.77888027133721</v>
      </c>
      <c r="DB19">
        <v>166.92610481945189</v>
      </c>
      <c r="DC19">
        <v>47.490864730990893</v>
      </c>
      <c r="DD19">
        <v>62.422811942275544</v>
      </c>
      <c r="DE19">
        <v>22.576679120682954</v>
      </c>
      <c r="DF19">
        <v>487.34342350914494</v>
      </c>
      <c r="DG19">
        <v>207.38995638187691</v>
      </c>
      <c r="DH19">
        <v>190.9144507033925</v>
      </c>
      <c r="DI19">
        <v>65.002133278766507</v>
      </c>
      <c r="DJ19">
        <v>275.2649816785015</v>
      </c>
      <c r="DK19">
        <v>240.05240750854523</v>
      </c>
      <c r="DL19">
        <v>109.59022606579299</v>
      </c>
      <c r="DM19">
        <v>289.47383409505369</v>
      </c>
      <c r="DN19">
        <v>252.14921704894743</v>
      </c>
      <c r="DO19">
        <v>54.476427912412618</v>
      </c>
      <c r="DP19">
        <v>-18.960069582103586</v>
      </c>
      <c r="DQ19">
        <v>693.14614260188955</v>
      </c>
      <c r="DR19">
        <v>54.97513742863255</v>
      </c>
      <c r="DS19">
        <v>139.0447541719293</v>
      </c>
      <c r="DT19">
        <v>2.26961654013828</v>
      </c>
      <c r="DU19">
        <v>87.316595603369251</v>
      </c>
      <c r="DV19">
        <v>-5.5959647394437866</v>
      </c>
      <c r="DW19">
        <v>-5.7735488942615802</v>
      </c>
      <c r="DX19">
        <v>87.188916419649786</v>
      </c>
      <c r="DY19">
        <v>23.698936280811822</v>
      </c>
      <c r="DZ19">
        <v>-71.115905091633522</v>
      </c>
      <c r="EA19">
        <v>65.857431376605859</v>
      </c>
      <c r="EB19">
        <v>36.665523813486573</v>
      </c>
      <c r="EC19">
        <v>-2.4629848428880265</v>
      </c>
      <c r="ED19">
        <v>-5.0938722722921952</v>
      </c>
      <c r="EE19">
        <v>100.44593123961022</v>
      </c>
      <c r="EF19">
        <v>-16.309771137032754</v>
      </c>
      <c r="EG19">
        <v>3.7403733152571021</v>
      </c>
      <c r="EH19">
        <v>138.83651952198602</v>
      </c>
      <c r="EI19">
        <v>15850.188911352319</v>
      </c>
    </row>
    <row r="20" spans="1:139" x14ac:dyDescent="0.25">
      <c r="A20">
        <v>18</v>
      </c>
      <c r="B20">
        <v>-30.808792897826606</v>
      </c>
      <c r="C20">
        <v>5.6427487821931663</v>
      </c>
      <c r="D20">
        <v>-4.1417579115518581</v>
      </c>
      <c r="E20">
        <v>-2.6777483148805459</v>
      </c>
      <c r="F20">
        <v>0.80400437323534191</v>
      </c>
      <c r="G20">
        <v>1.7251538269224385</v>
      </c>
      <c r="H20">
        <v>209.13419495015819</v>
      </c>
      <c r="I20">
        <v>0.46737933749104066</v>
      </c>
      <c r="J20">
        <v>16.215131739294073</v>
      </c>
      <c r="K20">
        <v>1.1473606095171989</v>
      </c>
      <c r="L20">
        <v>21.088664620715434</v>
      </c>
      <c r="M20">
        <v>5.0157623527307438</v>
      </c>
      <c r="N20">
        <v>115.72026148359168</v>
      </c>
      <c r="O20">
        <v>50.002408987398283</v>
      </c>
      <c r="P20">
        <v>103.61216730383696</v>
      </c>
      <c r="Q20">
        <v>70.402757420054058</v>
      </c>
      <c r="R20">
        <v>4.3837201589140804</v>
      </c>
      <c r="S20">
        <v>38.201085200774912</v>
      </c>
      <c r="T20">
        <v>-2.228455315618703</v>
      </c>
      <c r="U20">
        <v>13.192835409073268</v>
      </c>
      <c r="V20">
        <v>193.4197661425934</v>
      </c>
      <c r="W20">
        <v>53.017159341946694</v>
      </c>
      <c r="X20">
        <v>18.826712301532815</v>
      </c>
      <c r="Y20">
        <v>12.538598233080762</v>
      </c>
      <c r="Z20">
        <v>-15.306652901755115</v>
      </c>
      <c r="AA20">
        <v>7.5685228587348092</v>
      </c>
      <c r="AB20">
        <v>94.822286375076089</v>
      </c>
      <c r="AC20">
        <v>15.870076084755325</v>
      </c>
      <c r="AD20">
        <v>13.012946290338711</v>
      </c>
      <c r="AE20">
        <v>34.893067074139303</v>
      </c>
      <c r="AF20">
        <v>78.986251912063324</v>
      </c>
      <c r="AG20">
        <v>672.49993842238837</v>
      </c>
      <c r="AH20">
        <v>12.442810296589595</v>
      </c>
      <c r="AI20">
        <v>46.862682803793049</v>
      </c>
      <c r="AJ20">
        <v>13.54697895236384</v>
      </c>
      <c r="AK20">
        <v>70.675769192431289</v>
      </c>
      <c r="AL20">
        <v>95.472223237345261</v>
      </c>
      <c r="AM20">
        <v>19.750303421022213</v>
      </c>
      <c r="AN20">
        <v>-1.1473107436089798</v>
      </c>
      <c r="AO20">
        <v>136.35870883325219</v>
      </c>
      <c r="AP20">
        <v>26.919574210004157</v>
      </c>
      <c r="AQ20">
        <v>4.4423112732202368</v>
      </c>
      <c r="AR20">
        <v>86.245407605503999</v>
      </c>
      <c r="AS20">
        <v>271.46107782531124</v>
      </c>
      <c r="AT20">
        <v>-23.009085619612833</v>
      </c>
      <c r="AU20">
        <v>-68.53774863082964</v>
      </c>
      <c r="AV20">
        <v>83.364148473088335</v>
      </c>
      <c r="AW20">
        <v>577.25502048932822</v>
      </c>
      <c r="AX20">
        <v>758.56075423437733</v>
      </c>
      <c r="AY20">
        <v>7.7228787073192855</v>
      </c>
      <c r="AZ20">
        <v>12.431624140880411</v>
      </c>
      <c r="BA20">
        <v>1193.2138713869608</v>
      </c>
      <c r="BB20">
        <v>3.0674153110354396</v>
      </c>
      <c r="BC20">
        <v>48.084062043453329</v>
      </c>
      <c r="BD20">
        <v>228.81848736811747</v>
      </c>
      <c r="BE20">
        <v>13.659381969224881</v>
      </c>
      <c r="BF20">
        <v>-52.326115156646765</v>
      </c>
      <c r="BG20">
        <v>101.16876292785662</v>
      </c>
      <c r="BH20">
        <v>12.781162995834791</v>
      </c>
      <c r="BI20">
        <v>383.3270592590552</v>
      </c>
      <c r="BJ20">
        <v>37.994132892472294</v>
      </c>
      <c r="BK20">
        <v>33.392557485720744</v>
      </c>
      <c r="BL20">
        <v>-4.7667233805870524</v>
      </c>
      <c r="BM20">
        <v>34.532242800672265</v>
      </c>
      <c r="BN20">
        <v>6.8035614172504424</v>
      </c>
      <c r="BO20">
        <v>-4.057701672892037</v>
      </c>
      <c r="BP20">
        <v>80.412922677074675</v>
      </c>
      <c r="BQ20">
        <v>-14.541031635381373</v>
      </c>
      <c r="BR20">
        <v>852.79899254453903</v>
      </c>
      <c r="BS20">
        <v>57.694984800216218</v>
      </c>
      <c r="BT20">
        <v>3.2483869183977276E-2</v>
      </c>
      <c r="BU20">
        <v>-25.250245548700832</v>
      </c>
      <c r="BV20">
        <v>-3.7620208566241047</v>
      </c>
      <c r="BW20">
        <v>37.335295343770099</v>
      </c>
      <c r="BX20">
        <v>26.914284431817507</v>
      </c>
      <c r="BY20">
        <v>-4.3949931836459655</v>
      </c>
      <c r="BZ20">
        <v>218.93147255865256</v>
      </c>
      <c r="CA20">
        <v>-1.5916532075575276</v>
      </c>
      <c r="CB20">
        <v>13.079001854303883</v>
      </c>
      <c r="CC20">
        <v>128.1385396077373</v>
      </c>
      <c r="CD20">
        <v>55.279462742471196</v>
      </c>
      <c r="CE20">
        <v>74.12156995274708</v>
      </c>
      <c r="CF20">
        <v>137.29050679250645</v>
      </c>
      <c r="CG20">
        <v>1711.4857675525436</v>
      </c>
      <c r="CH20">
        <v>-113.81717085302535</v>
      </c>
      <c r="CI20">
        <v>-489.26668379794955</v>
      </c>
      <c r="CJ20">
        <v>-139.72889773048377</v>
      </c>
      <c r="CK20">
        <v>-126.77046048181342</v>
      </c>
      <c r="CL20">
        <v>-188.41098638691784</v>
      </c>
      <c r="CM20">
        <v>-6.8614022501043337</v>
      </c>
      <c r="CN20">
        <v>198.39730069023744</v>
      </c>
      <c r="CO20">
        <v>-31.505047292909921</v>
      </c>
      <c r="CP20">
        <v>10.31392532936556</v>
      </c>
      <c r="CQ20">
        <v>-120.75314629815601</v>
      </c>
      <c r="CR20">
        <v>102.90195649573656</v>
      </c>
      <c r="CS20">
        <v>341.97006752074503</v>
      </c>
      <c r="CT20">
        <v>176.39398625753529</v>
      </c>
      <c r="CU20">
        <v>23.331686749911981</v>
      </c>
      <c r="CV20">
        <v>2508.7423975488509</v>
      </c>
      <c r="CW20">
        <v>-23.82983594493129</v>
      </c>
      <c r="CX20">
        <v>10.328412003969746</v>
      </c>
      <c r="CY20">
        <v>105.61741504690372</v>
      </c>
      <c r="CZ20">
        <v>-68.566687695225355</v>
      </c>
      <c r="DA20">
        <v>163.19800742813214</v>
      </c>
      <c r="DB20">
        <v>166.25717257556835</v>
      </c>
      <c r="DC20">
        <v>47.832014388868629</v>
      </c>
      <c r="DD20">
        <v>60.323481365572661</v>
      </c>
      <c r="DE20">
        <v>23.525295392350216</v>
      </c>
      <c r="DF20">
        <v>454.78645954693093</v>
      </c>
      <c r="DG20">
        <v>187.83116986536538</v>
      </c>
      <c r="DH20">
        <v>188.95169841382608</v>
      </c>
      <c r="DI20">
        <v>53.473939678112927</v>
      </c>
      <c r="DJ20">
        <v>258.63153199282874</v>
      </c>
      <c r="DK20">
        <v>226.2369186786143</v>
      </c>
      <c r="DL20">
        <v>104.028120941368</v>
      </c>
      <c r="DM20">
        <v>276.18971089957506</v>
      </c>
      <c r="DN20">
        <v>234.79253776540941</v>
      </c>
      <c r="DO20">
        <v>52.781814148184736</v>
      </c>
      <c r="DP20">
        <v>13.956767548184359</v>
      </c>
      <c r="DQ20">
        <v>650.25694344328394</v>
      </c>
      <c r="DR20">
        <v>50.646643484398794</v>
      </c>
      <c r="DS20">
        <v>135.62807706626904</v>
      </c>
      <c r="DT20">
        <v>2.0759923062686809</v>
      </c>
      <c r="DU20">
        <v>85.65629969184431</v>
      </c>
      <c r="DV20">
        <v>-5.052031743005557</v>
      </c>
      <c r="DW20">
        <v>-1.7985608566285123</v>
      </c>
      <c r="DX20">
        <v>82.055581442396203</v>
      </c>
      <c r="DY20">
        <v>21.004996610651489</v>
      </c>
      <c r="DZ20">
        <v>-61.588102947458395</v>
      </c>
      <c r="EA20">
        <v>63.408912961434339</v>
      </c>
      <c r="EB20">
        <v>35.559536005210617</v>
      </c>
      <c r="EC20">
        <v>-1.9788856089255731</v>
      </c>
      <c r="ED20">
        <v>-4.3273077385705534</v>
      </c>
      <c r="EE20">
        <v>115.13082034536546</v>
      </c>
      <c r="EF20">
        <v>-12.44117892227942</v>
      </c>
      <c r="EG20">
        <v>18.596934690954185</v>
      </c>
      <c r="EH20">
        <v>133.41934388424238</v>
      </c>
      <c r="EI20">
        <v>15295.070664551966</v>
      </c>
    </row>
    <row r="21" spans="1:139" x14ac:dyDescent="0.25">
      <c r="A21">
        <v>19</v>
      </c>
      <c r="B21">
        <v>-29.124944411214756</v>
      </c>
      <c r="C21">
        <v>8.9454439082027761</v>
      </c>
      <c r="D21">
        <v>-3.2456547713452046</v>
      </c>
      <c r="E21">
        <v>-1.8768658343192612</v>
      </c>
      <c r="F21">
        <v>0.95617309760641112</v>
      </c>
      <c r="G21">
        <v>1.7827711756735418</v>
      </c>
      <c r="H21">
        <v>198.34705843843778</v>
      </c>
      <c r="I21">
        <v>0.54823528914505193</v>
      </c>
      <c r="J21">
        <v>15.520861975324728</v>
      </c>
      <c r="K21">
        <v>1.1251460826991817</v>
      </c>
      <c r="L21">
        <v>19.339354505744993</v>
      </c>
      <c r="M21">
        <v>4.982910517078821</v>
      </c>
      <c r="N21">
        <v>106.5933267325463</v>
      </c>
      <c r="O21">
        <v>47.502733602711317</v>
      </c>
      <c r="P21">
        <v>107.40747907637876</v>
      </c>
      <c r="Q21">
        <v>68.233470128653096</v>
      </c>
      <c r="R21">
        <v>4.5303751219768573</v>
      </c>
      <c r="S21">
        <v>35.713834217326195</v>
      </c>
      <c r="T21">
        <v>-2.2645267227509578</v>
      </c>
      <c r="U21">
        <v>16.295566160281624</v>
      </c>
      <c r="V21">
        <v>185.50070831779135</v>
      </c>
      <c r="W21">
        <v>49.454655036700785</v>
      </c>
      <c r="X21">
        <v>18.051127376368598</v>
      </c>
      <c r="Y21">
        <v>13.144662385712031</v>
      </c>
      <c r="Z21">
        <v>-13.72893258609065</v>
      </c>
      <c r="AA21">
        <v>7.0864343072494194</v>
      </c>
      <c r="AB21">
        <v>95.557677464827975</v>
      </c>
      <c r="AC21">
        <v>16.69074469563224</v>
      </c>
      <c r="AD21">
        <v>13.144386110342921</v>
      </c>
      <c r="AE21">
        <v>35.305486964978186</v>
      </c>
      <c r="AF21">
        <v>76.755380282429385</v>
      </c>
      <c r="AG21">
        <v>641.32693105460476</v>
      </c>
      <c r="AH21">
        <v>12.156179508100891</v>
      </c>
      <c r="AI21">
        <v>43.558600894030356</v>
      </c>
      <c r="AJ21">
        <v>13.099893989668139</v>
      </c>
      <c r="AK21">
        <v>70.017995546074815</v>
      </c>
      <c r="AL21">
        <v>92.104532929990171</v>
      </c>
      <c r="AM21">
        <v>19.249304812766034</v>
      </c>
      <c r="AN21">
        <v>-1.1145436905497412</v>
      </c>
      <c r="AO21">
        <v>119.80046742491106</v>
      </c>
      <c r="AP21">
        <v>26.535205734550694</v>
      </c>
      <c r="AQ21">
        <v>4.3213901000410795</v>
      </c>
      <c r="AR21">
        <v>85.132673619994577</v>
      </c>
      <c r="AS21">
        <v>251.55661377680372</v>
      </c>
      <c r="AT21">
        <v>-25.166499005510886</v>
      </c>
      <c r="AU21">
        <v>-65.660826197410159</v>
      </c>
      <c r="AV21">
        <v>77.338975528467643</v>
      </c>
      <c r="AW21">
        <v>518.86091737982645</v>
      </c>
      <c r="AX21">
        <v>720.19393171534239</v>
      </c>
      <c r="AY21">
        <v>7.861650259006228</v>
      </c>
      <c r="AZ21">
        <v>12.597503530065589</v>
      </c>
      <c r="BA21">
        <v>1082.6388980600116</v>
      </c>
      <c r="BB21">
        <v>2.3391486045776162</v>
      </c>
      <c r="BC21">
        <v>45.328673207694365</v>
      </c>
      <c r="BD21">
        <v>218.75775930531023</v>
      </c>
      <c r="BE21">
        <v>18.607428355358365</v>
      </c>
      <c r="BF21">
        <v>-38.149060629190288</v>
      </c>
      <c r="BG21">
        <v>98.70632474852647</v>
      </c>
      <c r="BH21">
        <v>13.108290534828839</v>
      </c>
      <c r="BI21">
        <v>361.57840841762209</v>
      </c>
      <c r="BJ21">
        <v>38.114935633438279</v>
      </c>
      <c r="BK21">
        <v>40.996395311254986</v>
      </c>
      <c r="BL21">
        <v>3.8729556135581049</v>
      </c>
      <c r="BM21">
        <v>36.050124784726961</v>
      </c>
      <c r="BN21">
        <v>6.6004872521295326</v>
      </c>
      <c r="BO21">
        <v>-2.5401834500274134</v>
      </c>
      <c r="BP21">
        <v>135.82829594772375</v>
      </c>
      <c r="BQ21">
        <v>-12.393374292253839</v>
      </c>
      <c r="BR21">
        <v>810.01723980132101</v>
      </c>
      <c r="BS21">
        <v>53.016640590059581</v>
      </c>
      <c r="BT21">
        <v>12.505466971741612</v>
      </c>
      <c r="BU21">
        <v>24.058889819839351</v>
      </c>
      <c r="BV21">
        <v>-1.3914157173016122</v>
      </c>
      <c r="BW21">
        <v>50.976631688126986</v>
      </c>
      <c r="BX21">
        <v>29.68950932193853</v>
      </c>
      <c r="BY21">
        <v>12.074923933983882</v>
      </c>
      <c r="BZ21">
        <v>203.25917301210234</v>
      </c>
      <c r="CA21">
        <v>2.4102978284900018</v>
      </c>
      <c r="CB21">
        <v>13.761690844438903</v>
      </c>
      <c r="CC21">
        <v>132.80050942236647</v>
      </c>
      <c r="CD21">
        <v>53.246022533719042</v>
      </c>
      <c r="CE21">
        <v>70.619409776613537</v>
      </c>
      <c r="CF21">
        <v>130.44401499024718</v>
      </c>
      <c r="CG21">
        <v>1645.3557509512402</v>
      </c>
      <c r="CH21">
        <v>-59.048797054477518</v>
      </c>
      <c r="CI21">
        <v>-351.85821761841407</v>
      </c>
      <c r="CJ21">
        <v>-97.516367702836078</v>
      </c>
      <c r="CK21">
        <v>-91.950116994293808</v>
      </c>
      <c r="CL21">
        <v>-151.40359670634138</v>
      </c>
      <c r="CM21">
        <v>17.946903300686813</v>
      </c>
      <c r="CN21">
        <v>225.3220925846399</v>
      </c>
      <c r="CO21">
        <v>-15.817040820215709</v>
      </c>
      <c r="CP21">
        <v>16.153455179388118</v>
      </c>
      <c r="CQ21">
        <v>-104.17990658472588</v>
      </c>
      <c r="CR21">
        <v>99.139182971691184</v>
      </c>
      <c r="CS21">
        <v>330.16428925830178</v>
      </c>
      <c r="CT21">
        <v>158.17992487980155</v>
      </c>
      <c r="CU21">
        <v>21.589405001123438</v>
      </c>
      <c r="CV21">
        <v>2363.7164968901379</v>
      </c>
      <c r="CW21">
        <v>1.4617739142347546</v>
      </c>
      <c r="CX21">
        <v>12.886575800782865</v>
      </c>
      <c r="CY21">
        <v>120.91771746337645</v>
      </c>
      <c r="CZ21">
        <v>-55.694449820038344</v>
      </c>
      <c r="DA21">
        <v>162.40829743427446</v>
      </c>
      <c r="DB21">
        <v>171.29357430737548</v>
      </c>
      <c r="DC21">
        <v>49.421510497243531</v>
      </c>
      <c r="DD21">
        <v>59.467787180149202</v>
      </c>
      <c r="DE21">
        <v>24.736965130490589</v>
      </c>
      <c r="DF21">
        <v>448.0223879027958</v>
      </c>
      <c r="DG21">
        <v>174.78936982551863</v>
      </c>
      <c r="DH21">
        <v>187.02650886816855</v>
      </c>
      <c r="DI21">
        <v>46.071990898109334</v>
      </c>
      <c r="DJ21">
        <v>255.78462950699259</v>
      </c>
      <c r="DK21">
        <v>220.84877388369091</v>
      </c>
      <c r="DL21">
        <v>106.35800140292258</v>
      </c>
      <c r="DM21">
        <v>272.7884597701468</v>
      </c>
      <c r="DN21">
        <v>212.00975998999479</v>
      </c>
      <c r="DO21">
        <v>52.672593806794509</v>
      </c>
      <c r="DP21">
        <v>38.819248738545809</v>
      </c>
      <c r="DQ21">
        <v>639.67700241653984</v>
      </c>
      <c r="DR21">
        <v>45.048493914945311</v>
      </c>
      <c r="DS21">
        <v>129.66362944608477</v>
      </c>
      <c r="DT21">
        <v>2.7101339637918613</v>
      </c>
      <c r="DU21">
        <v>87.409720945843901</v>
      </c>
      <c r="DV21">
        <v>1.4189431870983071</v>
      </c>
      <c r="DW21">
        <v>10.944581384768753</v>
      </c>
      <c r="DX21">
        <v>80.060566291425232</v>
      </c>
      <c r="DY21">
        <v>20.07531375495482</v>
      </c>
      <c r="DZ21">
        <v>-47.758283087132654</v>
      </c>
      <c r="EA21">
        <v>63.811997136745504</v>
      </c>
      <c r="EB21">
        <v>35.191809120309074</v>
      </c>
      <c r="EC21">
        <v>-1.0298036935966763</v>
      </c>
      <c r="ED21">
        <v>-2.4726081146719423</v>
      </c>
      <c r="EE21">
        <v>154.16263985534397</v>
      </c>
      <c r="EF21">
        <v>-1.8984464329667219</v>
      </c>
      <c r="EG21">
        <v>40.435189258065066</v>
      </c>
      <c r="EH21">
        <v>131.96609097559872</v>
      </c>
      <c r="EI21">
        <v>15326.282394140268</v>
      </c>
    </row>
    <row r="22" spans="1:139" x14ac:dyDescent="0.25">
      <c r="A22">
        <v>20</v>
      </c>
      <c r="B22">
        <v>-30.065535859498027</v>
      </c>
      <c r="C22">
        <v>11.631266082337902</v>
      </c>
      <c r="D22">
        <v>-2.3989789815180345</v>
      </c>
      <c r="E22">
        <v>-0.36749422037749468</v>
      </c>
      <c r="F22">
        <v>0.92919598741870746</v>
      </c>
      <c r="G22">
        <v>1.8193741961130434</v>
      </c>
      <c r="H22">
        <v>182.38434818851181</v>
      </c>
      <c r="I22">
        <v>0.51316994709701813</v>
      </c>
      <c r="J22">
        <v>15.763187153141381</v>
      </c>
      <c r="K22">
        <v>1.1115550031767865</v>
      </c>
      <c r="L22">
        <v>18.705833096263888</v>
      </c>
      <c r="M22">
        <v>4.975466154640749</v>
      </c>
      <c r="N22">
        <v>100.92546678761289</v>
      </c>
      <c r="O22">
        <v>45.297024771482569</v>
      </c>
      <c r="P22">
        <v>109.32887147254358</v>
      </c>
      <c r="Q22">
        <v>69.906743882937405</v>
      </c>
      <c r="R22">
        <v>4.5617680660331477</v>
      </c>
      <c r="S22">
        <v>34.933541036848993</v>
      </c>
      <c r="T22">
        <v>-2.2714161021632719</v>
      </c>
      <c r="U22">
        <v>16.95005265575108</v>
      </c>
      <c r="V22">
        <v>180.25769529084187</v>
      </c>
      <c r="W22">
        <v>46.679177276030401</v>
      </c>
      <c r="X22">
        <v>17.127909206619151</v>
      </c>
      <c r="Y22">
        <v>13.688786659226515</v>
      </c>
      <c r="Z22">
        <v>-13.393385392088419</v>
      </c>
      <c r="AA22">
        <v>7.0155397788813332</v>
      </c>
      <c r="AB22">
        <v>96.972038077634068</v>
      </c>
      <c r="AC22">
        <v>16.450628260766102</v>
      </c>
      <c r="AD22">
        <v>12.422625237660384</v>
      </c>
      <c r="AE22">
        <v>35.071068534848806</v>
      </c>
      <c r="AF22">
        <v>75.358956843895712</v>
      </c>
      <c r="AG22">
        <v>634.58650975660044</v>
      </c>
      <c r="AH22">
        <v>11.67686650979541</v>
      </c>
      <c r="AI22">
        <v>42.317373107794523</v>
      </c>
      <c r="AJ22">
        <v>12.778476983199702</v>
      </c>
      <c r="AK22">
        <v>68.813226237011236</v>
      </c>
      <c r="AL22">
        <v>89.05779338158095</v>
      </c>
      <c r="AM22">
        <v>18.833140703803991</v>
      </c>
      <c r="AN22">
        <v>-1.1651395871313355</v>
      </c>
      <c r="AO22">
        <v>113.08717304875529</v>
      </c>
      <c r="AP22">
        <v>26.017529408915607</v>
      </c>
      <c r="AQ22">
        <v>4.0839258414044028</v>
      </c>
      <c r="AR22">
        <v>84.046476219501599</v>
      </c>
      <c r="AS22">
        <v>241.47649545231258</v>
      </c>
      <c r="AT22">
        <v>-27.500117841993188</v>
      </c>
      <c r="AU22">
        <v>-67.902363927239094</v>
      </c>
      <c r="AV22">
        <v>72.946600181608346</v>
      </c>
      <c r="AW22">
        <v>489.58799057774911</v>
      </c>
      <c r="AX22">
        <v>696.28346789211855</v>
      </c>
      <c r="AY22">
        <v>8.0021762802731597</v>
      </c>
      <c r="AZ22">
        <v>11.982833424558276</v>
      </c>
      <c r="BA22">
        <v>1032.862276713955</v>
      </c>
      <c r="BB22">
        <v>1.6249180004053017</v>
      </c>
      <c r="BC22">
        <v>44.798079091271447</v>
      </c>
      <c r="BD22">
        <v>210.92516341233608</v>
      </c>
      <c r="BE22">
        <v>18.076099504127939</v>
      </c>
      <c r="BF22">
        <v>-29.334367092365653</v>
      </c>
      <c r="BG22">
        <v>95.324891266931502</v>
      </c>
      <c r="BH22">
        <v>12.302054864810984</v>
      </c>
      <c r="BI22">
        <v>335.392189724731</v>
      </c>
      <c r="BJ22">
        <v>36.287634715443403</v>
      </c>
      <c r="BK22">
        <v>43.741181068166071</v>
      </c>
      <c r="BL22">
        <v>8.8950160465578278</v>
      </c>
      <c r="BM22">
        <v>38.008559946891296</v>
      </c>
      <c r="BN22">
        <v>8.7619347613467085</v>
      </c>
      <c r="BO22">
        <v>-0.74215126609294657</v>
      </c>
      <c r="BP22">
        <v>167.65485207069173</v>
      </c>
      <c r="BQ22">
        <v>-10.5872875329392</v>
      </c>
      <c r="BR22">
        <v>751.73446354027146</v>
      </c>
      <c r="BS22">
        <v>49.522144983777935</v>
      </c>
      <c r="BT22">
        <v>19.668074187269042</v>
      </c>
      <c r="BU22">
        <v>34.185263220038905</v>
      </c>
      <c r="BV22">
        <v>2.7743687707419724</v>
      </c>
      <c r="BW22">
        <v>62.705766878322606</v>
      </c>
      <c r="BX22">
        <v>30.239009552962543</v>
      </c>
      <c r="BY22">
        <v>17.368440505455993</v>
      </c>
      <c r="BZ22">
        <v>189.01890567110399</v>
      </c>
      <c r="CA22">
        <v>6.1963596989564849</v>
      </c>
      <c r="CB22">
        <v>14.414528601476235</v>
      </c>
      <c r="CC22">
        <v>132.83578706517636</v>
      </c>
      <c r="CD22">
        <v>52.228906650690789</v>
      </c>
      <c r="CE22">
        <v>69.3228211406512</v>
      </c>
      <c r="CF22">
        <v>125.74032105196943</v>
      </c>
      <c r="CG22">
        <v>1625.4030923934652</v>
      </c>
      <c r="CH22">
        <v>-20.906064546265156</v>
      </c>
      <c r="CI22">
        <v>-238.82786070770794</v>
      </c>
      <c r="CJ22">
        <v>-68.410328146365885</v>
      </c>
      <c r="CK22">
        <v>-57.159407648069873</v>
      </c>
      <c r="CL22">
        <v>-104.62161765704263</v>
      </c>
      <c r="CM22">
        <v>36.163493966214446</v>
      </c>
      <c r="CN22">
        <v>230.41122571592905</v>
      </c>
      <c r="CO22">
        <v>-3.8648230679476683</v>
      </c>
      <c r="CP22">
        <v>19.395221843061222</v>
      </c>
      <c r="CQ22">
        <v>-84.561169361896418</v>
      </c>
      <c r="CR22">
        <v>96.75540017022405</v>
      </c>
      <c r="CS22">
        <v>308.00405233683659</v>
      </c>
      <c r="CT22">
        <v>143.4013526934616</v>
      </c>
      <c r="CU22">
        <v>21.408094010569499</v>
      </c>
      <c r="CV22">
        <v>2189.0124693856815</v>
      </c>
      <c r="CW22">
        <v>10.19500583422672</v>
      </c>
      <c r="CX22">
        <v>14.208274798148025</v>
      </c>
      <c r="CY22">
        <v>125.91584201342357</v>
      </c>
      <c r="CZ22">
        <v>-40.901491229206243</v>
      </c>
      <c r="DA22">
        <v>159.76104028346856</v>
      </c>
      <c r="DB22">
        <v>169.24105987679047</v>
      </c>
      <c r="DC22">
        <v>49.141088022370042</v>
      </c>
      <c r="DD22">
        <v>56.575287398746568</v>
      </c>
      <c r="DE22">
        <v>25.538821548873827</v>
      </c>
      <c r="DF22">
        <v>421.42222839682245</v>
      </c>
      <c r="DG22">
        <v>163.14116842633132</v>
      </c>
      <c r="DH22">
        <v>173.66784790119164</v>
      </c>
      <c r="DI22">
        <v>41.06871300274706</v>
      </c>
      <c r="DJ22">
        <v>237.83802313190131</v>
      </c>
      <c r="DK22">
        <v>210.75401816896033</v>
      </c>
      <c r="DL22">
        <v>103.39072675802254</v>
      </c>
      <c r="DM22">
        <v>257.50085675174591</v>
      </c>
      <c r="DN22">
        <v>199.97702045709161</v>
      </c>
      <c r="DO22">
        <v>50.548463499890914</v>
      </c>
      <c r="DP22">
        <v>39.900832485606827</v>
      </c>
      <c r="DQ22">
        <v>605.03141306320549</v>
      </c>
      <c r="DR22">
        <v>38.099015517161376</v>
      </c>
      <c r="DS22">
        <v>123.43151757388989</v>
      </c>
      <c r="DT22">
        <v>2.9934664020136594</v>
      </c>
      <c r="DU22">
        <v>88.010343774346666</v>
      </c>
      <c r="DV22">
        <v>2.7507423089316489</v>
      </c>
      <c r="DW22">
        <v>16.520536689847916</v>
      </c>
      <c r="DX22">
        <v>75.215479944757931</v>
      </c>
      <c r="DY22">
        <v>18.923602546059442</v>
      </c>
      <c r="DZ22">
        <v>-36.309478794840473</v>
      </c>
      <c r="EA22">
        <v>65.250307096221263</v>
      </c>
      <c r="EB22">
        <v>33.406891253946384</v>
      </c>
      <c r="EC22">
        <v>-0.5048083702496271</v>
      </c>
      <c r="ED22">
        <v>-1.6311368826370369</v>
      </c>
      <c r="EE22">
        <v>173.7780789027579</v>
      </c>
      <c r="EF22">
        <v>2.1241333537085438</v>
      </c>
      <c r="EG22">
        <v>51.539127802258008</v>
      </c>
      <c r="EH22">
        <v>132.36307226772124</v>
      </c>
      <c r="EI22">
        <v>15124.721382914822</v>
      </c>
    </row>
    <row r="23" spans="1:139" x14ac:dyDescent="0.25">
      <c r="A23">
        <v>21</v>
      </c>
      <c r="B23">
        <v>-32.584258429610372</v>
      </c>
      <c r="C23">
        <v>9.7348598700297089</v>
      </c>
      <c r="D23">
        <v>-1.8355320872788603</v>
      </c>
      <c r="E23">
        <v>-0.9505292394993603</v>
      </c>
      <c r="F23">
        <v>0.94059779355622775</v>
      </c>
      <c r="G23">
        <v>1.8144100624321138</v>
      </c>
      <c r="H23">
        <v>159.33619250296158</v>
      </c>
      <c r="I23">
        <v>0.49977051582515486</v>
      </c>
      <c r="J23">
        <v>14.692858956619247</v>
      </c>
      <c r="K23">
        <v>1.0217846607404093</v>
      </c>
      <c r="L23">
        <v>17.075102432415846</v>
      </c>
      <c r="M23">
        <v>4.6654538380714232</v>
      </c>
      <c r="N23">
        <v>86.707123958345278</v>
      </c>
      <c r="O23">
        <v>41.008081110526831</v>
      </c>
      <c r="P23">
        <v>106.9875018938894</v>
      </c>
      <c r="Q23">
        <v>64.997900180802958</v>
      </c>
      <c r="R23">
        <v>4.5386437613797277</v>
      </c>
      <c r="S23">
        <v>31.957779766666533</v>
      </c>
      <c r="T23">
        <v>-3.7097572025473937</v>
      </c>
      <c r="U23">
        <v>16.201843921848649</v>
      </c>
      <c r="V23">
        <v>170.6048148138309</v>
      </c>
      <c r="W23">
        <v>42.382598697420832</v>
      </c>
      <c r="X23">
        <v>16.100696412487231</v>
      </c>
      <c r="Y23">
        <v>11.28954813849068</v>
      </c>
      <c r="Z23">
        <v>-15.083702426468108</v>
      </c>
      <c r="AA23">
        <v>6.6308742979820323</v>
      </c>
      <c r="AB23">
        <v>94.366386507247739</v>
      </c>
      <c r="AC23">
        <v>16.061634125251246</v>
      </c>
      <c r="AD23">
        <v>11.503052185572081</v>
      </c>
      <c r="AE23">
        <v>34.560701255377069</v>
      </c>
      <c r="AF23">
        <v>72.300399427555107</v>
      </c>
      <c r="AG23">
        <v>604.93757883596277</v>
      </c>
      <c r="AH23">
        <v>11.05421256087773</v>
      </c>
      <c r="AI23">
        <v>42.27783668264987</v>
      </c>
      <c r="AJ23">
        <v>11.879868663514138</v>
      </c>
      <c r="AK23">
        <v>67.251193196658221</v>
      </c>
      <c r="AL23">
        <v>86.824173750004007</v>
      </c>
      <c r="AM23">
        <v>18.151491322368102</v>
      </c>
      <c r="AN23">
        <v>-1.221372760320218</v>
      </c>
      <c r="AO23">
        <v>101.06369115074182</v>
      </c>
      <c r="AP23">
        <v>24.814739238344274</v>
      </c>
      <c r="AQ23">
        <v>3.9213467443754375</v>
      </c>
      <c r="AR23">
        <v>81.343845744975752</v>
      </c>
      <c r="AS23">
        <v>228.88387089644925</v>
      </c>
      <c r="AT23">
        <v>-29.470108851580292</v>
      </c>
      <c r="AU23">
        <v>-76.610998930658752</v>
      </c>
      <c r="AV23">
        <v>67.070581926297848</v>
      </c>
      <c r="AW23">
        <v>464.39369132077707</v>
      </c>
      <c r="AX23">
        <v>650.5821847604866</v>
      </c>
      <c r="AY23">
        <v>8.0100064949368246</v>
      </c>
      <c r="AZ23">
        <v>12.20902858944577</v>
      </c>
      <c r="BA23">
        <v>977.01517313244506</v>
      </c>
      <c r="BB23">
        <v>1.0522083971743506</v>
      </c>
      <c r="BC23">
        <v>43.147512901726685</v>
      </c>
      <c r="BD23">
        <v>201.26217710500879</v>
      </c>
      <c r="BE23">
        <v>15.307780168456134</v>
      </c>
      <c r="BF23">
        <v>-27.186276420978686</v>
      </c>
      <c r="BG23">
        <v>87.528839654524461</v>
      </c>
      <c r="BH23">
        <v>10.751486459278681</v>
      </c>
      <c r="BI23">
        <v>296.29755214087618</v>
      </c>
      <c r="BJ23">
        <v>32.1855613727638</v>
      </c>
      <c r="BK23">
        <v>39.554882932196278</v>
      </c>
      <c r="BL23">
        <v>9.3343980513431575</v>
      </c>
      <c r="BM23">
        <v>36.305518242444919</v>
      </c>
      <c r="BN23">
        <v>10.439349136722349</v>
      </c>
      <c r="BO23">
        <v>8.2929601653589202E-2</v>
      </c>
      <c r="BP23">
        <v>163.53779075328839</v>
      </c>
      <c r="BQ23">
        <v>-9.9043543361792103</v>
      </c>
      <c r="BR23">
        <v>656.55631344375342</v>
      </c>
      <c r="BS23">
        <v>40.16612767384737</v>
      </c>
      <c r="BT23">
        <v>18.660076047923781</v>
      </c>
      <c r="BU23">
        <v>16.072824798117949</v>
      </c>
      <c r="BV23">
        <v>4.0697326029431906</v>
      </c>
      <c r="BW23">
        <v>69.506701568336894</v>
      </c>
      <c r="BX23">
        <v>30.30186588831711</v>
      </c>
      <c r="BY23">
        <v>17.947406317875505</v>
      </c>
      <c r="BZ23">
        <v>165.1834257099456</v>
      </c>
      <c r="CA23">
        <v>6.9703618897965782</v>
      </c>
      <c r="CB23">
        <v>13.748755895791305</v>
      </c>
      <c r="CC23">
        <v>129.19474518960249</v>
      </c>
      <c r="CD23">
        <v>48.889975665362698</v>
      </c>
      <c r="CE23">
        <v>64.955668840214031</v>
      </c>
      <c r="CF23">
        <v>115.33959426667479</v>
      </c>
      <c r="CG23">
        <v>1524.2204319026505</v>
      </c>
      <c r="CH23">
        <v>-25.159614385250507</v>
      </c>
      <c r="CI23">
        <v>-194.51317314133462</v>
      </c>
      <c r="CJ23">
        <v>-71.515786318436199</v>
      </c>
      <c r="CK23">
        <v>-57.905506097286093</v>
      </c>
      <c r="CL23">
        <v>-76.660588197735251</v>
      </c>
      <c r="CM23">
        <v>32.236827295209309</v>
      </c>
      <c r="CN23">
        <v>191.0315033758302</v>
      </c>
      <c r="CO23">
        <v>-6.4040204949980648</v>
      </c>
      <c r="CP23">
        <v>19.192718665024302</v>
      </c>
      <c r="CQ23">
        <v>-77.368184605432333</v>
      </c>
      <c r="CR23">
        <v>90.691174232994854</v>
      </c>
      <c r="CS23">
        <v>267.08143035006651</v>
      </c>
      <c r="CT23">
        <v>116.16936394862478</v>
      </c>
      <c r="CU23">
        <v>19.428097127036082</v>
      </c>
      <c r="CV23">
        <v>1884.8007762103953</v>
      </c>
      <c r="CW23">
        <v>8.621314537433534</v>
      </c>
      <c r="CX23">
        <v>14.618609321005053</v>
      </c>
      <c r="CY23">
        <v>110.43323790436625</v>
      </c>
      <c r="CZ23">
        <v>-32.271319611688668</v>
      </c>
      <c r="DA23">
        <v>152.79778168526747</v>
      </c>
      <c r="DB23">
        <v>160.15864228480052</v>
      </c>
      <c r="DC23">
        <v>46.481620889976398</v>
      </c>
      <c r="DD23">
        <v>52.044722963940558</v>
      </c>
      <c r="DE23">
        <v>24.298249824646732</v>
      </c>
      <c r="DF23">
        <v>369.33168040373403</v>
      </c>
      <c r="DG23">
        <v>141.11423399657633</v>
      </c>
      <c r="DH23">
        <v>147.06901592983922</v>
      </c>
      <c r="DI23">
        <v>30.872896684509215</v>
      </c>
      <c r="DJ23">
        <v>204.87102458039726</v>
      </c>
      <c r="DK23">
        <v>194.70161878849103</v>
      </c>
      <c r="DL23">
        <v>92.806757812288765</v>
      </c>
      <c r="DM23">
        <v>238.26760934555682</v>
      </c>
      <c r="DN23">
        <v>158.29605429439835</v>
      </c>
      <c r="DO23">
        <v>46.008461449436652</v>
      </c>
      <c r="DP23">
        <v>30.640262766043293</v>
      </c>
      <c r="DQ23">
        <v>549.80593987817338</v>
      </c>
      <c r="DR23">
        <v>30.764772080158764</v>
      </c>
      <c r="DS23">
        <v>113.04063424857679</v>
      </c>
      <c r="DT23">
        <v>2.7472292661119297</v>
      </c>
      <c r="DU23">
        <v>80.232100114920058</v>
      </c>
      <c r="DV23">
        <v>-2.7274005565516291E-2</v>
      </c>
      <c r="DW23">
        <v>15.845768511453883</v>
      </c>
      <c r="DX23">
        <v>67.555087052669137</v>
      </c>
      <c r="DY23">
        <v>17.358389775650437</v>
      </c>
      <c r="DZ23">
        <v>-33.036000365953456</v>
      </c>
      <c r="EA23">
        <v>56.308304192873265</v>
      </c>
      <c r="EB23">
        <v>27.49366133650642</v>
      </c>
      <c r="EC23">
        <v>-0.52217700818424362</v>
      </c>
      <c r="ED23">
        <v>-1.7656485869653977</v>
      </c>
      <c r="EE23">
        <v>155.85316002309173</v>
      </c>
      <c r="EF23">
        <v>2.4913368312229522</v>
      </c>
      <c r="EG23">
        <v>44.057331456573593</v>
      </c>
      <c r="EH23">
        <v>111.61979514587119</v>
      </c>
      <c r="EI23">
        <v>13711.770133795038</v>
      </c>
    </row>
    <row r="24" spans="1:139" x14ac:dyDescent="0.25">
      <c r="A24">
        <v>22</v>
      </c>
      <c r="B24">
        <v>-35.035844437615651</v>
      </c>
      <c r="C24">
        <v>9.0358247722588771</v>
      </c>
      <c r="D24">
        <v>-1.4928623721610244</v>
      </c>
      <c r="E24">
        <v>-0.51488138758222135</v>
      </c>
      <c r="F24">
        <v>0.97503783576647285</v>
      </c>
      <c r="G24">
        <v>1.8137039056450543</v>
      </c>
      <c r="H24">
        <v>144.06679223516835</v>
      </c>
      <c r="I24">
        <v>0.48451127928632864</v>
      </c>
      <c r="J24">
        <v>14.76106070519225</v>
      </c>
      <c r="K24">
        <v>0.98522377976395692</v>
      </c>
      <c r="L24">
        <v>16.847556204556668</v>
      </c>
      <c r="M24">
        <v>4.4429544948229864</v>
      </c>
      <c r="N24">
        <v>78.445326762019249</v>
      </c>
      <c r="O24">
        <v>38.544429910282631</v>
      </c>
      <c r="P24">
        <v>104.47070555131667</v>
      </c>
      <c r="Q24">
        <v>63.718163662686493</v>
      </c>
      <c r="R24">
        <v>4.5142690084920734</v>
      </c>
      <c r="S24">
        <v>30.879625293948948</v>
      </c>
      <c r="T24">
        <v>-4.6369447200756895</v>
      </c>
      <c r="U24">
        <v>15.180891530526054</v>
      </c>
      <c r="V24">
        <v>164.25383538994538</v>
      </c>
      <c r="W24">
        <v>39.973583384820159</v>
      </c>
      <c r="X24">
        <v>15.223475337112575</v>
      </c>
      <c r="Y24">
        <v>10.111490801791533</v>
      </c>
      <c r="Z24">
        <v>-15.959485570637881</v>
      </c>
      <c r="AA24">
        <v>6.2323101542916532</v>
      </c>
      <c r="AB24">
        <v>93.029747697048037</v>
      </c>
      <c r="AC24">
        <v>15.388430127630627</v>
      </c>
      <c r="AD24">
        <v>10.632210035822432</v>
      </c>
      <c r="AE24">
        <v>35.118904530884507</v>
      </c>
      <c r="AF24">
        <v>69.728035731494174</v>
      </c>
      <c r="AG24">
        <v>581.49889872268341</v>
      </c>
      <c r="AH24">
        <v>10.747314927549567</v>
      </c>
      <c r="AI24">
        <v>45.388827954718259</v>
      </c>
      <c r="AJ24">
        <v>11.322937376622008</v>
      </c>
      <c r="AK24">
        <v>65.32488920217645</v>
      </c>
      <c r="AL24">
        <v>86.794829110106065</v>
      </c>
      <c r="AM24">
        <v>17.673178734974645</v>
      </c>
      <c r="AN24">
        <v>-1.2280011560825912</v>
      </c>
      <c r="AO24">
        <v>95.491910133384522</v>
      </c>
      <c r="AP24">
        <v>24.17607843998303</v>
      </c>
      <c r="AQ24">
        <v>3.7490822134768198</v>
      </c>
      <c r="AR24">
        <v>80.085505950014692</v>
      </c>
      <c r="AS24">
        <v>226.99754296792764</v>
      </c>
      <c r="AT24">
        <v>-30.891338476571704</v>
      </c>
      <c r="AU24">
        <v>-82.103340489792231</v>
      </c>
      <c r="AV24">
        <v>62.83933622121333</v>
      </c>
      <c r="AW24">
        <v>450.26691511776312</v>
      </c>
      <c r="AX24">
        <v>612.85792158396953</v>
      </c>
      <c r="AY24">
        <v>8.0812178921215576</v>
      </c>
      <c r="AZ24">
        <v>12.058482225519811</v>
      </c>
      <c r="BA24">
        <v>931.60615552364698</v>
      </c>
      <c r="BB24">
        <v>0.52421459077217847</v>
      </c>
      <c r="BC24">
        <v>41.722610855233896</v>
      </c>
      <c r="BD24">
        <v>192.28586201403522</v>
      </c>
      <c r="BE24">
        <v>14.62490218644399</v>
      </c>
      <c r="BF24">
        <v>-29.372845221946065</v>
      </c>
      <c r="BG24">
        <v>81.905902057796595</v>
      </c>
      <c r="BH24">
        <v>9.4253855095045367</v>
      </c>
      <c r="BI24">
        <v>270.87999607159782</v>
      </c>
      <c r="BJ24">
        <v>29.248163275292484</v>
      </c>
      <c r="BK24">
        <v>33.649015143287045</v>
      </c>
      <c r="BL24">
        <v>8.469537718547457</v>
      </c>
      <c r="BM24">
        <v>35.566896394274465</v>
      </c>
      <c r="BN24">
        <v>13.100983219618108</v>
      </c>
      <c r="BO24">
        <v>0.94612389620036197</v>
      </c>
      <c r="BP24">
        <v>153.14377153657711</v>
      </c>
      <c r="BQ24">
        <v>-8.4863034485306059</v>
      </c>
      <c r="BR24">
        <v>581.62735904840156</v>
      </c>
      <c r="BS24">
        <v>32.938060293592002</v>
      </c>
      <c r="BT24">
        <v>19.242807596801754</v>
      </c>
      <c r="BU24">
        <v>-1.6388626686361931</v>
      </c>
      <c r="BV24">
        <v>4.9112889072411861</v>
      </c>
      <c r="BW24">
        <v>71.159435297543268</v>
      </c>
      <c r="BX24">
        <v>27.790721232120376</v>
      </c>
      <c r="BY24">
        <v>10.429448813700105</v>
      </c>
      <c r="BZ24">
        <v>149.28081496288564</v>
      </c>
      <c r="CA24">
        <v>7.8051484561335087</v>
      </c>
      <c r="CB24">
        <v>13.897926351447879</v>
      </c>
      <c r="CC24">
        <v>121.97607471088162</v>
      </c>
      <c r="CD24">
        <v>46.605072294636557</v>
      </c>
      <c r="CE24">
        <v>63.213239612771559</v>
      </c>
      <c r="CF24">
        <v>106.24423537703069</v>
      </c>
      <c r="CG24">
        <v>1439.4043266920016</v>
      </c>
      <c r="CH24">
        <v>-31.625503688766571</v>
      </c>
      <c r="CI24">
        <v>-152.87164589407939</v>
      </c>
      <c r="CJ24">
        <v>-67.042921598672876</v>
      </c>
      <c r="CK24">
        <v>-47.63660412306001</v>
      </c>
      <c r="CL24">
        <v>-48.289748789336954</v>
      </c>
      <c r="CM24">
        <v>34.000590607752088</v>
      </c>
      <c r="CN24">
        <v>165.46689051211024</v>
      </c>
      <c r="CO24">
        <v>-9.1170954984711443</v>
      </c>
      <c r="CP24">
        <v>17.333219267584724</v>
      </c>
      <c r="CQ24">
        <v>-68.827082368538328</v>
      </c>
      <c r="CR24">
        <v>90.106677664939411</v>
      </c>
      <c r="CS24">
        <v>238.14665885945897</v>
      </c>
      <c r="CT24">
        <v>101.88565742707169</v>
      </c>
      <c r="CU24">
        <v>18.802415631811982</v>
      </c>
      <c r="CV24">
        <v>1659.3619265319394</v>
      </c>
      <c r="CW24">
        <v>6.5348559885833311</v>
      </c>
      <c r="CX24">
        <v>14.268809021720898</v>
      </c>
      <c r="CY24">
        <v>102.75416087928738</v>
      </c>
      <c r="CZ24">
        <v>-26.643104692583705</v>
      </c>
      <c r="DA24">
        <v>146.73954834798695</v>
      </c>
      <c r="DB24">
        <v>152.20772475269655</v>
      </c>
      <c r="DC24">
        <v>44.444861348740233</v>
      </c>
      <c r="DD24">
        <v>49.625868348540777</v>
      </c>
      <c r="DE24">
        <v>23.497943868515634</v>
      </c>
      <c r="DF24">
        <v>333.40831030105073</v>
      </c>
      <c r="DG24">
        <v>134.23964608275128</v>
      </c>
      <c r="DH24">
        <v>127.05772681999224</v>
      </c>
      <c r="DI24">
        <v>31.351351411354358</v>
      </c>
      <c r="DJ24">
        <v>186.17216084424831</v>
      </c>
      <c r="DK24">
        <v>183.88679515571766</v>
      </c>
      <c r="DL24">
        <v>87.168364153870698</v>
      </c>
      <c r="DM24">
        <v>223.66730062110787</v>
      </c>
      <c r="DN24">
        <v>145.44321987216267</v>
      </c>
      <c r="DO24">
        <v>43.476054634798032</v>
      </c>
      <c r="DP24">
        <v>13.117322530677143</v>
      </c>
      <c r="DQ24">
        <v>509.96305340601612</v>
      </c>
      <c r="DR24">
        <v>26.473552748032603</v>
      </c>
      <c r="DS24">
        <v>106.58048673287567</v>
      </c>
      <c r="DT24">
        <v>2.5829321946630941</v>
      </c>
      <c r="DU24">
        <v>76.359943708141145</v>
      </c>
      <c r="DV24">
        <v>-1.2070622388710035</v>
      </c>
      <c r="DW24">
        <v>15.379141144210053</v>
      </c>
      <c r="DX24">
        <v>68.226354953354871</v>
      </c>
      <c r="DY24">
        <v>17.474549722884177</v>
      </c>
      <c r="DZ24">
        <v>-30.322517623897738</v>
      </c>
      <c r="EA24">
        <v>52.797892748820914</v>
      </c>
      <c r="EB24">
        <v>26.422672188916522</v>
      </c>
      <c r="EC24">
        <v>-0.61461412679228999</v>
      </c>
      <c r="ED24">
        <v>-2.1415348472082343</v>
      </c>
      <c r="EE24">
        <v>147.82675688104337</v>
      </c>
      <c r="EF24">
        <v>2.434100471241436</v>
      </c>
      <c r="EG24">
        <v>38.95499943480138</v>
      </c>
      <c r="EH24">
        <v>99.456162090295265</v>
      </c>
      <c r="EI24">
        <v>12765.23696300866</v>
      </c>
    </row>
    <row r="25" spans="1:139" x14ac:dyDescent="0.25">
      <c r="A25">
        <v>23</v>
      </c>
      <c r="B25">
        <v>-40.066001262085479</v>
      </c>
      <c r="C25">
        <v>4.0614644174172554</v>
      </c>
      <c r="D25">
        <v>-1.6112445315717814</v>
      </c>
      <c r="E25">
        <v>-2.0923951373765703</v>
      </c>
      <c r="F25">
        <v>0.91177418009415556</v>
      </c>
      <c r="G25">
        <v>1.7771944187804971</v>
      </c>
      <c r="H25">
        <v>119.14303280553167</v>
      </c>
      <c r="I25">
        <v>0.42367635512293145</v>
      </c>
      <c r="J25">
        <v>13.929391816095659</v>
      </c>
      <c r="K25">
        <v>0.89522906105346589</v>
      </c>
      <c r="L25">
        <v>15.719567689121959</v>
      </c>
      <c r="M25">
        <v>4.0402820765184408</v>
      </c>
      <c r="N25">
        <v>63.494663477565382</v>
      </c>
      <c r="O25">
        <v>35.012250210933729</v>
      </c>
      <c r="P25">
        <v>98.970707343042093</v>
      </c>
      <c r="Q25">
        <v>55.287454321581492</v>
      </c>
      <c r="R25">
        <v>4.3439251550731282</v>
      </c>
      <c r="S25">
        <v>28.417486874230292</v>
      </c>
      <c r="T25">
        <v>-6.9977356738915546</v>
      </c>
      <c r="U25">
        <v>11.950051609347014</v>
      </c>
      <c r="V25">
        <v>152.93327359851435</v>
      </c>
      <c r="W25">
        <v>36.296117416313393</v>
      </c>
      <c r="X25">
        <v>14.162698817775464</v>
      </c>
      <c r="Y25">
        <v>7.7596506659906339</v>
      </c>
      <c r="Z25">
        <v>-17.64438224103796</v>
      </c>
      <c r="AA25">
        <v>5.7557788448107203</v>
      </c>
      <c r="AB25">
        <v>86.864880610340435</v>
      </c>
      <c r="AC25">
        <v>14.336909771188587</v>
      </c>
      <c r="AD25">
        <v>9.572640798174902</v>
      </c>
      <c r="AE25">
        <v>34.197624903420675</v>
      </c>
      <c r="AF25">
        <v>66.649357499597713</v>
      </c>
      <c r="AG25">
        <v>551.27976872794488</v>
      </c>
      <c r="AH25">
        <v>10.220637957193574</v>
      </c>
      <c r="AI25">
        <v>47.334840821564228</v>
      </c>
      <c r="AJ25">
        <v>10.626951302941556</v>
      </c>
      <c r="AK25">
        <v>62.81973180328734</v>
      </c>
      <c r="AL25">
        <v>84.802851510439666</v>
      </c>
      <c r="AM25">
        <v>16.964055121006972</v>
      </c>
      <c r="AN25">
        <v>-1.3283024700018231</v>
      </c>
      <c r="AO25">
        <v>86.894178422689151</v>
      </c>
      <c r="AP25">
        <v>23.051036255958977</v>
      </c>
      <c r="AQ25">
        <v>3.5773421283731137</v>
      </c>
      <c r="AR25">
        <v>76.760364998513722</v>
      </c>
      <c r="AS25">
        <v>219.62024803166565</v>
      </c>
      <c r="AT25">
        <v>-32.193285683536089</v>
      </c>
      <c r="AU25">
        <v>-85.802780208912679</v>
      </c>
      <c r="AV25">
        <v>57.665123808045507</v>
      </c>
      <c r="AW25">
        <v>443.66214348214135</v>
      </c>
      <c r="AX25">
        <v>562.72462014533357</v>
      </c>
      <c r="AY25">
        <v>8.009823794303415</v>
      </c>
      <c r="AZ25">
        <v>11.895914672426796</v>
      </c>
      <c r="BA25">
        <v>901.11039210434842</v>
      </c>
      <c r="BB25">
        <v>0.14609947836586912</v>
      </c>
      <c r="BC25">
        <v>40.199127427994455</v>
      </c>
      <c r="BD25">
        <v>182.38997245734697</v>
      </c>
      <c r="BE25">
        <v>9.5943186103176856</v>
      </c>
      <c r="BF25">
        <v>-34.178273365230154</v>
      </c>
      <c r="BG25">
        <v>73.158401275036908</v>
      </c>
      <c r="BH25">
        <v>7.386174565920939</v>
      </c>
      <c r="BI25">
        <v>227.09027270056868</v>
      </c>
      <c r="BJ25">
        <v>22.860368162345708</v>
      </c>
      <c r="BK25">
        <v>21.865339598638741</v>
      </c>
      <c r="BL25">
        <v>2.9632126462516339</v>
      </c>
      <c r="BM25">
        <v>30.139252488790589</v>
      </c>
      <c r="BN25">
        <v>14.250558727561838</v>
      </c>
      <c r="BO25">
        <v>-8.2661999589049628E-2</v>
      </c>
      <c r="BP25">
        <v>107.40702137776361</v>
      </c>
      <c r="BQ25">
        <v>-10.118198853133791</v>
      </c>
      <c r="BR25">
        <v>475.19958365527418</v>
      </c>
      <c r="BS25">
        <v>21.734037324257145</v>
      </c>
      <c r="BT25">
        <v>6.5155102173325758</v>
      </c>
      <c r="BU25">
        <v>-35.902868610509358</v>
      </c>
      <c r="BV25">
        <v>2.4209151019659885</v>
      </c>
      <c r="BW25">
        <v>59.828350344256933</v>
      </c>
      <c r="BX25">
        <v>24.123481988930124</v>
      </c>
      <c r="BY25">
        <v>-2.1125818752149144</v>
      </c>
      <c r="BZ25">
        <v>124.30105520791017</v>
      </c>
      <c r="CA25">
        <v>4.8839963684633574</v>
      </c>
      <c r="CB25">
        <v>12.412187190935157</v>
      </c>
      <c r="CC25">
        <v>109.4137689196001</v>
      </c>
      <c r="CD25">
        <v>42.184803569864698</v>
      </c>
      <c r="CE25">
        <v>58.968480483558665</v>
      </c>
      <c r="CF25">
        <v>94.418744069386662</v>
      </c>
      <c r="CG25">
        <v>1313.6073307176503</v>
      </c>
      <c r="CH25">
        <v>-77.613868959431329</v>
      </c>
      <c r="CI25">
        <v>-209.1761888702373</v>
      </c>
      <c r="CJ25">
        <v>-94.315748771377287</v>
      </c>
      <c r="CK25">
        <v>-74.17690913217325</v>
      </c>
      <c r="CL25">
        <v>-54.49652964014382</v>
      </c>
      <c r="CM25">
        <v>7.3177136139933054</v>
      </c>
      <c r="CN25">
        <v>97.209897334922061</v>
      </c>
      <c r="CO25">
        <v>-23.527605738544992</v>
      </c>
      <c r="CP25">
        <v>12.208355685888904</v>
      </c>
      <c r="CQ25">
        <v>-74.665942521249079</v>
      </c>
      <c r="CR25">
        <v>83.240492243564347</v>
      </c>
      <c r="CS25">
        <v>192.97304596613139</v>
      </c>
      <c r="CT25">
        <v>78.327096729432014</v>
      </c>
      <c r="CU25">
        <v>17.133889776498805</v>
      </c>
      <c r="CV25">
        <v>1338.2357450190684</v>
      </c>
      <c r="CW25">
        <v>-9.3042877148297407</v>
      </c>
      <c r="CX25">
        <v>12.462527236489677</v>
      </c>
      <c r="CY25">
        <v>73.674073401132091</v>
      </c>
      <c r="CZ25">
        <v>-29.378988135068411</v>
      </c>
      <c r="DA25">
        <v>138.26081804319625</v>
      </c>
      <c r="DB25">
        <v>137.41397401846586</v>
      </c>
      <c r="DC25">
        <v>40.26544627971748</v>
      </c>
      <c r="DD25">
        <v>46.090191517914676</v>
      </c>
      <c r="DE25">
        <v>21.302024276575693</v>
      </c>
      <c r="DF25">
        <v>272.80811290509291</v>
      </c>
      <c r="DG25">
        <v>118.72426184143694</v>
      </c>
      <c r="DH25">
        <v>100.26718600958998</v>
      </c>
      <c r="DI25">
        <v>27.315791566418483</v>
      </c>
      <c r="DJ25">
        <v>153.96190477698383</v>
      </c>
      <c r="DK25">
        <v>166.85636075560024</v>
      </c>
      <c r="DL25">
        <v>74.186895904601897</v>
      </c>
      <c r="DM25">
        <v>204.01169998835837</v>
      </c>
      <c r="DN25">
        <v>117.66938432930306</v>
      </c>
      <c r="DO25">
        <v>39.144055553487306</v>
      </c>
      <c r="DP25">
        <v>-5.6504014271087613</v>
      </c>
      <c r="DQ25">
        <v>446.88416732184305</v>
      </c>
      <c r="DR25">
        <v>23.481074696364232</v>
      </c>
      <c r="DS25">
        <v>99.488260617412379</v>
      </c>
      <c r="DT25">
        <v>1.7002255811486862</v>
      </c>
      <c r="DU25">
        <v>65.710945127000173</v>
      </c>
      <c r="DV25">
        <v>-7.4513274559225238</v>
      </c>
      <c r="DW25">
        <v>6.972272205863959</v>
      </c>
      <c r="DX25">
        <v>59.10854143078916</v>
      </c>
      <c r="DY25">
        <v>16.122787908628595</v>
      </c>
      <c r="DZ25">
        <v>-35.306645235018976</v>
      </c>
      <c r="EA25">
        <v>41.375556497155912</v>
      </c>
      <c r="EB25">
        <v>21.377655108206</v>
      </c>
      <c r="EC25">
        <v>-1.2851648283842749</v>
      </c>
      <c r="ED25">
        <v>-3.6809218542931887</v>
      </c>
      <c r="EE25">
        <v>106.25043956969739</v>
      </c>
      <c r="EF25">
        <v>-2.7064702437716051</v>
      </c>
      <c r="EG25">
        <v>17.962829407027357</v>
      </c>
      <c r="EH25">
        <v>71.752840720635277</v>
      </c>
      <c r="EI25">
        <v>10731.770303028097</v>
      </c>
    </row>
    <row r="26" spans="1:139" x14ac:dyDescent="0.25">
      <c r="A26">
        <v>24</v>
      </c>
      <c r="B26">
        <v>-44.317176648621285</v>
      </c>
      <c r="C26">
        <v>-6.2307132622720474E-2</v>
      </c>
      <c r="D26">
        <v>-1.9069469512450752</v>
      </c>
      <c r="E26">
        <v>-3.5001372948743779</v>
      </c>
      <c r="F26">
        <v>0.92866967358182106</v>
      </c>
      <c r="G26">
        <v>1.7526198056393691</v>
      </c>
      <c r="H26">
        <v>100.32245840105861</v>
      </c>
      <c r="I26">
        <v>0.40001789130704157</v>
      </c>
      <c r="J26">
        <v>13.418119513842782</v>
      </c>
      <c r="K26">
        <v>0.8382149614756873</v>
      </c>
      <c r="L26">
        <v>14.894793236341087</v>
      </c>
      <c r="M26">
        <v>3.6875887652616339</v>
      </c>
      <c r="N26">
        <v>50.817802335243982</v>
      </c>
      <c r="O26">
        <v>32.594952294627035</v>
      </c>
      <c r="P26">
        <v>94.154475299117237</v>
      </c>
      <c r="Q26">
        <v>46.740722971696698</v>
      </c>
      <c r="R26">
        <v>4.1897774158630261</v>
      </c>
      <c r="S26">
        <v>26.369041793030675</v>
      </c>
      <c r="T26">
        <v>-9.2131327784855443</v>
      </c>
      <c r="U26">
        <v>9.3590598835189382</v>
      </c>
      <c r="V26">
        <v>142.17324366795413</v>
      </c>
      <c r="W26">
        <v>33.381956333284194</v>
      </c>
      <c r="X26">
        <v>13.23816128206515</v>
      </c>
      <c r="Y26">
        <v>6.2156127081333636</v>
      </c>
      <c r="Z26">
        <v>-18.42911232330421</v>
      </c>
      <c r="AA26">
        <v>5.0877792197813889</v>
      </c>
      <c r="AB26">
        <v>80.644741212532608</v>
      </c>
      <c r="AC26">
        <v>13.456386704147249</v>
      </c>
      <c r="AD26">
        <v>8.9185478145166357</v>
      </c>
      <c r="AE26">
        <v>33.805869105544659</v>
      </c>
      <c r="AF26">
        <v>63.506865680004537</v>
      </c>
      <c r="AG26">
        <v>515.1094211719801</v>
      </c>
      <c r="AH26">
        <v>9.9295806981122396</v>
      </c>
      <c r="AI26">
        <v>49.538362104498439</v>
      </c>
      <c r="AJ26">
        <v>10.107037802424273</v>
      </c>
      <c r="AK26">
        <v>60.158020431008424</v>
      </c>
      <c r="AL26">
        <v>83.312390005368485</v>
      </c>
      <c r="AM26">
        <v>16.324968170757266</v>
      </c>
      <c r="AN26">
        <v>-1.3902531258641027</v>
      </c>
      <c r="AO26">
        <v>77.754378997681101</v>
      </c>
      <c r="AP26">
        <v>22.322317399239935</v>
      </c>
      <c r="AQ26">
        <v>3.4364490147236086</v>
      </c>
      <c r="AR26">
        <v>74.157410341471319</v>
      </c>
      <c r="AS26">
        <v>214.06905165289999</v>
      </c>
      <c r="AT26">
        <v>-33.084741862293342</v>
      </c>
      <c r="AU26">
        <v>-84.676135839385239</v>
      </c>
      <c r="AV26">
        <v>52.790170096365273</v>
      </c>
      <c r="AW26">
        <v>430.31561981356919</v>
      </c>
      <c r="AX26">
        <v>511.00813284652804</v>
      </c>
      <c r="AY26">
        <v>7.915687537207992</v>
      </c>
      <c r="AZ26">
        <v>11.766429673430046</v>
      </c>
      <c r="BA26">
        <v>850.01988092454428</v>
      </c>
      <c r="BB26">
        <v>-0.22490264172628827</v>
      </c>
      <c r="BC26">
        <v>38.00873472360577</v>
      </c>
      <c r="BD26">
        <v>171.6124449141073</v>
      </c>
      <c r="BE26">
        <v>7.9452122793904039</v>
      </c>
      <c r="BF26">
        <v>-38.921612066149237</v>
      </c>
      <c r="BG26">
        <v>66.280452320970426</v>
      </c>
      <c r="BH26">
        <v>5.9703588703333565</v>
      </c>
      <c r="BI26">
        <v>193.39914946228828</v>
      </c>
      <c r="BJ26">
        <v>17.830817208330302</v>
      </c>
      <c r="BK26">
        <v>11.292519762052279</v>
      </c>
      <c r="BL26">
        <v>-2.0875289153840413</v>
      </c>
      <c r="BM26">
        <v>24.770626527017214</v>
      </c>
      <c r="BN26">
        <v>14.365963299150415</v>
      </c>
      <c r="BO26">
        <v>-1.4528176417205856</v>
      </c>
      <c r="BP26">
        <v>66.235074905415104</v>
      </c>
      <c r="BQ26">
        <v>-11.763025991222662</v>
      </c>
      <c r="BR26">
        <v>386.06949980106037</v>
      </c>
      <c r="BS26">
        <v>11.17055296176278</v>
      </c>
      <c r="BT26">
        <v>-5.1420734583617786</v>
      </c>
      <c r="BU26">
        <v>-72.06454357927214</v>
      </c>
      <c r="BV26">
        <v>-1.7453577636728426</v>
      </c>
      <c r="BW26">
        <v>43.981129534838942</v>
      </c>
      <c r="BX26">
        <v>19.728431891847109</v>
      </c>
      <c r="BY26">
        <v>-14.63049520710544</v>
      </c>
      <c r="BZ26">
        <v>103.50440565588792</v>
      </c>
      <c r="CA26">
        <v>1.7433725668664977</v>
      </c>
      <c r="CB26">
        <v>11.325160649783271</v>
      </c>
      <c r="CC26">
        <v>95.951393829375036</v>
      </c>
      <c r="CD26">
        <v>37.86334066670787</v>
      </c>
      <c r="CE26">
        <v>55.455762882069877</v>
      </c>
      <c r="CF26">
        <v>82.689277581298825</v>
      </c>
      <c r="CG26">
        <v>1179.7844153207525</v>
      </c>
      <c r="CH26">
        <v>-118.07310213891958</v>
      </c>
      <c r="CI26">
        <v>-264.02584272006288</v>
      </c>
      <c r="CJ26">
        <v>-114.1827689239629</v>
      </c>
      <c r="CK26">
        <v>-95.733497166287066</v>
      </c>
      <c r="CL26">
        <v>-69.234718984183758</v>
      </c>
      <c r="CM26">
        <v>-15.266267644225422</v>
      </c>
      <c r="CN26">
        <v>44.021586439615021</v>
      </c>
      <c r="CO26">
        <v>-36.681038946249316</v>
      </c>
      <c r="CP26">
        <v>7.1001992766285866</v>
      </c>
      <c r="CQ26">
        <v>-82.184910365331731</v>
      </c>
      <c r="CR26">
        <v>78.475969242394342</v>
      </c>
      <c r="CS26">
        <v>159.65147124171608</v>
      </c>
      <c r="CT26">
        <v>61.18496453206194</v>
      </c>
      <c r="CU26">
        <v>15.740377689101692</v>
      </c>
      <c r="CV26">
        <v>1081.8270605172547</v>
      </c>
      <c r="CW26">
        <v>-19.616818462065453</v>
      </c>
      <c r="CX26">
        <v>10.494621422484897</v>
      </c>
      <c r="CY26">
        <v>52.688414607047662</v>
      </c>
      <c r="CZ26">
        <v>-35.880358124613835</v>
      </c>
      <c r="DA26">
        <v>131.29929110604144</v>
      </c>
      <c r="DB26">
        <v>126.41638301620173</v>
      </c>
      <c r="DC26">
        <v>37.125576962934929</v>
      </c>
      <c r="DD26">
        <v>44.926918835693257</v>
      </c>
      <c r="DE26">
        <v>19.548083023987274</v>
      </c>
      <c r="DF26">
        <v>231.0067712710993</v>
      </c>
      <c r="DG26">
        <v>112.50862022213016</v>
      </c>
      <c r="DH26">
        <v>83.258147434828061</v>
      </c>
      <c r="DI26">
        <v>29.103850622895521</v>
      </c>
      <c r="DJ26">
        <v>137.18811828403818</v>
      </c>
      <c r="DK26">
        <v>155.64102270451599</v>
      </c>
      <c r="DL26">
        <v>66.651091398545077</v>
      </c>
      <c r="DM26">
        <v>191.99889940227661</v>
      </c>
      <c r="DN26">
        <v>104.65872607953258</v>
      </c>
      <c r="DO26">
        <v>36.858373237649175</v>
      </c>
      <c r="DP26">
        <v>-18.448732386029064</v>
      </c>
      <c r="DQ26">
        <v>403.9723344852714</v>
      </c>
      <c r="DR26">
        <v>22.871552227892721</v>
      </c>
      <c r="DS26">
        <v>94.840088327375611</v>
      </c>
      <c r="DT26">
        <v>0.98699881960467906</v>
      </c>
      <c r="DU26">
        <v>57.965504576781427</v>
      </c>
      <c r="DV26">
        <v>-10.674443429726125</v>
      </c>
      <c r="DW26">
        <v>1.4298312715187649</v>
      </c>
      <c r="DX26">
        <v>54.206328064143122</v>
      </c>
      <c r="DY26">
        <v>15.986621742386475</v>
      </c>
      <c r="DZ26">
        <v>-40.080078863497434</v>
      </c>
      <c r="EA26">
        <v>32.663954559966328</v>
      </c>
      <c r="EB26">
        <v>19.749488407905233</v>
      </c>
      <c r="EC26">
        <v>-1.8650975128707046</v>
      </c>
      <c r="ED26">
        <v>-5.0366002899051807</v>
      </c>
      <c r="EE26">
        <v>78.212995311460872</v>
      </c>
      <c r="EF26">
        <v>-5.6932517661370525</v>
      </c>
      <c r="EG26">
        <v>2.9833640556704495</v>
      </c>
      <c r="EH26">
        <v>48.677878171008615</v>
      </c>
      <c r="EI26">
        <v>9024.5425339125741</v>
      </c>
    </row>
    <row r="27" spans="1:139" x14ac:dyDescent="0.25">
      <c r="A27">
        <v>25</v>
      </c>
      <c r="B27">
        <v>-49.436230196965653</v>
      </c>
      <c r="C27">
        <v>-4.6910500998675957</v>
      </c>
      <c r="D27">
        <v>-2.3879730300755533</v>
      </c>
      <c r="E27">
        <v>-5.3259842557056061</v>
      </c>
      <c r="F27">
        <v>0.8785804266911873</v>
      </c>
      <c r="G27">
        <v>1.7257796684097759</v>
      </c>
      <c r="H27">
        <v>78.748774583728277</v>
      </c>
      <c r="I27">
        <v>0.34434748982596464</v>
      </c>
      <c r="J27">
        <v>12.860170372670254</v>
      </c>
      <c r="K27">
        <v>0.78172992595430646</v>
      </c>
      <c r="L27">
        <v>13.81845546908103</v>
      </c>
      <c r="M27">
        <v>3.3635732712993187</v>
      </c>
      <c r="N27">
        <v>37.701352489736792</v>
      </c>
      <c r="O27">
        <v>30.322242156558417</v>
      </c>
      <c r="P27">
        <v>89.510858755761774</v>
      </c>
      <c r="Q27">
        <v>36.306776167704243</v>
      </c>
      <c r="R27">
        <v>3.9618560407426191</v>
      </c>
      <c r="S27">
        <v>24.247102726959838</v>
      </c>
      <c r="T27">
        <v>-11.579764053306462</v>
      </c>
      <c r="U27">
        <v>6.1570709144264697</v>
      </c>
      <c r="V27">
        <v>129.92241094074427</v>
      </c>
      <c r="W27">
        <v>30.236099743903083</v>
      </c>
      <c r="X27">
        <v>12.231104057882391</v>
      </c>
      <c r="Y27">
        <v>5.1016485799164855</v>
      </c>
      <c r="Z27">
        <v>-18.805295718193776</v>
      </c>
      <c r="AA27">
        <v>4.4758674057999457</v>
      </c>
      <c r="AB27">
        <v>72.936089045666165</v>
      </c>
      <c r="AC27">
        <v>12.422418088059558</v>
      </c>
      <c r="AD27">
        <v>8.251141271542437</v>
      </c>
      <c r="AE27">
        <v>32.408523818572007</v>
      </c>
      <c r="AF27">
        <v>60.70824369092081</v>
      </c>
      <c r="AG27">
        <v>483.81543685425822</v>
      </c>
      <c r="AH27">
        <v>9.5538363540209659</v>
      </c>
      <c r="AI27">
        <v>49.598655849861089</v>
      </c>
      <c r="AJ27">
        <v>9.7549015169346447</v>
      </c>
      <c r="AK27">
        <v>57.295036083438674</v>
      </c>
      <c r="AL27">
        <v>79.807605889854756</v>
      </c>
      <c r="AM27">
        <v>15.641300157821462</v>
      </c>
      <c r="AN27">
        <v>-1.5082281586213995</v>
      </c>
      <c r="AO27">
        <v>68.219327559159524</v>
      </c>
      <c r="AP27">
        <v>21.565412473069436</v>
      </c>
      <c r="AQ27">
        <v>3.2678770445943588</v>
      </c>
      <c r="AR27">
        <v>70.891913477480912</v>
      </c>
      <c r="AS27">
        <v>205.37382635544151</v>
      </c>
      <c r="AT27">
        <v>-34.037064020275807</v>
      </c>
      <c r="AU27">
        <v>-79.157176293048821</v>
      </c>
      <c r="AV27">
        <v>47.925620350644351</v>
      </c>
      <c r="AW27">
        <v>419.16041592412336</v>
      </c>
      <c r="AX27">
        <v>460.66394393234896</v>
      </c>
      <c r="AY27">
        <v>7.7842102232513639</v>
      </c>
      <c r="AZ27">
        <v>11.281095632119872</v>
      </c>
      <c r="BA27">
        <v>810.84580580600164</v>
      </c>
      <c r="BB27">
        <v>-0.56372609800688878</v>
      </c>
      <c r="BC27">
        <v>36.267150114172267</v>
      </c>
      <c r="BD27">
        <v>161.14970924747382</v>
      </c>
      <c r="BE27">
        <v>5.0117749450992619</v>
      </c>
      <c r="BF27">
        <v>-41.672468162388171</v>
      </c>
      <c r="BG27">
        <v>59.519614736278413</v>
      </c>
      <c r="BH27">
        <v>4.5405658619336293</v>
      </c>
      <c r="BI27">
        <v>154.35122748569484</v>
      </c>
      <c r="BJ27">
        <v>11.806525911336053</v>
      </c>
      <c r="BK27">
        <v>0.85643366936761822</v>
      </c>
      <c r="BL27">
        <v>-7.6885855729556738</v>
      </c>
      <c r="BM27">
        <v>17.998892076046047</v>
      </c>
      <c r="BN27">
        <v>13.279957264504887</v>
      </c>
      <c r="BO27">
        <v>-3.5861790918273755</v>
      </c>
      <c r="BP27">
        <v>22.420239234443898</v>
      </c>
      <c r="BQ27">
        <v>-14.79008909183527</v>
      </c>
      <c r="BR27">
        <v>295.15691592975327</v>
      </c>
      <c r="BS27">
        <v>0.76973064642544387</v>
      </c>
      <c r="BT27">
        <v>-20.799340638658748</v>
      </c>
      <c r="BU27">
        <v>-115.96534572435803</v>
      </c>
      <c r="BV27">
        <v>-6.8961972389180346</v>
      </c>
      <c r="BW27">
        <v>22.711765154674822</v>
      </c>
      <c r="BX27">
        <v>15.325746340215829</v>
      </c>
      <c r="BY27">
        <v>-26.093444099239406</v>
      </c>
      <c r="BZ27">
        <v>81.149051116902228</v>
      </c>
      <c r="CA27">
        <v>-2.466148483843341</v>
      </c>
      <c r="CB27">
        <v>9.795213572623382</v>
      </c>
      <c r="CC27">
        <v>81.179467632247224</v>
      </c>
      <c r="CD27">
        <v>33.110578429496314</v>
      </c>
      <c r="CE27">
        <v>51.56329614208866</v>
      </c>
      <c r="CF27">
        <v>71.777518723106368</v>
      </c>
      <c r="CG27">
        <v>1055.0366496967245</v>
      </c>
      <c r="CH27">
        <v>-159.9689636682906</v>
      </c>
      <c r="CI27">
        <v>-344.9105722026211</v>
      </c>
      <c r="CJ27">
        <v>-138.25016973222694</v>
      </c>
      <c r="CK27">
        <v>-124.68026873189672</v>
      </c>
      <c r="CL27">
        <v>-98.320585578744101</v>
      </c>
      <c r="CM27">
        <v>-45.283804283359245</v>
      </c>
      <c r="CN27">
        <v>-14.907779084124286</v>
      </c>
      <c r="CO27">
        <v>-49.892651242430276</v>
      </c>
      <c r="CP27">
        <v>1.9051005029451744</v>
      </c>
      <c r="CQ27">
        <v>-92.932418118127828</v>
      </c>
      <c r="CR27">
        <v>71.403685108163018</v>
      </c>
      <c r="CS27">
        <v>125.59508495236105</v>
      </c>
      <c r="CT27">
        <v>43.45936749614043</v>
      </c>
      <c r="CU27">
        <v>14.428966112368059</v>
      </c>
      <c r="CV27">
        <v>828.74112177258576</v>
      </c>
      <c r="CW27">
        <v>-33.030474258596143</v>
      </c>
      <c r="CX27">
        <v>8.1879570199619565</v>
      </c>
      <c r="CY27">
        <v>28.571449299522328</v>
      </c>
      <c r="CZ27">
        <v>-44.776347593443944</v>
      </c>
      <c r="DA27">
        <v>124.9689201419136</v>
      </c>
      <c r="DB27">
        <v>115.15721596735636</v>
      </c>
      <c r="DC27">
        <v>33.866946506106842</v>
      </c>
      <c r="DD27">
        <v>43.987757665630653</v>
      </c>
      <c r="DE27">
        <v>17.854056319080343</v>
      </c>
      <c r="DF27">
        <v>186.8271853600495</v>
      </c>
      <c r="DG27">
        <v>105.67868997079756</v>
      </c>
      <c r="DH27">
        <v>69.114035599807266</v>
      </c>
      <c r="DI27">
        <v>30.243473626443233</v>
      </c>
      <c r="DJ27">
        <v>119.97048780355021</v>
      </c>
      <c r="DK27">
        <v>143.61159939400295</v>
      </c>
      <c r="DL27">
        <v>58.215773941063276</v>
      </c>
      <c r="DM27">
        <v>179.08349000271448</v>
      </c>
      <c r="DN27">
        <v>95.40857457531763</v>
      </c>
      <c r="DO27">
        <v>34.581016962315573</v>
      </c>
      <c r="DP27">
        <v>-25.400660736897009</v>
      </c>
      <c r="DQ27">
        <v>357.39936652910865</v>
      </c>
      <c r="DR27">
        <v>23.032092167983336</v>
      </c>
      <c r="DS27">
        <v>91.248781374767873</v>
      </c>
      <c r="DT27">
        <v>9.4668946760386063E-2</v>
      </c>
      <c r="DU27">
        <v>49.955450367656908</v>
      </c>
      <c r="DV27">
        <v>-14.747337950494682</v>
      </c>
      <c r="DW27">
        <v>-5.614204009873589</v>
      </c>
      <c r="DX27">
        <v>47.924158289938987</v>
      </c>
      <c r="DY27">
        <v>15.436566158535925</v>
      </c>
      <c r="DZ27">
        <v>-45.829498433440691</v>
      </c>
      <c r="EA27">
        <v>23.505647309880374</v>
      </c>
      <c r="EB27">
        <v>18.366663327987283</v>
      </c>
      <c r="EC27">
        <v>-2.5423578850048401</v>
      </c>
      <c r="ED27">
        <v>-6.6224378099633583</v>
      </c>
      <c r="EE27">
        <v>46.701560398922993</v>
      </c>
      <c r="EF27">
        <v>-9.9039826733462633</v>
      </c>
      <c r="EG27">
        <v>-11.753272607122312</v>
      </c>
      <c r="EH27">
        <v>25.634715784071432</v>
      </c>
      <c r="EI27">
        <v>7209.9900126453067</v>
      </c>
    </row>
    <row r="28" spans="1:139" x14ac:dyDescent="0.25">
      <c r="A28">
        <v>26</v>
      </c>
      <c r="B28">
        <v>-53.706615381710094</v>
      </c>
      <c r="C28">
        <v>-8.6422225971275566</v>
      </c>
      <c r="D28">
        <v>-2.8657228266926644</v>
      </c>
      <c r="E28">
        <v>-7.2227367874573645</v>
      </c>
      <c r="F28">
        <v>0.87550961150281492</v>
      </c>
      <c r="G28">
        <v>1.709220618382725</v>
      </c>
      <c r="H28">
        <v>59.439966694459031</v>
      </c>
      <c r="I28">
        <v>0.32125168437172569</v>
      </c>
      <c r="J28">
        <v>12.110248241579932</v>
      </c>
      <c r="K28">
        <v>0.72961052506836843</v>
      </c>
      <c r="L28">
        <v>12.426222900770597</v>
      </c>
      <c r="M28">
        <v>3.0703232880102749</v>
      </c>
      <c r="N28">
        <v>24.490170357213742</v>
      </c>
      <c r="O28">
        <v>28.097389680100719</v>
      </c>
      <c r="P28">
        <v>85.904216145657145</v>
      </c>
      <c r="Q28">
        <v>25.178500612873677</v>
      </c>
      <c r="R28">
        <v>3.7644338999748035</v>
      </c>
      <c r="S28">
        <v>21.742420509319061</v>
      </c>
      <c r="T28">
        <v>-13.699343903245648</v>
      </c>
      <c r="U28">
        <v>3.8493123900851742</v>
      </c>
      <c r="V28">
        <v>117.15829245863085</v>
      </c>
      <c r="W28">
        <v>26.973454043766395</v>
      </c>
      <c r="X28">
        <v>11.271879106174239</v>
      </c>
      <c r="Y28">
        <v>4.216118069251948</v>
      </c>
      <c r="Z28">
        <v>-18.558844810881439</v>
      </c>
      <c r="AA28">
        <v>3.7726925752277012</v>
      </c>
      <c r="AB28">
        <v>65.230580035282685</v>
      </c>
      <c r="AC28">
        <v>11.715940581527633</v>
      </c>
      <c r="AD28">
        <v>7.8485382789002855</v>
      </c>
      <c r="AE28">
        <v>31.014905133041097</v>
      </c>
      <c r="AF28">
        <v>57.861120716354634</v>
      </c>
      <c r="AG28">
        <v>448.09288195361114</v>
      </c>
      <c r="AH28">
        <v>9.2374288211226627</v>
      </c>
      <c r="AI28">
        <v>48.08081163346489</v>
      </c>
      <c r="AJ28">
        <v>9.4352900879710973</v>
      </c>
      <c r="AK28">
        <v>54.661813110953716</v>
      </c>
      <c r="AL28">
        <v>75.690960453425959</v>
      </c>
      <c r="AM28">
        <v>14.955380481361303</v>
      </c>
      <c r="AN28">
        <v>-1.6021703407417469</v>
      </c>
      <c r="AO28">
        <v>56.046402835416075</v>
      </c>
      <c r="AP28">
        <v>20.891019044360881</v>
      </c>
      <c r="AQ28">
        <v>3.1281056001396994</v>
      </c>
      <c r="AR28">
        <v>67.677754770369717</v>
      </c>
      <c r="AS28">
        <v>193.42182697925648</v>
      </c>
      <c r="AT28">
        <v>-34.937633433264097</v>
      </c>
      <c r="AU28">
        <v>-71.517023927008665</v>
      </c>
      <c r="AV28">
        <v>42.792770756559946</v>
      </c>
      <c r="AW28">
        <v>399.50607239638788</v>
      </c>
      <c r="AX28">
        <v>408.76288728216832</v>
      </c>
      <c r="AY28">
        <v>7.6494797253950049</v>
      </c>
      <c r="AZ28">
        <v>10.931461385199411</v>
      </c>
      <c r="BA28">
        <v>756.99914519114134</v>
      </c>
      <c r="BB28">
        <v>-0.90651133808625062</v>
      </c>
      <c r="BC28">
        <v>34.078263530480115</v>
      </c>
      <c r="BD28">
        <v>150.48859123348643</v>
      </c>
      <c r="BE28">
        <v>3.8984461828688097</v>
      </c>
      <c r="BF28">
        <v>-41.667010386496472</v>
      </c>
      <c r="BG28">
        <v>53.564475777505493</v>
      </c>
      <c r="BH28">
        <v>3.5743044288618364</v>
      </c>
      <c r="BI28">
        <v>117.95967729140648</v>
      </c>
      <c r="BJ28">
        <v>6.6412804953325804</v>
      </c>
      <c r="BK28">
        <v>-6.7067707464383375</v>
      </c>
      <c r="BL28">
        <v>-11.616315080864467</v>
      </c>
      <c r="BM28">
        <v>11.317403624358747</v>
      </c>
      <c r="BN28">
        <v>11.228657043556488</v>
      </c>
      <c r="BO28">
        <v>-5.740506487287405</v>
      </c>
      <c r="BP28">
        <v>-7.8906754130534864</v>
      </c>
      <c r="BQ28">
        <v>-17.629079363069252</v>
      </c>
      <c r="BR28">
        <v>214.08061495088259</v>
      </c>
      <c r="BS28">
        <v>-9.23116030480071</v>
      </c>
      <c r="BT28">
        <v>-33.782187005024525</v>
      </c>
      <c r="BU28">
        <v>-156.77271956093091</v>
      </c>
      <c r="BV28">
        <v>-12.334058139570516</v>
      </c>
      <c r="BW28">
        <v>3.0085467649029169</v>
      </c>
      <c r="BX28">
        <v>12.045141243600796</v>
      </c>
      <c r="BY28">
        <v>-32.206559839818368</v>
      </c>
      <c r="BZ28">
        <v>59.232317541993552</v>
      </c>
      <c r="CA28">
        <v>-6.4196354560152713</v>
      </c>
      <c r="CB28">
        <v>8.3642801405052722</v>
      </c>
      <c r="CC28">
        <v>68.470653519790346</v>
      </c>
      <c r="CD28">
        <v>28.23516549047406</v>
      </c>
      <c r="CE28">
        <v>47.192730452941134</v>
      </c>
      <c r="CF28">
        <v>61.023794873210704</v>
      </c>
      <c r="CG28">
        <v>926.7411564345166</v>
      </c>
      <c r="CH28">
        <v>-190.10615768810783</v>
      </c>
      <c r="CI28">
        <v>-410.72909282231819</v>
      </c>
      <c r="CJ28">
        <v>-155.03561398422218</v>
      </c>
      <c r="CK28">
        <v>-150.66533066011152</v>
      </c>
      <c r="CL28">
        <v>-129.9085430168621</v>
      </c>
      <c r="CM28">
        <v>-71.348638313503216</v>
      </c>
      <c r="CN28">
        <v>-63.1524777699683</v>
      </c>
      <c r="CO28">
        <v>-60.000656911524601</v>
      </c>
      <c r="CP28">
        <v>-1.9273268642155301</v>
      </c>
      <c r="CQ28">
        <v>-103.27955928164013</v>
      </c>
      <c r="CR28">
        <v>64.229583561964034</v>
      </c>
      <c r="CS28">
        <v>97.160826522586376</v>
      </c>
      <c r="CT28">
        <v>25.910242509665295</v>
      </c>
      <c r="CU28">
        <v>12.81130312917027</v>
      </c>
      <c r="CV28">
        <v>602.90015760140159</v>
      </c>
      <c r="CW28">
        <v>-40.368800132235208</v>
      </c>
      <c r="CX28">
        <v>6.4565431778004836</v>
      </c>
      <c r="CY28">
        <v>9.9816707383390622</v>
      </c>
      <c r="CZ28">
        <v>-53.521953099497281</v>
      </c>
      <c r="DA28">
        <v>119.82611449157224</v>
      </c>
      <c r="DB28">
        <v>107.21487874602713</v>
      </c>
      <c r="DC28">
        <v>31.478407580632279</v>
      </c>
      <c r="DD28">
        <v>43.878126398618292</v>
      </c>
      <c r="DE28">
        <v>16.50126208791086</v>
      </c>
      <c r="DF28">
        <v>151.72669603390977</v>
      </c>
      <c r="DG28">
        <v>99.150507752812359</v>
      </c>
      <c r="DH28">
        <v>60.448988167432844</v>
      </c>
      <c r="DI28">
        <v>30.75569304169376</v>
      </c>
      <c r="DJ28">
        <v>109.08508906756879</v>
      </c>
      <c r="DK28">
        <v>133.64694599436712</v>
      </c>
      <c r="DL28">
        <v>52.075688502398862</v>
      </c>
      <c r="DM28">
        <v>170.17704209615465</v>
      </c>
      <c r="DN28">
        <v>85.494674776635748</v>
      </c>
      <c r="DO28">
        <v>33.126583334339244</v>
      </c>
      <c r="DP28">
        <v>-22.759910778380174</v>
      </c>
      <c r="DQ28">
        <v>320.55386606836646</v>
      </c>
      <c r="DR28">
        <v>23.492720404400899</v>
      </c>
      <c r="DS28">
        <v>87.996115940500772</v>
      </c>
      <c r="DT28">
        <v>-0.63534608331994491</v>
      </c>
      <c r="DU28">
        <v>43.237527716031423</v>
      </c>
      <c r="DV28">
        <v>-16.753430367285318</v>
      </c>
      <c r="DW28">
        <v>-9.7241235013773917</v>
      </c>
      <c r="DX28">
        <v>43.897309505357839</v>
      </c>
      <c r="DY28">
        <v>15.096215649954559</v>
      </c>
      <c r="DZ28">
        <v>-50.017802540194495</v>
      </c>
      <c r="EA28">
        <v>14.915279454589268</v>
      </c>
      <c r="EB28">
        <v>18.117547637285668</v>
      </c>
      <c r="EC28">
        <v>-3.037244277402074</v>
      </c>
      <c r="ED28">
        <v>-7.7935869196653726</v>
      </c>
      <c r="EE28">
        <v>24.370711064808802</v>
      </c>
      <c r="EF28">
        <v>-11.8173984682889</v>
      </c>
      <c r="EG28">
        <v>-20.428344927456578</v>
      </c>
      <c r="EH28">
        <v>4.478848838684371</v>
      </c>
      <c r="EI28">
        <v>5601.4056377423276</v>
      </c>
    </row>
    <row r="29" spans="1:139" x14ac:dyDescent="0.25">
      <c r="A29">
        <v>27</v>
      </c>
      <c r="B29">
        <v>-57.089982368700362</v>
      </c>
      <c r="C29">
        <v>-10.754985044149123</v>
      </c>
      <c r="D29">
        <v>-3.2282368314857308</v>
      </c>
      <c r="E29">
        <v>-8.3632794943659121</v>
      </c>
      <c r="F29">
        <v>0.87113178754824194</v>
      </c>
      <c r="G29">
        <v>1.7084844674861208</v>
      </c>
      <c r="H29">
        <v>43.716535155011911</v>
      </c>
      <c r="I29">
        <v>0.30346338821798646</v>
      </c>
      <c r="J29">
        <v>11.713969583821317</v>
      </c>
      <c r="K29">
        <v>0.70114043569252615</v>
      </c>
      <c r="L29">
        <v>11.298142852324403</v>
      </c>
      <c r="M29">
        <v>2.8910611340389751</v>
      </c>
      <c r="N29">
        <v>14.311451902012436</v>
      </c>
      <c r="O29">
        <v>26.48302914184589</v>
      </c>
      <c r="P29">
        <v>84.043669177603661</v>
      </c>
      <c r="Q29">
        <v>16.584947815871487</v>
      </c>
      <c r="R29">
        <v>3.6082790977529755</v>
      </c>
      <c r="S29">
        <v>19.86782757034635</v>
      </c>
      <c r="T29">
        <v>-15.08927753424544</v>
      </c>
      <c r="U29">
        <v>2.3883317158301054</v>
      </c>
      <c r="V29">
        <v>106.0584229212235</v>
      </c>
      <c r="W29">
        <v>24.238146045294087</v>
      </c>
      <c r="X29">
        <v>10.380933174206582</v>
      </c>
      <c r="Y29">
        <v>4.2791370882817006</v>
      </c>
      <c r="Z29">
        <v>-17.432153573381058</v>
      </c>
      <c r="AA29">
        <v>3.1792066977550917</v>
      </c>
      <c r="AB29">
        <v>59.216664803307651</v>
      </c>
      <c r="AC29">
        <v>11.200042763183546</v>
      </c>
      <c r="AD29">
        <v>7.5576153211273009</v>
      </c>
      <c r="AE29">
        <v>29.809654961303181</v>
      </c>
      <c r="AF29">
        <v>55.641850260926873</v>
      </c>
      <c r="AG29">
        <v>419.93622343398374</v>
      </c>
      <c r="AH29">
        <v>8.9928783141924313</v>
      </c>
      <c r="AI29">
        <v>45.654377214531884</v>
      </c>
      <c r="AJ29">
        <v>9.3092849732596861</v>
      </c>
      <c r="AK29">
        <v>52.370131908792047</v>
      </c>
      <c r="AL29">
        <v>71.285269774105529</v>
      </c>
      <c r="AM29">
        <v>14.376724573582408</v>
      </c>
      <c r="AN29">
        <v>-1.6747440651903673</v>
      </c>
      <c r="AO29">
        <v>45.33838521929232</v>
      </c>
      <c r="AP29">
        <v>20.443059442919903</v>
      </c>
      <c r="AQ29">
        <v>2.9790423178345939</v>
      </c>
      <c r="AR29">
        <v>65.054005106095886</v>
      </c>
      <c r="AS29">
        <v>181.69564846496087</v>
      </c>
      <c r="AT29">
        <v>-35.911779854107607</v>
      </c>
      <c r="AU29">
        <v>-62.081220824214512</v>
      </c>
      <c r="AV29">
        <v>38.253367973075115</v>
      </c>
      <c r="AW29">
        <v>378.11896559935519</v>
      </c>
      <c r="AX29">
        <v>365.40349422361123</v>
      </c>
      <c r="AY29">
        <v>7.5724382716384806</v>
      </c>
      <c r="AZ29">
        <v>10.374189636168177</v>
      </c>
      <c r="BA29">
        <v>705.43024739943485</v>
      </c>
      <c r="BB29">
        <v>-1.2784636939389102</v>
      </c>
      <c r="BC29">
        <v>32.231044125676931</v>
      </c>
      <c r="BD29">
        <v>140.96326520241183</v>
      </c>
      <c r="BE29">
        <v>3.9448770094581107</v>
      </c>
      <c r="BF29">
        <v>-38.653724726364686</v>
      </c>
      <c r="BG29">
        <v>49.304776621818348</v>
      </c>
      <c r="BH29">
        <v>2.9900858317293455</v>
      </c>
      <c r="BI29">
        <v>87.007346786529979</v>
      </c>
      <c r="BJ29">
        <v>2.6234446196173167</v>
      </c>
      <c r="BK29">
        <v>-10.842820885894923</v>
      </c>
      <c r="BL29">
        <v>-13.24826700068337</v>
      </c>
      <c r="BM29">
        <v>6.1009355247055055</v>
      </c>
      <c r="BN29">
        <v>9.402472689675669</v>
      </c>
      <c r="BO29">
        <v>-7.410402383139008</v>
      </c>
      <c r="BP29">
        <v>-19.088210248648465</v>
      </c>
      <c r="BQ29">
        <v>-19.694394954236571</v>
      </c>
      <c r="BR29">
        <v>150.80662752531043</v>
      </c>
      <c r="BS29">
        <v>-16.785693681305474</v>
      </c>
      <c r="BT29">
        <v>-41.873349062274144</v>
      </c>
      <c r="BU29">
        <v>-182.92971825728557</v>
      </c>
      <c r="BV29">
        <v>-16.348834177252456</v>
      </c>
      <c r="BW29">
        <v>-12.502819896981123</v>
      </c>
      <c r="BX29">
        <v>9.6129050904877289</v>
      </c>
      <c r="BY29">
        <v>-34.586678040491933</v>
      </c>
      <c r="BZ29">
        <v>40.858687924471042</v>
      </c>
      <c r="CA29">
        <v>-9.1081417443694193</v>
      </c>
      <c r="CB29">
        <v>7.4343919810482646</v>
      </c>
      <c r="CC29">
        <v>58.326531728953512</v>
      </c>
      <c r="CD29">
        <v>24.226487955624691</v>
      </c>
      <c r="CE29">
        <v>43.664262287609915</v>
      </c>
      <c r="CF29">
        <v>52.479928561254837</v>
      </c>
      <c r="CG29">
        <v>828.13515273684334</v>
      </c>
      <c r="CH29">
        <v>-201.40547363049302</v>
      </c>
      <c r="CI29">
        <v>-444.35057361492625</v>
      </c>
      <c r="CJ29">
        <v>-158.15746286777744</v>
      </c>
      <c r="CK29">
        <v>-163.04157515513839</v>
      </c>
      <c r="CL29">
        <v>-153.27967544887645</v>
      </c>
      <c r="CM29">
        <v>-87.701444189927997</v>
      </c>
      <c r="CN29">
        <v>-92.173729936951077</v>
      </c>
      <c r="CO29">
        <v>-63.927319667309661</v>
      </c>
      <c r="CP29">
        <v>-4.0251064938376828</v>
      </c>
      <c r="CQ29">
        <v>-108.42226527205237</v>
      </c>
      <c r="CR29">
        <v>58.640719243381966</v>
      </c>
      <c r="CS29">
        <v>76.921652719673148</v>
      </c>
      <c r="CT29">
        <v>12.727826439980163</v>
      </c>
      <c r="CU29">
        <v>11.679385188966847</v>
      </c>
      <c r="CV29">
        <v>430.85804669483696</v>
      </c>
      <c r="CW29">
        <v>-42.182991259296671</v>
      </c>
      <c r="CX29">
        <v>5.3916082952481048</v>
      </c>
      <c r="CY29">
        <v>0.41800716461557386</v>
      </c>
      <c r="CZ29">
        <v>-59.170971586437069</v>
      </c>
      <c r="DA29">
        <v>116.50140501069643</v>
      </c>
      <c r="DB29">
        <v>102.76164078463137</v>
      </c>
      <c r="DC29">
        <v>30.227467196657273</v>
      </c>
      <c r="DD29">
        <v>44.35334305767185</v>
      </c>
      <c r="DE29">
        <v>15.936212578461408</v>
      </c>
      <c r="DF29">
        <v>127.51342719523745</v>
      </c>
      <c r="DG29">
        <v>95.417047873133697</v>
      </c>
      <c r="DH29">
        <v>57.313144070534236</v>
      </c>
      <c r="DI29">
        <v>32.159116062514784</v>
      </c>
      <c r="DJ29">
        <v>104.39262346397254</v>
      </c>
      <c r="DK29">
        <v>125.91828095000801</v>
      </c>
      <c r="DL29">
        <v>48.840826879163387</v>
      </c>
      <c r="DM29">
        <v>163.54782815509191</v>
      </c>
      <c r="DN29">
        <v>83.777151238049782</v>
      </c>
      <c r="DO29">
        <v>32.595078282091492</v>
      </c>
      <c r="DP29">
        <v>-14.266600088637631</v>
      </c>
      <c r="DQ29">
        <v>292.99997416744645</v>
      </c>
      <c r="DR29">
        <v>23.86875471930648</v>
      </c>
      <c r="DS29">
        <v>86.094736944212627</v>
      </c>
      <c r="DT29">
        <v>-1.1214648375495244</v>
      </c>
      <c r="DU29">
        <v>39.717177806044447</v>
      </c>
      <c r="DV29">
        <v>-16.823543838513103</v>
      </c>
      <c r="DW29">
        <v>-10.80776389285802</v>
      </c>
      <c r="DX29">
        <v>42.340693442690849</v>
      </c>
      <c r="DY29">
        <v>14.989551984780135</v>
      </c>
      <c r="DZ29">
        <v>-50.768960700897807</v>
      </c>
      <c r="EA29">
        <v>9.9607433201631466</v>
      </c>
      <c r="EB29">
        <v>19.505709793585254</v>
      </c>
      <c r="EC29">
        <v>-3.2758077895454178</v>
      </c>
      <c r="ED29">
        <v>-8.4580468872586749</v>
      </c>
      <c r="EE29">
        <v>16.939913449611595</v>
      </c>
      <c r="EF29">
        <v>-11.816769133973196</v>
      </c>
      <c r="EG29">
        <v>-20.919004593670707</v>
      </c>
      <c r="EH29">
        <v>-8.7548669257330403</v>
      </c>
      <c r="EI29">
        <v>4508.2345953301692</v>
      </c>
    </row>
    <row r="30" spans="1:139" x14ac:dyDescent="0.25">
      <c r="A30">
        <v>28</v>
      </c>
      <c r="B30">
        <v>-59.912409908184713</v>
      </c>
      <c r="C30">
        <v>-12.39935767781725</v>
      </c>
      <c r="D30">
        <v>-3.4551375246904783</v>
      </c>
      <c r="E30">
        <v>-9.4061008377307758</v>
      </c>
      <c r="F30">
        <v>0.86548015063057115</v>
      </c>
      <c r="G30">
        <v>1.7120265609218175</v>
      </c>
      <c r="H30">
        <v>28.342595150717671</v>
      </c>
      <c r="I30">
        <v>0.29480319569737823</v>
      </c>
      <c r="J30">
        <v>11.120212715784938</v>
      </c>
      <c r="K30">
        <v>0.66551240529267996</v>
      </c>
      <c r="L30">
        <v>9.9490451647251348</v>
      </c>
      <c r="M30">
        <v>2.7325306762215762</v>
      </c>
      <c r="N30">
        <v>3.9313502158091751</v>
      </c>
      <c r="O30">
        <v>24.614560635179998</v>
      </c>
      <c r="P30">
        <v>82.941555532234446</v>
      </c>
      <c r="Q30">
        <v>8.5505294083160948</v>
      </c>
      <c r="R30">
        <v>3.4915778620107436</v>
      </c>
      <c r="S30">
        <v>17.766693773321634</v>
      </c>
      <c r="T30">
        <v>-16.230733693040662</v>
      </c>
      <c r="U30">
        <v>1.4995446957705099</v>
      </c>
      <c r="V30">
        <v>95.216034601147726</v>
      </c>
      <c r="W30">
        <v>21.308253705693943</v>
      </c>
      <c r="X30">
        <v>9.5248708859203433</v>
      </c>
      <c r="Y30">
        <v>4.3272701054983145</v>
      </c>
      <c r="Z30">
        <v>-16.181609993978597</v>
      </c>
      <c r="AA30">
        <v>2.6544823004191969</v>
      </c>
      <c r="AB30">
        <v>53.969353934083813</v>
      </c>
      <c r="AC30">
        <v>10.915993544542005</v>
      </c>
      <c r="AD30">
        <v>7.3145899224685849</v>
      </c>
      <c r="AE30">
        <v>28.639031451482452</v>
      </c>
      <c r="AF30">
        <v>53.606912844590894</v>
      </c>
      <c r="AG30">
        <v>393.4122645960183</v>
      </c>
      <c r="AH30">
        <v>8.7183988734459206</v>
      </c>
      <c r="AI30">
        <v>42.439355060241084</v>
      </c>
      <c r="AJ30">
        <v>9.15055481843455</v>
      </c>
      <c r="AK30">
        <v>50.483886407398643</v>
      </c>
      <c r="AL30">
        <v>66.627084529230302</v>
      </c>
      <c r="AM30">
        <v>13.813517584478944</v>
      </c>
      <c r="AN30">
        <v>-1.7371460933557366</v>
      </c>
      <c r="AO30">
        <v>33.920317171501893</v>
      </c>
      <c r="AP30">
        <v>19.93682676726452</v>
      </c>
      <c r="AQ30">
        <v>2.8426386958896437</v>
      </c>
      <c r="AR30">
        <v>62.398775744979289</v>
      </c>
      <c r="AS30">
        <v>167.79997481222932</v>
      </c>
      <c r="AT30">
        <v>-37.000384310550402</v>
      </c>
      <c r="AU30">
        <v>-53.698634991571851</v>
      </c>
      <c r="AV30">
        <v>33.686290054583651</v>
      </c>
      <c r="AW30">
        <v>354.25593914515491</v>
      </c>
      <c r="AX30">
        <v>324.72646103383568</v>
      </c>
      <c r="AY30">
        <v>7.5132959801010752</v>
      </c>
      <c r="AZ30">
        <v>9.9149375555316901</v>
      </c>
      <c r="BA30">
        <v>653.22578808196317</v>
      </c>
      <c r="BB30">
        <v>-1.6544666220009745</v>
      </c>
      <c r="BC30">
        <v>30.446699425293062</v>
      </c>
      <c r="BD30">
        <v>132.14829126712078</v>
      </c>
      <c r="BE30">
        <v>3.9420542036900201</v>
      </c>
      <c r="BF30">
        <v>-33.578413010977428</v>
      </c>
      <c r="BG30">
        <v>45.175465121257787</v>
      </c>
      <c r="BH30">
        <v>2.512416396262239</v>
      </c>
      <c r="BI30">
        <v>55.634932967700024</v>
      </c>
      <c r="BJ30">
        <v>-1.043637066224619</v>
      </c>
      <c r="BK30">
        <v>-13.241572789207055</v>
      </c>
      <c r="BL30">
        <v>-13.390049086572589</v>
      </c>
      <c r="BM30">
        <v>1.4799230892170385</v>
      </c>
      <c r="BN30">
        <v>7.820932184284402</v>
      </c>
      <c r="BO30">
        <v>-8.7546971604200081</v>
      </c>
      <c r="BP30">
        <v>-19.399713408925891</v>
      </c>
      <c r="BQ30">
        <v>-21.350516799916591</v>
      </c>
      <c r="BR30">
        <v>92.416497011796309</v>
      </c>
      <c r="BS30">
        <v>-23.640152045563752</v>
      </c>
      <c r="BT30">
        <v>-47.348707652736039</v>
      </c>
      <c r="BU30">
        <v>-191.7013657927879</v>
      </c>
      <c r="BV30">
        <v>-19.245482378534831</v>
      </c>
      <c r="BW30">
        <v>-23.362006989108068</v>
      </c>
      <c r="BX30">
        <v>8.3711378221839681</v>
      </c>
      <c r="BY30">
        <v>-33.470853331532766</v>
      </c>
      <c r="BZ30">
        <v>22.307452255310636</v>
      </c>
      <c r="CA30">
        <v>-11.119263527966467</v>
      </c>
      <c r="CB30">
        <v>6.528904854190472</v>
      </c>
      <c r="CC30">
        <v>50.843055313414936</v>
      </c>
      <c r="CD30">
        <v>20.436968052348249</v>
      </c>
      <c r="CE30">
        <v>39.774595795214793</v>
      </c>
      <c r="CF30">
        <v>44.639242745746287</v>
      </c>
      <c r="CG30">
        <v>738.46622512094928</v>
      </c>
      <c r="CH30">
        <v>-205.19759291138757</v>
      </c>
      <c r="CI30">
        <v>-461.53538675681807</v>
      </c>
      <c r="CJ30">
        <v>-157.70719127631958</v>
      </c>
      <c r="CK30">
        <v>-172.27258886043614</v>
      </c>
      <c r="CL30">
        <v>-171.07095702846254</v>
      </c>
      <c r="CM30">
        <v>-100.55373626125447</v>
      </c>
      <c r="CN30">
        <v>-115.23355406372048</v>
      </c>
      <c r="CO30">
        <v>-65.364363337334595</v>
      </c>
      <c r="CP30">
        <v>-4.9301584780261578</v>
      </c>
      <c r="CQ30">
        <v>-111.44372603066471</v>
      </c>
      <c r="CR30">
        <v>52.611748294780398</v>
      </c>
      <c r="CS30">
        <v>57.409288311642285</v>
      </c>
      <c r="CT30">
        <v>-1.8263262769480662</v>
      </c>
      <c r="CU30">
        <v>10.332791777093973</v>
      </c>
      <c r="CV30">
        <v>263.06127287130948</v>
      </c>
      <c r="CW30">
        <v>-41.117445918346107</v>
      </c>
      <c r="CX30">
        <v>4.9173750707341526</v>
      </c>
      <c r="CY30">
        <v>-7.1591265932790975</v>
      </c>
      <c r="CZ30">
        <v>-62.203017143911275</v>
      </c>
      <c r="DA30">
        <v>113.68162058737107</v>
      </c>
      <c r="DB30">
        <v>99.560652990359927</v>
      </c>
      <c r="DC30">
        <v>29.354502130992216</v>
      </c>
      <c r="DD30">
        <v>44.376828171250423</v>
      </c>
      <c r="DE30">
        <v>15.562151438351393</v>
      </c>
      <c r="DF30">
        <v>103.85625426549404</v>
      </c>
      <c r="DG30">
        <v>88.374649192939728</v>
      </c>
      <c r="DH30">
        <v>54.243697212158168</v>
      </c>
      <c r="DI30">
        <v>30.676556565770014</v>
      </c>
      <c r="DJ30">
        <v>98.210962055931986</v>
      </c>
      <c r="DK30">
        <v>117.71124706117484</v>
      </c>
      <c r="DL30">
        <v>45.404159263262272</v>
      </c>
      <c r="DM30">
        <v>156.93238905927865</v>
      </c>
      <c r="DN30">
        <v>76.090745525752141</v>
      </c>
      <c r="DO30">
        <v>31.852828086992076</v>
      </c>
      <c r="DP30">
        <v>-1.9007386721056037</v>
      </c>
      <c r="DQ30">
        <v>265.77901316136013</v>
      </c>
      <c r="DR30">
        <v>23.28329949517817</v>
      </c>
      <c r="DS30">
        <v>83.723478519074774</v>
      </c>
      <c r="DT30">
        <v>-1.5075374971329509</v>
      </c>
      <c r="DU30">
        <v>36.409778879239411</v>
      </c>
      <c r="DV30">
        <v>-16.544998563923116</v>
      </c>
      <c r="DW30">
        <v>-10.648946829682814</v>
      </c>
      <c r="DX30">
        <v>39.410918933625567</v>
      </c>
      <c r="DY30">
        <v>14.507936040565568</v>
      </c>
      <c r="DZ30">
        <v>-49.923157207217216</v>
      </c>
      <c r="EA30">
        <v>5.0352404737578809</v>
      </c>
      <c r="EB30">
        <v>19.936784688854175</v>
      </c>
      <c r="EC30">
        <v>-3.3683911875066244</v>
      </c>
      <c r="ED30">
        <v>-8.7902841674866181</v>
      </c>
      <c r="EE30">
        <v>12.973714648721398</v>
      </c>
      <c r="EF30">
        <v>-10.786784195923872</v>
      </c>
      <c r="EG30">
        <v>-19.136681926107485</v>
      </c>
      <c r="EH30">
        <v>-21.047140040034947</v>
      </c>
      <c r="EI30">
        <v>3545.4555528323353</v>
      </c>
    </row>
    <row r="31" spans="1:139" x14ac:dyDescent="0.25">
      <c r="A31">
        <v>29</v>
      </c>
      <c r="B31">
        <v>-61.689034514918035</v>
      </c>
      <c r="C31">
        <v>-12.546682105476805</v>
      </c>
      <c r="D31">
        <v>-3.4821036827383196</v>
      </c>
      <c r="E31">
        <v>-9.719185586948214</v>
      </c>
      <c r="F31">
        <v>0.88347912832865105</v>
      </c>
      <c r="G31">
        <v>1.727057851976612</v>
      </c>
      <c r="H31">
        <v>16.891122334189049</v>
      </c>
      <c r="I31">
        <v>0.30118863412420538</v>
      </c>
      <c r="J31">
        <v>10.784756392941418</v>
      </c>
      <c r="K31">
        <v>0.64548634545985539</v>
      </c>
      <c r="L31">
        <v>8.9189982575754385</v>
      </c>
      <c r="M31">
        <v>2.6438444538998853</v>
      </c>
      <c r="N31">
        <v>-3.9125653284783084</v>
      </c>
      <c r="O31">
        <v>23.14329929772498</v>
      </c>
      <c r="P31">
        <v>83.036967727230035</v>
      </c>
      <c r="Q31">
        <v>3.446271405620962</v>
      </c>
      <c r="R31">
        <v>3.4430892043865713</v>
      </c>
      <c r="S31">
        <v>16.192467551373767</v>
      </c>
      <c r="T31">
        <v>-16.816517033657647</v>
      </c>
      <c r="U31">
        <v>1.4810254796190634</v>
      </c>
      <c r="V31">
        <v>86.598445323253145</v>
      </c>
      <c r="W31">
        <v>18.884656735840991</v>
      </c>
      <c r="X31">
        <v>8.7870831766413531</v>
      </c>
      <c r="Y31">
        <v>4.793115232277529</v>
      </c>
      <c r="Z31">
        <v>-14.67682820530888</v>
      </c>
      <c r="AA31">
        <v>2.2186791866855344</v>
      </c>
      <c r="AB31">
        <v>50.818478705776101</v>
      </c>
      <c r="AC31">
        <v>10.839814679016669</v>
      </c>
      <c r="AD31">
        <v>7.1555082406182748</v>
      </c>
      <c r="AE31">
        <v>28.089834370747013</v>
      </c>
      <c r="AF31">
        <v>51.941609330353472</v>
      </c>
      <c r="AG31">
        <v>371.41464696846106</v>
      </c>
      <c r="AH31">
        <v>8.521648656956522</v>
      </c>
      <c r="AI31">
        <v>39.828726896535549</v>
      </c>
      <c r="AJ31">
        <v>9.0408356875633515</v>
      </c>
      <c r="AK31">
        <v>49.018027256549402</v>
      </c>
      <c r="AL31">
        <v>62.86023374378226</v>
      </c>
      <c r="AM31">
        <v>13.361501768363347</v>
      </c>
      <c r="AN31">
        <v>-1.7646037325669113</v>
      </c>
      <c r="AO31">
        <v>24.125730331967077</v>
      </c>
      <c r="AP31">
        <v>19.593842813026285</v>
      </c>
      <c r="AQ31">
        <v>2.7168258481285523</v>
      </c>
      <c r="AR31">
        <v>60.510234940185754</v>
      </c>
      <c r="AS31">
        <v>155.89892975181044</v>
      </c>
      <c r="AT31">
        <v>-38.101400520953646</v>
      </c>
      <c r="AU31">
        <v>-46.527202528226439</v>
      </c>
      <c r="AV31">
        <v>29.694108208906187</v>
      </c>
      <c r="AW31">
        <v>329.32278219035334</v>
      </c>
      <c r="AX31">
        <v>291.26688049781978</v>
      </c>
      <c r="AY31">
        <v>7.5102742994621723</v>
      </c>
      <c r="AZ31">
        <v>9.4956165366371454</v>
      </c>
      <c r="BA31">
        <v>599.74829850353171</v>
      </c>
      <c r="BB31">
        <v>-2.0580446622763411</v>
      </c>
      <c r="BC31">
        <v>28.825747382157743</v>
      </c>
      <c r="BD31">
        <v>124.34507204395453</v>
      </c>
      <c r="BE31">
        <v>5.1083959096422689</v>
      </c>
      <c r="BF31">
        <v>-27.425141640351896</v>
      </c>
      <c r="BG31">
        <v>42.226090919550529</v>
      </c>
      <c r="BH31">
        <v>2.2796891641406773</v>
      </c>
      <c r="BI31">
        <v>31.003674479665733</v>
      </c>
      <c r="BJ31">
        <v>-3.4424807679770879</v>
      </c>
      <c r="BK31">
        <v>-13.664783432283855</v>
      </c>
      <c r="BL31">
        <v>-11.644012775145853</v>
      </c>
      <c r="BM31">
        <v>-1.2790164897387513</v>
      </c>
      <c r="BN31">
        <v>7.1155974849631747</v>
      </c>
      <c r="BO31">
        <v>-9.3620995932659099</v>
      </c>
      <c r="BP31">
        <v>-6.1427394927607111</v>
      </c>
      <c r="BQ31">
        <v>-21.886473138535578</v>
      </c>
      <c r="BR31">
        <v>48.578727499928391</v>
      </c>
      <c r="BS31">
        <v>-28.622214179021739</v>
      </c>
      <c r="BT31">
        <v>-47.76417839737212</v>
      </c>
      <c r="BU31">
        <v>-178.56167819839015</v>
      </c>
      <c r="BV31">
        <v>-20.494682933511683</v>
      </c>
      <c r="BW31">
        <v>-28.426313574605729</v>
      </c>
      <c r="BX31">
        <v>7.7737574262785927</v>
      </c>
      <c r="BY31">
        <v>-30.62150360036182</v>
      </c>
      <c r="BZ31">
        <v>7.4510811151599228</v>
      </c>
      <c r="CA31">
        <v>-11.667714851766135</v>
      </c>
      <c r="CB31">
        <v>6.1629309707393389</v>
      </c>
      <c r="CC31">
        <v>46.098246359555048</v>
      </c>
      <c r="CD31">
        <v>17.593988504580636</v>
      </c>
      <c r="CE31">
        <v>36.754579320270977</v>
      </c>
      <c r="CF31">
        <v>38.313993249206874</v>
      </c>
      <c r="CG31">
        <v>669.49286603924975</v>
      </c>
      <c r="CH31">
        <v>-196.04336971922203</v>
      </c>
      <c r="CI31">
        <v>-444.88266599585393</v>
      </c>
      <c r="CJ31">
        <v>-147.15315081351892</v>
      </c>
      <c r="CK31">
        <v>-168.87663741313077</v>
      </c>
      <c r="CL31">
        <v>-175.43177989746624</v>
      </c>
      <c r="CM31">
        <v>-103.22167116106118</v>
      </c>
      <c r="CN31">
        <v>-121.70256220952342</v>
      </c>
      <c r="CO31">
        <v>-62.622709563778443</v>
      </c>
      <c r="CP31">
        <v>-4.5386969344997965</v>
      </c>
      <c r="CQ31">
        <v>-109.37797997098777</v>
      </c>
      <c r="CR31">
        <v>48.638339058810232</v>
      </c>
      <c r="CS31">
        <v>44.001421080942691</v>
      </c>
      <c r="CT31">
        <v>-13.047615375456189</v>
      </c>
      <c r="CU31">
        <v>9.3283052284719901</v>
      </c>
      <c r="CV31">
        <v>133.74496655943221</v>
      </c>
      <c r="CW31">
        <v>-35.267661602756903</v>
      </c>
      <c r="CX31">
        <v>5.044027127096129</v>
      </c>
      <c r="CY31">
        <v>-7.5237223026974789</v>
      </c>
      <c r="CZ31">
        <v>-61.744856721097122</v>
      </c>
      <c r="DA31">
        <v>111.88432312724706</v>
      </c>
      <c r="DB31">
        <v>98.844555116016977</v>
      </c>
      <c r="DC31">
        <v>29.285949906291364</v>
      </c>
      <c r="DD31">
        <v>44.554097566905511</v>
      </c>
      <c r="DE31">
        <v>15.695594269120704</v>
      </c>
      <c r="DF31">
        <v>88.684543222711909</v>
      </c>
      <c r="DG31">
        <v>83.345665482025652</v>
      </c>
      <c r="DH31">
        <v>53.227748634306636</v>
      </c>
      <c r="DI31">
        <v>29.810326828159191</v>
      </c>
      <c r="DJ31">
        <v>95.727277543815717</v>
      </c>
      <c r="DK31">
        <v>111.53379743580126</v>
      </c>
      <c r="DL31">
        <v>44.20692447752549</v>
      </c>
      <c r="DM31">
        <v>152.05582999092451</v>
      </c>
      <c r="DN31">
        <v>71.668437432243536</v>
      </c>
      <c r="DO31">
        <v>31.595271859329529</v>
      </c>
      <c r="DP31">
        <v>10.950066946710194</v>
      </c>
      <c r="DQ31">
        <v>246.54716458082567</v>
      </c>
      <c r="DR31">
        <v>22.065396334393796</v>
      </c>
      <c r="DS31">
        <v>81.733324662929931</v>
      </c>
      <c r="DT31">
        <v>-1.6378640907513997</v>
      </c>
      <c r="DU31">
        <v>35.356313516281944</v>
      </c>
      <c r="DV31">
        <v>-14.792959586072641</v>
      </c>
      <c r="DW31">
        <v>-7.9269416606748848</v>
      </c>
      <c r="DX31">
        <v>38.484497653861354</v>
      </c>
      <c r="DY31">
        <v>14.310988076498575</v>
      </c>
      <c r="DZ31">
        <v>-46.350458951690726</v>
      </c>
      <c r="EA31">
        <v>2.8700400863614277</v>
      </c>
      <c r="EB31">
        <v>21.024950230450145</v>
      </c>
      <c r="EC31">
        <v>-3.2375317666816841</v>
      </c>
      <c r="ED31">
        <v>-8.6568563129851981</v>
      </c>
      <c r="EE31">
        <v>20.417483516186621</v>
      </c>
      <c r="EF31">
        <v>-8.0385252816420802</v>
      </c>
      <c r="EG31">
        <v>-12.44260955955292</v>
      </c>
      <c r="EH31">
        <v>-27.685244929836244</v>
      </c>
      <c r="EI31">
        <v>3008.8542165788454</v>
      </c>
    </row>
    <row r="32" spans="1:139" x14ac:dyDescent="0.25">
      <c r="A32">
        <v>30</v>
      </c>
      <c r="B32">
        <v>-63.394287134632123</v>
      </c>
      <c r="C32">
        <v>-12.637312401469387</v>
      </c>
      <c r="D32">
        <v>-3.3888232127357369</v>
      </c>
      <c r="E32">
        <v>-9.9114647874569926</v>
      </c>
      <c r="F32">
        <v>0.88260069232702143</v>
      </c>
      <c r="G32">
        <v>1.7404949805206658</v>
      </c>
      <c r="H32">
        <v>5.0759909821540532</v>
      </c>
      <c r="I32">
        <v>0.2992340086738503</v>
      </c>
      <c r="J32">
        <v>10.415302762359048</v>
      </c>
      <c r="K32">
        <v>0.61976500741954244</v>
      </c>
      <c r="L32">
        <v>7.9184088321317603</v>
      </c>
      <c r="M32">
        <v>2.558369758052919</v>
      </c>
      <c r="N32">
        <v>-11.527153091129094</v>
      </c>
      <c r="O32">
        <v>21.520899581781094</v>
      </c>
      <c r="P32">
        <v>83.224115601273937</v>
      </c>
      <c r="Q32">
        <v>-0.68197554077704581</v>
      </c>
      <c r="R32">
        <v>3.4121072053148374</v>
      </c>
      <c r="S32">
        <v>14.692314764397281</v>
      </c>
      <c r="T32">
        <v>-17.348096649987269</v>
      </c>
      <c r="U32">
        <v>1.4839390286705907</v>
      </c>
      <c r="V32">
        <v>78.801522740238397</v>
      </c>
      <c r="W32">
        <v>16.446824691989718</v>
      </c>
      <c r="X32">
        <v>8.0829957173458808</v>
      </c>
      <c r="Y32">
        <v>5.0747707947232783</v>
      </c>
      <c r="Z32">
        <v>-13.537296869772334</v>
      </c>
      <c r="AA32">
        <v>1.886694490476728</v>
      </c>
      <c r="AB32">
        <v>48.386538543107747</v>
      </c>
      <c r="AC32">
        <v>10.772758807931396</v>
      </c>
      <c r="AD32">
        <v>6.913650057561938</v>
      </c>
      <c r="AE32">
        <v>27.604055298711714</v>
      </c>
      <c r="AF32">
        <v>50.459304538493512</v>
      </c>
      <c r="AG32">
        <v>353.23740018332046</v>
      </c>
      <c r="AH32">
        <v>8.2786144511599318</v>
      </c>
      <c r="AI32">
        <v>37.658981032083247</v>
      </c>
      <c r="AJ32">
        <v>8.8841913257739051</v>
      </c>
      <c r="AK32">
        <v>47.785755271771393</v>
      </c>
      <c r="AL32">
        <v>59.454882645461282</v>
      </c>
      <c r="AM32">
        <v>12.937289941059838</v>
      </c>
      <c r="AN32">
        <v>-1.7971343275867433</v>
      </c>
      <c r="AO32">
        <v>15.325671276758271</v>
      </c>
      <c r="AP32">
        <v>19.187668731338519</v>
      </c>
      <c r="AQ32">
        <v>2.5929131620223576</v>
      </c>
      <c r="AR32">
        <v>58.692959422229336</v>
      </c>
      <c r="AS32">
        <v>144.56478351404479</v>
      </c>
      <c r="AT32">
        <v>-39.276959969127759</v>
      </c>
      <c r="AU32">
        <v>-41.514714606605708</v>
      </c>
      <c r="AV32">
        <v>25.947674019107922</v>
      </c>
      <c r="AW32">
        <v>307.10551579633534</v>
      </c>
      <c r="AX32">
        <v>261.73938424454354</v>
      </c>
      <c r="AY32">
        <v>7.5266731716614563</v>
      </c>
      <c r="AZ32">
        <v>9.1121646714079425</v>
      </c>
      <c r="BA32">
        <v>553.82155098144904</v>
      </c>
      <c r="BB32">
        <v>-2.4542789348715068</v>
      </c>
      <c r="BC32">
        <v>27.513829845441762</v>
      </c>
      <c r="BD32">
        <v>117.39466026627514</v>
      </c>
      <c r="BE32">
        <v>5.4690554474972828</v>
      </c>
      <c r="BF32">
        <v>-21.400405873998722</v>
      </c>
      <c r="BG32">
        <v>39.117554021080934</v>
      </c>
      <c r="BH32">
        <v>1.9157752747662471</v>
      </c>
      <c r="BI32">
        <v>6.1527178995984286</v>
      </c>
      <c r="BJ32">
        <v>-5.8562349368256719</v>
      </c>
      <c r="BK32">
        <v>-14.30342537914936</v>
      </c>
      <c r="BL32">
        <v>-9.6755402382252385</v>
      </c>
      <c r="BM32">
        <v>-3.435184265897874</v>
      </c>
      <c r="BN32">
        <v>7.0269422108566317</v>
      </c>
      <c r="BO32">
        <v>-9.6681314781940699</v>
      </c>
      <c r="BP32">
        <v>7.123344961576322</v>
      </c>
      <c r="BQ32">
        <v>-22.202581121233891</v>
      </c>
      <c r="BR32">
        <v>4.9603686875143467</v>
      </c>
      <c r="BS32">
        <v>-33.146155657971235</v>
      </c>
      <c r="BT32">
        <v>-47.559618247278252</v>
      </c>
      <c r="BU32">
        <v>-153.74138540910258</v>
      </c>
      <c r="BV32">
        <v>-20.798901121462535</v>
      </c>
      <c r="BW32">
        <v>-30.713474938595709</v>
      </c>
      <c r="BX32">
        <v>7.511691517038571</v>
      </c>
      <c r="BY32">
        <v>-27.908359332334385</v>
      </c>
      <c r="BZ32">
        <v>-6.9941543080410611</v>
      </c>
      <c r="CA32">
        <v>-11.759864082178609</v>
      </c>
      <c r="CB32">
        <v>5.8102085373517554</v>
      </c>
      <c r="CC32">
        <v>42.529460599174854</v>
      </c>
      <c r="CD32">
        <v>15.099411721343756</v>
      </c>
      <c r="CE32">
        <v>33.87813348523764</v>
      </c>
      <c r="CF32">
        <v>32.623357442392262</v>
      </c>
      <c r="CG32">
        <v>610.80387600795257</v>
      </c>
      <c r="CH32">
        <v>-186.90285045110227</v>
      </c>
      <c r="CI32">
        <v>-422.44048735583522</v>
      </c>
      <c r="CJ32">
        <v>-137.75308607139391</v>
      </c>
      <c r="CK32">
        <v>-164.4658060341302</v>
      </c>
      <c r="CL32">
        <v>-173.61735343002499</v>
      </c>
      <c r="CM32">
        <v>-104.73660887591495</v>
      </c>
      <c r="CN32">
        <v>-128.18873456847723</v>
      </c>
      <c r="CO32">
        <v>-59.646331081148759</v>
      </c>
      <c r="CP32">
        <v>-3.8876473201467832</v>
      </c>
      <c r="CQ32">
        <v>-105.93640337429186</v>
      </c>
      <c r="CR32">
        <v>44.567206349362834</v>
      </c>
      <c r="CS32">
        <v>29.019133755098665</v>
      </c>
      <c r="CT32">
        <v>-25.041078390244138</v>
      </c>
      <c r="CU32">
        <v>8.362261352613416</v>
      </c>
      <c r="CV32">
        <v>-0.64376040843126248</v>
      </c>
      <c r="CW32">
        <v>-30.325276003735212</v>
      </c>
      <c r="CX32">
        <v>5.3139643323917909</v>
      </c>
      <c r="CY32">
        <v>-8.9562685020630397</v>
      </c>
      <c r="CZ32">
        <v>-59.441414732738238</v>
      </c>
      <c r="DA32">
        <v>109.93550489529747</v>
      </c>
      <c r="DB32">
        <v>97.569412913669794</v>
      </c>
      <c r="DC32">
        <v>29.059844208604488</v>
      </c>
      <c r="DD32">
        <v>44.015310868120778</v>
      </c>
      <c r="DE32">
        <v>15.792612407560739</v>
      </c>
      <c r="DF32">
        <v>70.505423674174835</v>
      </c>
      <c r="DG32">
        <v>76.207346067201911</v>
      </c>
      <c r="DH32">
        <v>49.590955427242307</v>
      </c>
      <c r="DI32">
        <v>27.345059939295936</v>
      </c>
      <c r="DJ32">
        <v>89.351520094097168</v>
      </c>
      <c r="DK32">
        <v>104.47777662286353</v>
      </c>
      <c r="DL32">
        <v>41.933759210325888</v>
      </c>
      <c r="DM32">
        <v>145.5218280328113</v>
      </c>
      <c r="DN32">
        <v>63.388275465684274</v>
      </c>
      <c r="DO32">
        <v>30.802588223184898</v>
      </c>
      <c r="DP32">
        <v>21.158179895882085</v>
      </c>
      <c r="DQ32">
        <v>224.07334639514283</v>
      </c>
      <c r="DR32">
        <v>19.988677319604392</v>
      </c>
      <c r="DS32">
        <v>79.170341988623136</v>
      </c>
      <c r="DT32">
        <v>-1.7527180201890005</v>
      </c>
      <c r="DU32">
        <v>33.916336011259546</v>
      </c>
      <c r="DV32">
        <v>-13.77225679945002</v>
      </c>
      <c r="DW32">
        <v>-5.6648820350285689</v>
      </c>
      <c r="DX32">
        <v>36.472429787587885</v>
      </c>
      <c r="DY32">
        <v>13.790370892159544</v>
      </c>
      <c r="DZ32">
        <v>-42.460602900109848</v>
      </c>
      <c r="EA32">
        <v>0.60459917954017328</v>
      </c>
      <c r="EB32">
        <v>20.988339120839214</v>
      </c>
      <c r="EC32">
        <v>-3.0872483898937304</v>
      </c>
      <c r="ED32">
        <v>-8.4727107878465802</v>
      </c>
      <c r="EE32">
        <v>26.045137365551909</v>
      </c>
      <c r="EF32">
        <v>-5.6695444641047175</v>
      </c>
      <c r="EG32">
        <v>-7.1570089553399612</v>
      </c>
      <c r="EH32">
        <v>-34.252400143238219</v>
      </c>
      <c r="EI32">
        <v>2495.1192694365564</v>
      </c>
    </row>
    <row r="33" spans="1:139" x14ac:dyDescent="0.25">
      <c r="A33">
        <v>31</v>
      </c>
      <c r="B33">
        <v>-64.858651291198385</v>
      </c>
      <c r="C33">
        <v>-12.615945800518944</v>
      </c>
      <c r="D33">
        <v>-3.205906463494717</v>
      </c>
      <c r="E33">
        <v>-9.9652005633490717</v>
      </c>
      <c r="F33">
        <v>0.89577128984438392</v>
      </c>
      <c r="G33">
        <v>1.7535254190881682</v>
      </c>
      <c r="H33">
        <v>-5.7469127319541258</v>
      </c>
      <c r="I33">
        <v>0.30190551761885054</v>
      </c>
      <c r="J33">
        <v>10.076625349211703</v>
      </c>
      <c r="K33">
        <v>0.59408782769893786</v>
      </c>
      <c r="L33">
        <v>7.0445999438949229</v>
      </c>
      <c r="M33">
        <v>2.4672389706211275</v>
      </c>
      <c r="N33">
        <v>-18.615225586346469</v>
      </c>
      <c r="O33">
        <v>19.899233890611896</v>
      </c>
      <c r="P33">
        <v>83.348918601792491</v>
      </c>
      <c r="Q33">
        <v>-3.882087476983429</v>
      </c>
      <c r="R33">
        <v>3.4041425381871835</v>
      </c>
      <c r="S33">
        <v>13.308661651752516</v>
      </c>
      <c r="T33">
        <v>-17.862819400232098</v>
      </c>
      <c r="U33">
        <v>1.6126905034983849</v>
      </c>
      <c r="V33">
        <v>72.020775047554139</v>
      </c>
      <c r="W33">
        <v>14.161787029983429</v>
      </c>
      <c r="X33">
        <v>7.441732971556533</v>
      </c>
      <c r="Y33">
        <v>5.1331699685683105</v>
      </c>
      <c r="Z33">
        <v>-12.778836957456207</v>
      </c>
      <c r="AA33">
        <v>1.5808667267217515</v>
      </c>
      <c r="AB33">
        <v>46.634434021478285</v>
      </c>
      <c r="AC33">
        <v>10.725093994170564</v>
      </c>
      <c r="AD33">
        <v>6.6553338829645554</v>
      </c>
      <c r="AE33">
        <v>27.412075226488369</v>
      </c>
      <c r="AF33">
        <v>48.971808144189723</v>
      </c>
      <c r="AG33">
        <v>335.53948600168451</v>
      </c>
      <c r="AH33">
        <v>8.0484053472009123</v>
      </c>
      <c r="AI33">
        <v>36.446298142388287</v>
      </c>
      <c r="AJ33">
        <v>8.6664893202922499</v>
      </c>
      <c r="AK33">
        <v>46.697374219544002</v>
      </c>
      <c r="AL33">
        <v>56.919080596722978</v>
      </c>
      <c r="AM33">
        <v>12.549177385035712</v>
      </c>
      <c r="AN33">
        <v>-1.8194792576182195</v>
      </c>
      <c r="AO33">
        <v>7.2869574311466181</v>
      </c>
      <c r="AP33">
        <v>18.792955247408287</v>
      </c>
      <c r="AQ33">
        <v>2.4820082245602624</v>
      </c>
      <c r="AR33">
        <v>57.177504615372442</v>
      </c>
      <c r="AS33">
        <v>134.92742880646114</v>
      </c>
      <c r="AT33">
        <v>-40.411458185795283</v>
      </c>
      <c r="AU33">
        <v>-38.635130186718413</v>
      </c>
      <c r="AV33">
        <v>22.428925276458131</v>
      </c>
      <c r="AW33">
        <v>285.82888126303504</v>
      </c>
      <c r="AX33">
        <v>234.19664049632001</v>
      </c>
      <c r="AY33">
        <v>7.5576230884800131</v>
      </c>
      <c r="AZ33">
        <v>8.8499012425785111</v>
      </c>
      <c r="BA33">
        <v>508.3955649987073</v>
      </c>
      <c r="BB33">
        <v>-2.8440581512842442</v>
      </c>
      <c r="BC33">
        <v>26.233136109284956</v>
      </c>
      <c r="BD33">
        <v>110.82951664996887</v>
      </c>
      <c r="BE33">
        <v>5.9389531357836063</v>
      </c>
      <c r="BF33">
        <v>-16.419218643092037</v>
      </c>
      <c r="BG33">
        <v>36.054216675167538</v>
      </c>
      <c r="BH33">
        <v>1.5160311609415658</v>
      </c>
      <c r="BI33">
        <v>-16.030438050908288</v>
      </c>
      <c r="BJ33">
        <v>-7.920438165512337</v>
      </c>
      <c r="BK33">
        <v>-15.213289724127947</v>
      </c>
      <c r="BL33">
        <v>-7.7266841378863376</v>
      </c>
      <c r="BM33">
        <v>-4.9143707654314994</v>
      </c>
      <c r="BN33">
        <v>7.3747098169302845</v>
      </c>
      <c r="BO33">
        <v>-9.6758693993579925</v>
      </c>
      <c r="BP33">
        <v>18.610076446137555</v>
      </c>
      <c r="BQ33">
        <v>-22.153243688127745</v>
      </c>
      <c r="BR33">
        <v>-37.200072775723129</v>
      </c>
      <c r="BS33">
        <v>-37.4900871973677</v>
      </c>
      <c r="BT33">
        <v>-46.531329265546901</v>
      </c>
      <c r="BU33">
        <v>-126.07807459954995</v>
      </c>
      <c r="BV33">
        <v>-20.676890482524442</v>
      </c>
      <c r="BW33">
        <v>-31.062881782240424</v>
      </c>
      <c r="BX33">
        <v>7.2588348901849997</v>
      </c>
      <c r="BY33">
        <v>-25.922145167385253</v>
      </c>
      <c r="BZ33">
        <v>-20.15283872702571</v>
      </c>
      <c r="CA33">
        <v>-11.436532217044117</v>
      </c>
      <c r="CB33">
        <v>5.600645612804513</v>
      </c>
      <c r="CC33">
        <v>39.663684521444168</v>
      </c>
      <c r="CD33">
        <v>12.939640147516656</v>
      </c>
      <c r="CE33">
        <v>31.345815058044252</v>
      </c>
      <c r="CF33">
        <v>27.099979316520148</v>
      </c>
      <c r="CG33">
        <v>554.73386780802593</v>
      </c>
      <c r="CH33">
        <v>-178.26378561072011</v>
      </c>
      <c r="CI33">
        <v>-392.99213097661948</v>
      </c>
      <c r="CJ33">
        <v>-128.48572099738078</v>
      </c>
      <c r="CK33">
        <v>-158.22637941386779</v>
      </c>
      <c r="CL33">
        <v>-166.17323021596849</v>
      </c>
      <c r="CM33">
        <v>-104.0404110714129</v>
      </c>
      <c r="CN33">
        <v>-133.42344694300709</v>
      </c>
      <c r="CO33">
        <v>-56.956407812180601</v>
      </c>
      <c r="CP33">
        <v>-3.2202674121466259</v>
      </c>
      <c r="CQ33">
        <v>-101.54422026793439</v>
      </c>
      <c r="CR33">
        <v>41.210765038548629</v>
      </c>
      <c r="CS33">
        <v>14.203072540571611</v>
      </c>
      <c r="CT33">
        <v>-36.693497007914857</v>
      </c>
      <c r="CU33">
        <v>7.4507041205014843</v>
      </c>
      <c r="CV33">
        <v>-132.75763199256471</v>
      </c>
      <c r="CW33">
        <v>-25.338698614338341</v>
      </c>
      <c r="CX33">
        <v>5.6430344853425822</v>
      </c>
      <c r="CY33">
        <v>-10.138010250486332</v>
      </c>
      <c r="CZ33">
        <v>-56.228726497992604</v>
      </c>
      <c r="DA33">
        <v>107.79216826231618</v>
      </c>
      <c r="DB33">
        <v>96.143689139959406</v>
      </c>
      <c r="DC33">
        <v>28.747789207091046</v>
      </c>
      <c r="DD33">
        <v>43.230483826034984</v>
      </c>
      <c r="DE33">
        <v>15.830500522048311</v>
      </c>
      <c r="DF33">
        <v>52.764071242537284</v>
      </c>
      <c r="DG33">
        <v>69.136725160683113</v>
      </c>
      <c r="DH33">
        <v>44.329827935225467</v>
      </c>
      <c r="DI33">
        <v>24.881390730098943</v>
      </c>
      <c r="DJ33">
        <v>82.076363125772104</v>
      </c>
      <c r="DK33">
        <v>97.82794353350846</v>
      </c>
      <c r="DL33">
        <v>39.695214353764527</v>
      </c>
      <c r="DM33">
        <v>138.94546172219202</v>
      </c>
      <c r="DN33">
        <v>53.51240199560948</v>
      </c>
      <c r="DO33">
        <v>29.864951510330002</v>
      </c>
      <c r="DP33">
        <v>27.935549251547684</v>
      </c>
      <c r="DQ33">
        <v>202.61553797140914</v>
      </c>
      <c r="DR33">
        <v>17.539853713860737</v>
      </c>
      <c r="DS33">
        <v>76.172692254700792</v>
      </c>
      <c r="DT33">
        <v>-1.810928293049777</v>
      </c>
      <c r="DU33">
        <v>32.437816817436101</v>
      </c>
      <c r="DV33">
        <v>-12.846049588296637</v>
      </c>
      <c r="DW33">
        <v>-3.3137126763467961</v>
      </c>
      <c r="DX33">
        <v>34.810541261290609</v>
      </c>
      <c r="DY33">
        <v>13.32922368065492</v>
      </c>
      <c r="DZ33">
        <v>-38.511930830770126</v>
      </c>
      <c r="EA33">
        <v>-1.4908424182405042</v>
      </c>
      <c r="EB33">
        <v>20.582555949490711</v>
      </c>
      <c r="EC33">
        <v>-2.9225837307506808</v>
      </c>
      <c r="ED33">
        <v>-8.2441104312778748</v>
      </c>
      <c r="EE33">
        <v>31.502878378308196</v>
      </c>
      <c r="EF33">
        <v>-3.2716232301499417</v>
      </c>
      <c r="EG33">
        <v>-2.9056782540918675</v>
      </c>
      <c r="EH33">
        <v>-40.662617674094236</v>
      </c>
      <c r="EI33">
        <v>2023.3387362470771</v>
      </c>
    </row>
    <row r="34" spans="1:139" x14ac:dyDescent="0.25">
      <c r="A34">
        <v>32</v>
      </c>
      <c r="B34">
        <v>-66.619762344892706</v>
      </c>
      <c r="C34">
        <v>-12.92110502769998</v>
      </c>
      <c r="D34">
        <v>-3.014526592742456</v>
      </c>
      <c r="E34">
        <v>-10.038273148063837</v>
      </c>
      <c r="F34">
        <v>0.89699791279996199</v>
      </c>
      <c r="G34">
        <v>1.7618812867476648</v>
      </c>
      <c r="H34">
        <v>-17.118490432446151</v>
      </c>
      <c r="I34">
        <v>0.2934389931646102</v>
      </c>
      <c r="J34">
        <v>9.7922440192400657</v>
      </c>
      <c r="K34">
        <v>0.56665408764740999</v>
      </c>
      <c r="L34">
        <v>6.2927819272705534</v>
      </c>
      <c r="M34">
        <v>2.3608647597801964</v>
      </c>
      <c r="N34">
        <v>-25.493935824659616</v>
      </c>
      <c r="O34">
        <v>18.259383624276467</v>
      </c>
      <c r="P34">
        <v>83.015393307074874</v>
      </c>
      <c r="Q34">
        <v>-6.7936322553587161</v>
      </c>
      <c r="R34">
        <v>3.3843315642600342</v>
      </c>
      <c r="S34">
        <v>12.061598365678407</v>
      </c>
      <c r="T34">
        <v>-18.503752629592185</v>
      </c>
      <c r="U34">
        <v>1.401906004691341</v>
      </c>
      <c r="V34">
        <v>65.768181047480994</v>
      </c>
      <c r="W34">
        <v>11.973460480543707</v>
      </c>
      <c r="X34">
        <v>6.8144997486139687</v>
      </c>
      <c r="Y34">
        <v>4.961317962808522</v>
      </c>
      <c r="Z34">
        <v>-12.45964068586558</v>
      </c>
      <c r="AA34">
        <v>1.3134058874406946</v>
      </c>
      <c r="AB34">
        <v>44.92261572911957</v>
      </c>
      <c r="AC34">
        <v>10.548573481231514</v>
      </c>
      <c r="AD34">
        <v>6.301340151479593</v>
      </c>
      <c r="AE34">
        <v>27.201402585228692</v>
      </c>
      <c r="AF34">
        <v>47.499938924009527</v>
      </c>
      <c r="AG34">
        <v>319.61451367545806</v>
      </c>
      <c r="AH34">
        <v>7.7951364263308633</v>
      </c>
      <c r="AI34">
        <v>35.941942298118086</v>
      </c>
      <c r="AJ34">
        <v>8.4149618900038732</v>
      </c>
      <c r="AK34">
        <v>45.573394420712361</v>
      </c>
      <c r="AL34">
        <v>54.82802102683624</v>
      </c>
      <c r="AM34">
        <v>12.174214955226283</v>
      </c>
      <c r="AN34">
        <v>-1.8517176591518201</v>
      </c>
      <c r="AO34">
        <v>0.34811029984689412</v>
      </c>
      <c r="AP34">
        <v>18.373378039582896</v>
      </c>
      <c r="AQ34">
        <v>2.3688617400358645</v>
      </c>
      <c r="AR34">
        <v>55.727103121421209</v>
      </c>
      <c r="AS34">
        <v>126.92197948721935</v>
      </c>
      <c r="AT34">
        <v>-41.517296827708606</v>
      </c>
      <c r="AU34">
        <v>-37.239352429451515</v>
      </c>
      <c r="AV34">
        <v>19.12614617297686</v>
      </c>
      <c r="AW34">
        <v>267.99991250912262</v>
      </c>
      <c r="AX34">
        <v>208.10234629222577</v>
      </c>
      <c r="AY34">
        <v>7.5874380436278495</v>
      </c>
      <c r="AZ34">
        <v>8.5866485449656249</v>
      </c>
      <c r="BA34">
        <v>469.38524023651007</v>
      </c>
      <c r="BB34">
        <v>-3.2149322969448377</v>
      </c>
      <c r="BC34">
        <v>25.144852953287128</v>
      </c>
      <c r="BD34">
        <v>104.57851035818635</v>
      </c>
      <c r="BE34">
        <v>5.7395968501394634</v>
      </c>
      <c r="BF34">
        <v>-12.929865349050033</v>
      </c>
      <c r="BG34">
        <v>32.754349658057379</v>
      </c>
      <c r="BH34">
        <v>0.9493643132979912</v>
      </c>
      <c r="BI34">
        <v>-37.903227602505012</v>
      </c>
      <c r="BJ34">
        <v>-10.173966200889708</v>
      </c>
      <c r="BK34">
        <v>-17.105154080058298</v>
      </c>
      <c r="BL34">
        <v>-6.615504938378109</v>
      </c>
      <c r="BM34">
        <v>-6.3020824913024285</v>
      </c>
      <c r="BN34">
        <v>7.9406906008084235</v>
      </c>
      <c r="BO34">
        <v>-9.6434390912026089</v>
      </c>
      <c r="BP34">
        <v>22.980961830953447</v>
      </c>
      <c r="BQ34">
        <v>-22.192910975023707</v>
      </c>
      <c r="BR34">
        <v>-82.52994734143158</v>
      </c>
      <c r="BS34">
        <v>-41.984710508231501</v>
      </c>
      <c r="BT34">
        <v>-46.7733710282929</v>
      </c>
      <c r="BU34">
        <v>-106.60164348601415</v>
      </c>
      <c r="BV34">
        <v>-20.562505956553622</v>
      </c>
      <c r="BW34">
        <v>-31.848744083009706</v>
      </c>
      <c r="BX34">
        <v>6.6416612368306858</v>
      </c>
      <c r="BY34">
        <v>-25.807373330940209</v>
      </c>
      <c r="BZ34">
        <v>-32.878852610403328</v>
      </c>
      <c r="CA34">
        <v>-11.197842058712411</v>
      </c>
      <c r="CB34">
        <v>5.366236691422543</v>
      </c>
      <c r="CC34">
        <v>36.267151658572743</v>
      </c>
      <c r="CD34">
        <v>10.921288024483601</v>
      </c>
      <c r="CE34">
        <v>29.109038418870455</v>
      </c>
      <c r="CF34">
        <v>21.642675486483313</v>
      </c>
      <c r="CG34">
        <v>500.93403735666379</v>
      </c>
      <c r="CH34">
        <v>-174.47877888416508</v>
      </c>
      <c r="CI34">
        <v>-369.69475480249662</v>
      </c>
      <c r="CJ34">
        <v>-122.79006144317179</v>
      </c>
      <c r="CK34">
        <v>-153.83701048629223</v>
      </c>
      <c r="CL34">
        <v>-157.5929672779522</v>
      </c>
      <c r="CM34">
        <v>-104.85611682039939</v>
      </c>
      <c r="CN34">
        <v>-143.54629472566512</v>
      </c>
      <c r="CO34">
        <v>-55.783637265035281</v>
      </c>
      <c r="CP34">
        <v>-3.0736893660120472</v>
      </c>
      <c r="CQ34">
        <v>-97.594521790731989</v>
      </c>
      <c r="CR34">
        <v>37.980194410239505</v>
      </c>
      <c r="CS34">
        <v>-2.5297933566507709</v>
      </c>
      <c r="CT34">
        <v>-48.384870425347344</v>
      </c>
      <c r="CU34">
        <v>6.6552608339491286</v>
      </c>
      <c r="CV34">
        <v>-272.1189851384479</v>
      </c>
      <c r="CW34">
        <v>-22.959476335681757</v>
      </c>
      <c r="CX34">
        <v>5.7447053445502547</v>
      </c>
      <c r="CY34">
        <v>-13.71591262901029</v>
      </c>
      <c r="CZ34">
        <v>-53.194836646946534</v>
      </c>
      <c r="DA34">
        <v>105.18008268539262</v>
      </c>
      <c r="DB34">
        <v>93.444529970395592</v>
      </c>
      <c r="DC34">
        <v>28.023202180886699</v>
      </c>
      <c r="DD34">
        <v>42.099019229013919</v>
      </c>
      <c r="DE34">
        <v>15.681496168185546</v>
      </c>
      <c r="DF34">
        <v>32.071864875619667</v>
      </c>
      <c r="DG34">
        <v>61.931224452404649</v>
      </c>
      <c r="DH34">
        <v>36.692646263361439</v>
      </c>
      <c r="DI34">
        <v>22.561344462732677</v>
      </c>
      <c r="DJ34">
        <v>72.227673457964556</v>
      </c>
      <c r="DK34">
        <v>90.755684930213874</v>
      </c>
      <c r="DL34">
        <v>36.596782514052052</v>
      </c>
      <c r="DM34">
        <v>131.09914316406821</v>
      </c>
      <c r="DN34">
        <v>43.141036964250816</v>
      </c>
      <c r="DO34">
        <v>28.594998889188076</v>
      </c>
      <c r="DP34">
        <v>30.242610724415329</v>
      </c>
      <c r="DQ34">
        <v>178.4633216255379</v>
      </c>
      <c r="DR34">
        <v>14.985757926734749</v>
      </c>
      <c r="DS34">
        <v>72.872780918681201</v>
      </c>
      <c r="DT34">
        <v>-1.9194950473908463</v>
      </c>
      <c r="DU34">
        <v>30.355559610955879</v>
      </c>
      <c r="DV34">
        <v>-12.78125561156611</v>
      </c>
      <c r="DW34">
        <v>-2.1521210975965346</v>
      </c>
      <c r="DX34">
        <v>32.548552435038687</v>
      </c>
      <c r="DY34">
        <v>12.802578885453528</v>
      </c>
      <c r="DZ34">
        <v>-35.42614723463825</v>
      </c>
      <c r="EA34">
        <v>-3.947216776245341</v>
      </c>
      <c r="EB34">
        <v>19.672904250624924</v>
      </c>
      <c r="EC34">
        <v>-2.8399446663506893</v>
      </c>
      <c r="ED34">
        <v>-8.1878893858402364</v>
      </c>
      <c r="EE34">
        <v>32.561550010396786</v>
      </c>
      <c r="EF34">
        <v>-1.8545923615868674</v>
      </c>
      <c r="EG34">
        <v>-1.4807560153230952</v>
      </c>
      <c r="EH34">
        <v>-47.966871623571478</v>
      </c>
      <c r="EI34">
        <v>1467.6729271524819</v>
      </c>
    </row>
    <row r="35" spans="1:139" x14ac:dyDescent="0.25">
      <c r="A35">
        <v>33</v>
      </c>
      <c r="B35">
        <v>-68.759345701867005</v>
      </c>
      <c r="C35">
        <v>-13.902236403417362</v>
      </c>
      <c r="D35">
        <v>-2.8739267807626234</v>
      </c>
      <c r="E35">
        <v>-10.363468003094937</v>
      </c>
      <c r="F35">
        <v>0.89718735192269228</v>
      </c>
      <c r="G35">
        <v>1.7635726818130015</v>
      </c>
      <c r="H35">
        <v>-29.476313821369104</v>
      </c>
      <c r="I35">
        <v>0.28030054216391331</v>
      </c>
      <c r="J35">
        <v>9.4308080546231992</v>
      </c>
      <c r="K35">
        <v>0.53266348609264647</v>
      </c>
      <c r="L35">
        <v>5.5168749190337678</v>
      </c>
      <c r="M35">
        <v>2.2162983060780368</v>
      </c>
      <c r="N35">
        <v>-33.025715413534158</v>
      </c>
      <c r="O35">
        <v>16.46253021635269</v>
      </c>
      <c r="P35">
        <v>81.960342532397647</v>
      </c>
      <c r="Q35">
        <v>-10.398925717504369</v>
      </c>
      <c r="R35">
        <v>3.3443570181563489</v>
      </c>
      <c r="S35">
        <v>10.687944742014423</v>
      </c>
      <c r="T35">
        <v>-19.391547515003225</v>
      </c>
      <c r="U35">
        <v>0.80639206338040026</v>
      </c>
      <c r="V35">
        <v>59.325514790838611</v>
      </c>
      <c r="W35">
        <v>9.7235467438153194</v>
      </c>
      <c r="X35">
        <v>6.1839388024490631</v>
      </c>
      <c r="Y35">
        <v>4.400914286241445</v>
      </c>
      <c r="Z35">
        <v>-12.571440137515154</v>
      </c>
      <c r="AA35">
        <v>1.0224149843799353</v>
      </c>
      <c r="AB35">
        <v>42.669400510532626</v>
      </c>
      <c r="AC35">
        <v>10.262899101748928</v>
      </c>
      <c r="AD35">
        <v>5.8866016203478964</v>
      </c>
      <c r="AE35">
        <v>26.890332126820923</v>
      </c>
      <c r="AF35">
        <v>45.855603539777434</v>
      </c>
      <c r="AG35">
        <v>302.11721149135838</v>
      </c>
      <c r="AH35">
        <v>7.5198431173199864</v>
      </c>
      <c r="AI35">
        <v>35.845899681291954</v>
      </c>
      <c r="AJ35">
        <v>8.0986159769840498</v>
      </c>
      <c r="AK35">
        <v>44.339593973549881</v>
      </c>
      <c r="AL35">
        <v>52.989955732813996</v>
      </c>
      <c r="AM35">
        <v>11.779235383899973</v>
      </c>
      <c r="AN35">
        <v>-1.8925095388054984</v>
      </c>
      <c r="AO35">
        <v>-6.5588753335842966</v>
      </c>
      <c r="AP35">
        <v>17.891733564961427</v>
      </c>
      <c r="AQ35">
        <v>2.2605870998541828</v>
      </c>
      <c r="AR35">
        <v>54.158998175964555</v>
      </c>
      <c r="AS35">
        <v>119.60489493182968</v>
      </c>
      <c r="AT35">
        <v>-42.550454239904511</v>
      </c>
      <c r="AU35">
        <v>-36.935279923249652</v>
      </c>
      <c r="AV35">
        <v>15.792231005301915</v>
      </c>
      <c r="AW35">
        <v>252.09508015696153</v>
      </c>
      <c r="AX35">
        <v>180.28808958920035</v>
      </c>
      <c r="AY35">
        <v>7.5952557166918275</v>
      </c>
      <c r="AZ35">
        <v>8.3902849264111641</v>
      </c>
      <c r="BA35">
        <v>432.56783515702989</v>
      </c>
      <c r="BB35">
        <v>-3.5584289492844583</v>
      </c>
      <c r="BC35">
        <v>24.028937225017401</v>
      </c>
      <c r="BD35">
        <v>98.204526163536684</v>
      </c>
      <c r="BE35">
        <v>5.0141497080167312</v>
      </c>
      <c r="BF35">
        <v>-11.038632433784954</v>
      </c>
      <c r="BG35">
        <v>28.961169216964265</v>
      </c>
      <c r="BH35">
        <v>0.23504973063327839</v>
      </c>
      <c r="BI35">
        <v>-60.51382183304213</v>
      </c>
      <c r="BJ35">
        <v>-12.751042480390595</v>
      </c>
      <c r="BK35">
        <v>-20.116035713457791</v>
      </c>
      <c r="BL35">
        <v>-6.6035336268570859</v>
      </c>
      <c r="BM35">
        <v>-8.1066027650988985</v>
      </c>
      <c r="BN35">
        <v>8.3701872112539277</v>
      </c>
      <c r="BO35">
        <v>-9.7576623474538806</v>
      </c>
      <c r="BP35">
        <v>18.848849639360424</v>
      </c>
      <c r="BQ35">
        <v>-22.502427989664298</v>
      </c>
      <c r="BR35">
        <v>-133.51091546097996</v>
      </c>
      <c r="BS35">
        <v>-47.22811932673136</v>
      </c>
      <c r="BT35">
        <v>-49.017425357253728</v>
      </c>
      <c r="BU35">
        <v>-101.80976298977214</v>
      </c>
      <c r="BV35">
        <v>-21.002135682254789</v>
      </c>
      <c r="BW35">
        <v>-34.15622102941802</v>
      </c>
      <c r="BX35">
        <v>5.665542023590092</v>
      </c>
      <c r="BY35">
        <v>-27.242350994594233</v>
      </c>
      <c r="BZ35">
        <v>-46.184786413522033</v>
      </c>
      <c r="CA35">
        <v>-11.41705855031725</v>
      </c>
      <c r="CB35">
        <v>4.9833473303622782</v>
      </c>
      <c r="CC35">
        <v>31.926562511480824</v>
      </c>
      <c r="CD35">
        <v>8.7224090997882229</v>
      </c>
      <c r="CE35">
        <v>26.786032253941698</v>
      </c>
      <c r="CF35">
        <v>15.629328392405228</v>
      </c>
      <c r="CG35">
        <v>439.6196510679747</v>
      </c>
      <c r="CH35">
        <v>-177.86326948899716</v>
      </c>
      <c r="CI35">
        <v>-358.94075626682547</v>
      </c>
      <c r="CJ35">
        <v>-122.43199556608221</v>
      </c>
      <c r="CK35">
        <v>-154.44127460014238</v>
      </c>
      <c r="CL35">
        <v>-151.79966080926994</v>
      </c>
      <c r="CM35">
        <v>-109.18083713239321</v>
      </c>
      <c r="CN35">
        <v>-161.54329183725213</v>
      </c>
      <c r="CO35">
        <v>-57.052171174311212</v>
      </c>
      <c r="CP35">
        <v>-3.6525517613194722</v>
      </c>
      <c r="CQ35">
        <v>-95.546849496131472</v>
      </c>
      <c r="CR35">
        <v>34.454965932964285</v>
      </c>
      <c r="CS35">
        <v>-21.912494578003134</v>
      </c>
      <c r="CT35">
        <v>-61.071908318371925</v>
      </c>
      <c r="CU35">
        <v>5.7725249828431657</v>
      </c>
      <c r="CV35">
        <v>-426.17640232423582</v>
      </c>
      <c r="CW35">
        <v>-23.224083855552465</v>
      </c>
      <c r="CX35">
        <v>5.5618015592914247</v>
      </c>
      <c r="CY35">
        <v>-20.694380840417352</v>
      </c>
      <c r="CZ35">
        <v>-51.363876162135178</v>
      </c>
      <c r="DA35">
        <v>101.913699748238</v>
      </c>
      <c r="DB35">
        <v>89.345393422810844</v>
      </c>
      <c r="DC35">
        <v>26.812188131493599</v>
      </c>
      <c r="DD35">
        <v>40.746546110338173</v>
      </c>
      <c r="DE35">
        <v>15.223258292094769</v>
      </c>
      <c r="DF35">
        <v>7.811013232498226</v>
      </c>
      <c r="DG35">
        <v>54.10646223535116</v>
      </c>
      <c r="DH35">
        <v>26.862625189740356</v>
      </c>
      <c r="DI35">
        <v>20.16427700822949</v>
      </c>
      <c r="DJ35">
        <v>60.077886354258681</v>
      </c>
      <c r="DK35">
        <v>83.131467878611602</v>
      </c>
      <c r="DL35">
        <v>32.469422919016097</v>
      </c>
      <c r="DM35">
        <v>122.43834226446552</v>
      </c>
      <c r="DN35">
        <v>30.560381640605556</v>
      </c>
      <c r="DO35">
        <v>27.004205556034776</v>
      </c>
      <c r="DP35">
        <v>29.245840916814529</v>
      </c>
      <c r="DQ35">
        <v>151.52328359858166</v>
      </c>
      <c r="DR35">
        <v>12.549679976755584</v>
      </c>
      <c r="DS35">
        <v>69.112576736282335</v>
      </c>
      <c r="DT35">
        <v>-2.1154733066958116</v>
      </c>
      <c r="DU35">
        <v>27.166696306227777</v>
      </c>
      <c r="DV35">
        <v>-13.544617919596192</v>
      </c>
      <c r="DW35">
        <v>-2.3090588837606845</v>
      </c>
      <c r="DX35">
        <v>29.474620094686429</v>
      </c>
      <c r="DY35">
        <v>12.228084904453354</v>
      </c>
      <c r="DZ35">
        <v>-33.804573648182398</v>
      </c>
      <c r="EA35">
        <v>-7.6109642013578878</v>
      </c>
      <c r="EB35">
        <v>18.221752505992413</v>
      </c>
      <c r="EC35">
        <v>-2.8718173466955008</v>
      </c>
      <c r="ED35">
        <v>-8.358931443052299</v>
      </c>
      <c r="EE35">
        <v>27.420652539869934</v>
      </c>
      <c r="EF35">
        <v>-1.3977361783531137</v>
      </c>
      <c r="EG35">
        <v>-3.4371367354574431</v>
      </c>
      <c r="EH35">
        <v>-57.829075728345288</v>
      </c>
      <c r="EI35">
        <v>732.45898363885453</v>
      </c>
    </row>
    <row r="36" spans="1:139" x14ac:dyDescent="0.25">
      <c r="A36">
        <v>34</v>
      </c>
      <c r="B36">
        <v>-71.188720975601768</v>
      </c>
      <c r="C36">
        <v>-15.232124605614217</v>
      </c>
      <c r="D36">
        <v>-2.8095100927220962</v>
      </c>
      <c r="E36">
        <v>-10.795751690928768</v>
      </c>
      <c r="F36">
        <v>0.89669529324206554</v>
      </c>
      <c r="G36">
        <v>1.7613925005380073</v>
      </c>
      <c r="H36">
        <v>-41.932690028338698</v>
      </c>
      <c r="I36">
        <v>0.26301669756215329</v>
      </c>
      <c r="J36">
        <v>9.1177008955944956</v>
      </c>
      <c r="K36">
        <v>0.49958116987762313</v>
      </c>
      <c r="L36">
        <v>4.8234567592106572</v>
      </c>
      <c r="M36">
        <v>2.0568068586568362</v>
      </c>
      <c r="N36">
        <v>-40.48773611246088</v>
      </c>
      <c r="O36">
        <v>14.731119845253488</v>
      </c>
      <c r="P36">
        <v>80.426845662646201</v>
      </c>
      <c r="Q36">
        <v>-14.330866446703112</v>
      </c>
      <c r="R36">
        <v>3.2844185248149858</v>
      </c>
      <c r="S36">
        <v>9.3776342741830376</v>
      </c>
      <c r="T36">
        <v>-20.390210313172588</v>
      </c>
      <c r="U36">
        <v>-9.3503970600124831E-2</v>
      </c>
      <c r="V36">
        <v>52.890989712509963</v>
      </c>
      <c r="W36">
        <v>7.5862559631387114</v>
      </c>
      <c r="X36">
        <v>5.5546040791548705</v>
      </c>
      <c r="Y36">
        <v>3.7277968816638207</v>
      </c>
      <c r="Z36">
        <v>-12.830279719563549</v>
      </c>
      <c r="AA36">
        <v>0.70876227315536511</v>
      </c>
      <c r="AB36">
        <v>40.021271657309228</v>
      </c>
      <c r="AC36">
        <v>9.8721329066447794</v>
      </c>
      <c r="AD36">
        <v>5.4413774548048437</v>
      </c>
      <c r="AE36">
        <v>26.518891595607215</v>
      </c>
      <c r="AF36">
        <v>44.144445865886581</v>
      </c>
      <c r="AG36">
        <v>284.12621785766169</v>
      </c>
      <c r="AH36">
        <v>7.2552722823049862</v>
      </c>
      <c r="AI36">
        <v>36.010371085592723</v>
      </c>
      <c r="AJ36">
        <v>7.7830589690992298</v>
      </c>
      <c r="AK36">
        <v>42.971449368531069</v>
      </c>
      <c r="AL36">
        <v>51.306507388471687</v>
      </c>
      <c r="AM36">
        <v>11.383658643022471</v>
      </c>
      <c r="AN36">
        <v>-1.9368638624981855</v>
      </c>
      <c r="AO36">
        <v>-13.013285184368215</v>
      </c>
      <c r="AP36">
        <v>17.41865941484258</v>
      </c>
      <c r="AQ36">
        <v>2.1521225744300096</v>
      </c>
      <c r="AR36">
        <v>52.589664727189458</v>
      </c>
      <c r="AS36">
        <v>113.37654207408559</v>
      </c>
      <c r="AT36">
        <v>-43.486847442951543</v>
      </c>
      <c r="AU36">
        <v>-36.630979501860963</v>
      </c>
      <c r="AV36">
        <v>12.556315655402273</v>
      </c>
      <c r="AW36">
        <v>238.24863307704979</v>
      </c>
      <c r="AX36">
        <v>151.77757937359911</v>
      </c>
      <c r="AY36">
        <v>7.5875098858580845</v>
      </c>
      <c r="AZ36">
        <v>8.1819536763477458</v>
      </c>
      <c r="BA36">
        <v>398.20642851831434</v>
      </c>
      <c r="BB36">
        <v>-3.8790330240070823</v>
      </c>
      <c r="BC36">
        <v>22.921755469933004</v>
      </c>
      <c r="BD36">
        <v>91.762469321740127</v>
      </c>
      <c r="BE36">
        <v>4.1182030882038134</v>
      </c>
      <c r="BF36">
        <v>-10.376481050036972</v>
      </c>
      <c r="BG36">
        <v>25.067348325407181</v>
      </c>
      <c r="BH36">
        <v>-0.53958993016615864</v>
      </c>
      <c r="BI36">
        <v>-82.65381559726211</v>
      </c>
      <c r="BJ36">
        <v>-15.472968382722286</v>
      </c>
      <c r="BK36">
        <v>-23.816881974525813</v>
      </c>
      <c r="BL36">
        <v>-7.4400157428145519</v>
      </c>
      <c r="BM36">
        <v>-10.227422485677948</v>
      </c>
      <c r="BN36">
        <v>8.6416026910920465</v>
      </c>
      <c r="BO36">
        <v>-10.024060966638736</v>
      </c>
      <c r="BP36">
        <v>9.140543125411341</v>
      </c>
      <c r="BQ36">
        <v>-22.999384248323608</v>
      </c>
      <c r="BR36">
        <v>-186.46886173116854</v>
      </c>
      <c r="BS36">
        <v>-52.790073744832739</v>
      </c>
      <c r="BT36">
        <v>-52.624694110855046</v>
      </c>
      <c r="BU36">
        <v>-110.96589560145412</v>
      </c>
      <c r="BV36">
        <v>-21.965032380419956</v>
      </c>
      <c r="BW36">
        <v>-38.277242211899079</v>
      </c>
      <c r="BX36">
        <v>4.2553341192254095</v>
      </c>
      <c r="BY36">
        <v>-30.095624136127896</v>
      </c>
      <c r="BZ36">
        <v>-59.318569937585835</v>
      </c>
      <c r="CA36">
        <v>-12.021652048744755</v>
      </c>
      <c r="CB36">
        <v>4.5510731413615844</v>
      </c>
      <c r="CC36">
        <v>26.534111493916612</v>
      </c>
      <c r="CD36">
        <v>6.443702521796439</v>
      </c>
      <c r="CE36">
        <v>24.594710449222646</v>
      </c>
      <c r="CF36">
        <v>9.3780403592462562</v>
      </c>
      <c r="CG36">
        <v>374.77642746502261</v>
      </c>
      <c r="CH36">
        <v>-185.70737243281587</v>
      </c>
      <c r="CI36">
        <v>-357.87152408207578</v>
      </c>
      <c r="CJ36">
        <v>-124.84533035471998</v>
      </c>
      <c r="CK36">
        <v>-157.69336477845309</v>
      </c>
      <c r="CL36">
        <v>-149.08896294576482</v>
      </c>
      <c r="CM36">
        <v>-115.71125147448561</v>
      </c>
      <c r="CN36">
        <v>-183.88406217705324</v>
      </c>
      <c r="CO36">
        <v>-59.833122360718704</v>
      </c>
      <c r="CP36">
        <v>-4.8407813217492048</v>
      </c>
      <c r="CQ36">
        <v>-94.816900966599391</v>
      </c>
      <c r="CR36">
        <v>31.118453111108636</v>
      </c>
      <c r="CS36">
        <v>-41.852859180266933</v>
      </c>
      <c r="CT36">
        <v>-73.24300194551688</v>
      </c>
      <c r="CU36">
        <v>4.9524973322021992</v>
      </c>
      <c r="CV36">
        <v>-581.89002346213965</v>
      </c>
      <c r="CW36">
        <v>-25.295327179267247</v>
      </c>
      <c r="CX36">
        <v>5.1173916966215103</v>
      </c>
      <c r="CY36">
        <v>-29.178607050491109</v>
      </c>
      <c r="CZ36">
        <v>-50.792870553304908</v>
      </c>
      <c r="DA36">
        <v>98.363784134199193</v>
      </c>
      <c r="DB36">
        <v>84.506471037795905</v>
      </c>
      <c r="DC36">
        <v>25.3579224849517</v>
      </c>
      <c r="DD36">
        <v>39.506259021899638</v>
      </c>
      <c r="DE36">
        <v>14.614799064066645</v>
      </c>
      <c r="DF36">
        <v>-17.189160371617618</v>
      </c>
      <c r="DG36">
        <v>47.276687117328379</v>
      </c>
      <c r="DH36">
        <v>16.603494688133196</v>
      </c>
      <c r="DI36">
        <v>18.684383216549222</v>
      </c>
      <c r="DJ36">
        <v>47.987007714635183</v>
      </c>
      <c r="DK36">
        <v>75.627259540175146</v>
      </c>
      <c r="DL36">
        <v>28.151114900821995</v>
      </c>
      <c r="DM36">
        <v>113.721342282058</v>
      </c>
      <c r="DN36">
        <v>19.530361579367764</v>
      </c>
      <c r="DO36">
        <v>25.422828062367074</v>
      </c>
      <c r="DP36">
        <v>26.076802306676655</v>
      </c>
      <c r="DQ36">
        <v>124.22889533090165</v>
      </c>
      <c r="DR36">
        <v>10.536497748488955</v>
      </c>
      <c r="DS36">
        <v>65.460544459912171</v>
      </c>
      <c r="DT36">
        <v>-2.3693896729725097</v>
      </c>
      <c r="DU36">
        <v>23.642535226079531</v>
      </c>
      <c r="DV36">
        <v>-14.663006760202279</v>
      </c>
      <c r="DW36">
        <v>-3.3029066614082296</v>
      </c>
      <c r="DX36">
        <v>26.578824323594517</v>
      </c>
      <c r="DY36">
        <v>11.778938409931413</v>
      </c>
      <c r="DZ36">
        <v>-33.218527865889641</v>
      </c>
      <c r="EA36">
        <v>-11.61190517184059</v>
      </c>
      <c r="EB36">
        <v>16.955985371345832</v>
      </c>
      <c r="EC36">
        <v>-2.9899724845353148</v>
      </c>
      <c r="ED36">
        <v>-8.7116712800087015</v>
      </c>
      <c r="EE36">
        <v>19.112313202596397</v>
      </c>
      <c r="EF36">
        <v>-1.6227130509083167</v>
      </c>
      <c r="EG36">
        <v>-7.0887484436295836</v>
      </c>
      <c r="EH36">
        <v>-68.544015871999363</v>
      </c>
      <c r="EI36">
        <v>-85.23819277443647</v>
      </c>
    </row>
    <row r="37" spans="1:139" x14ac:dyDescent="0.25">
      <c r="A37">
        <v>35</v>
      </c>
      <c r="B37">
        <v>-73.946583408555625</v>
      </c>
      <c r="C37">
        <v>-17.065457590238509</v>
      </c>
      <c r="D37">
        <v>-2.8413307602277555</v>
      </c>
      <c r="E37">
        <v>-11.459247250960118</v>
      </c>
      <c r="F37">
        <v>0.88997510964675619</v>
      </c>
      <c r="G37">
        <v>1.7545076977933998</v>
      </c>
      <c r="H37">
        <v>-55.020249091182791</v>
      </c>
      <c r="I37">
        <v>0.24186411965088883</v>
      </c>
      <c r="J37">
        <v>8.7517383512008138</v>
      </c>
      <c r="K37">
        <v>0.46313430276435685</v>
      </c>
      <c r="L37">
        <v>4.0888450297335481</v>
      </c>
      <c r="M37">
        <v>1.877247876043449</v>
      </c>
      <c r="N37">
        <v>-48.428670076041612</v>
      </c>
      <c r="O37">
        <v>12.960788805209745</v>
      </c>
      <c r="P37">
        <v>78.423857236814428</v>
      </c>
      <c r="Q37">
        <v>-19.09628437982002</v>
      </c>
      <c r="R37">
        <v>3.2013935264952327</v>
      </c>
      <c r="S37">
        <v>7.9716393314905361</v>
      </c>
      <c r="T37">
        <v>-21.527756622556581</v>
      </c>
      <c r="U37">
        <v>-1.3011114059333693</v>
      </c>
      <c r="V37">
        <v>45.986443544612712</v>
      </c>
      <c r="W37">
        <v>5.4194944260914042</v>
      </c>
      <c r="X37">
        <v>4.9117481444408781</v>
      </c>
      <c r="Y37">
        <v>2.9260556875155004</v>
      </c>
      <c r="Z37">
        <v>-13.149235092377666</v>
      </c>
      <c r="AA37">
        <v>0.36791274995583478</v>
      </c>
      <c r="AB37">
        <v>36.712527973058002</v>
      </c>
      <c r="AC37">
        <v>9.4098358517529448</v>
      </c>
      <c r="AD37">
        <v>4.9809249482782647</v>
      </c>
      <c r="AE37">
        <v>25.979250864122449</v>
      </c>
      <c r="AF37">
        <v>42.359086604901961</v>
      </c>
      <c r="AG37">
        <v>265.06340399976261</v>
      </c>
      <c r="AH37">
        <v>6.9868749937147001</v>
      </c>
      <c r="AI37">
        <v>36.033515411458559</v>
      </c>
      <c r="AJ37">
        <v>7.4671246286703692</v>
      </c>
      <c r="AK37">
        <v>41.48693234891573</v>
      </c>
      <c r="AL37">
        <v>49.457144417710253</v>
      </c>
      <c r="AM37">
        <v>10.969032859808188</v>
      </c>
      <c r="AN37">
        <v>-1.9879908188867965</v>
      </c>
      <c r="AO37">
        <v>-19.581697400713722</v>
      </c>
      <c r="AP37">
        <v>16.916018711359158</v>
      </c>
      <c r="AQ37">
        <v>2.0449093522783794</v>
      </c>
      <c r="AR37">
        <v>50.839734001356561</v>
      </c>
      <c r="AS37">
        <v>107.1239964219053</v>
      </c>
      <c r="AT37">
        <v>-44.34285365157443</v>
      </c>
      <c r="AU37">
        <v>-35.862544927161935</v>
      </c>
      <c r="AV37">
        <v>9.2954221242700896</v>
      </c>
      <c r="AW37">
        <v>225.9989906235495</v>
      </c>
      <c r="AX37">
        <v>121.72831547204987</v>
      </c>
      <c r="AY37">
        <v>7.5574399088489157</v>
      </c>
      <c r="AZ37">
        <v>7.9661776443861596</v>
      </c>
      <c r="BA37">
        <v>366.13604397034374</v>
      </c>
      <c r="BB37">
        <v>-4.1711849827078069</v>
      </c>
      <c r="BC37">
        <v>21.790063417895865</v>
      </c>
      <c r="BD37">
        <v>85.221487855689247</v>
      </c>
      <c r="BE37">
        <v>2.88819095666679</v>
      </c>
      <c r="BF37">
        <v>-10.430554034022563</v>
      </c>
      <c r="BG37">
        <v>20.927323070465775</v>
      </c>
      <c r="BH37">
        <v>-1.3699610737805301</v>
      </c>
      <c r="BI37">
        <v>-105.88967278680229</v>
      </c>
      <c r="BJ37">
        <v>-18.509565556060295</v>
      </c>
      <c r="BK37">
        <v>-28.166015459340827</v>
      </c>
      <c r="BL37">
        <v>-9.0359098493963472</v>
      </c>
      <c r="BM37">
        <v>-12.961508188129187</v>
      </c>
      <c r="BN37">
        <v>8.6250985149146189</v>
      </c>
      <c r="BO37">
        <v>-10.55100911449351</v>
      </c>
      <c r="BP37">
        <v>-5.2472018068356192</v>
      </c>
      <c r="BQ37">
        <v>-23.827002048056187</v>
      </c>
      <c r="BR37">
        <v>-242.12134826728106</v>
      </c>
      <c r="BS37">
        <v>-58.798897693448225</v>
      </c>
      <c r="BT37">
        <v>-57.853881315969431</v>
      </c>
      <c r="BU37">
        <v>-130.40741259300125</v>
      </c>
      <c r="BV37">
        <v>-23.527405618746201</v>
      </c>
      <c r="BW37">
        <v>-44.440438433056556</v>
      </c>
      <c r="BX37">
        <v>2.5837582124677567</v>
      </c>
      <c r="BY37">
        <v>-33.777978136371445</v>
      </c>
      <c r="BZ37">
        <v>-73.093356920742053</v>
      </c>
      <c r="CA37">
        <v>-13.179654347905171</v>
      </c>
      <c r="CB37">
        <v>3.9582761096277039</v>
      </c>
      <c r="CC37">
        <v>20.17123714581237</v>
      </c>
      <c r="CD37">
        <v>3.9192930707462494</v>
      </c>
      <c r="CE37">
        <v>22.227771692562214</v>
      </c>
      <c r="CF37">
        <v>2.7869325679251915</v>
      </c>
      <c r="CG37">
        <v>304.35244730120758</v>
      </c>
      <c r="CH37">
        <v>-198.51996128428311</v>
      </c>
      <c r="CI37">
        <v>-369.87761291178128</v>
      </c>
      <c r="CJ37">
        <v>-130.88907670045671</v>
      </c>
      <c r="CK37">
        <v>-165.35659256019858</v>
      </c>
      <c r="CL37">
        <v>-151.59033018887948</v>
      </c>
      <c r="CM37">
        <v>-125.68696111485394</v>
      </c>
      <c r="CN37">
        <v>-211.54502421836105</v>
      </c>
      <c r="CO37">
        <v>-64.210821462500462</v>
      </c>
      <c r="CP37">
        <v>-6.5779912497351347</v>
      </c>
      <c r="CQ37">
        <v>-96.018383566840456</v>
      </c>
      <c r="CR37">
        <v>27.425328934935351</v>
      </c>
      <c r="CS37">
        <v>-62.922942414068075</v>
      </c>
      <c r="CT37">
        <v>-85.705476851627964</v>
      </c>
      <c r="CU37">
        <v>4.0684726414356192</v>
      </c>
      <c r="CV37">
        <v>-743.56796547587874</v>
      </c>
      <c r="CW37">
        <v>-29.150942056904455</v>
      </c>
      <c r="CX37">
        <v>4.4438664064220035</v>
      </c>
      <c r="CY37">
        <v>-39.812632782969786</v>
      </c>
      <c r="CZ37">
        <v>-51.682507393192765</v>
      </c>
      <c r="DA37">
        <v>94.554568768875356</v>
      </c>
      <c r="DB37">
        <v>78.927564061047065</v>
      </c>
      <c r="DC37">
        <v>23.672054538439568</v>
      </c>
      <c r="DD37">
        <v>38.329134206531279</v>
      </c>
      <c r="DE37">
        <v>13.833819946471166</v>
      </c>
      <c r="DF37">
        <v>-43.917748215902066</v>
      </c>
      <c r="DG37">
        <v>40.451655116251686</v>
      </c>
      <c r="DH37">
        <v>6.0989522213571945</v>
      </c>
      <c r="DI37">
        <v>17.397092921077501</v>
      </c>
      <c r="DJ37">
        <v>35.465475165048929</v>
      </c>
      <c r="DK37">
        <v>67.805200634785251</v>
      </c>
      <c r="DL37">
        <v>23.290029336838302</v>
      </c>
      <c r="DM37">
        <v>104.86963069709373</v>
      </c>
      <c r="DN37">
        <v>8.4746708867630787</v>
      </c>
      <c r="DO37">
        <v>23.777068054805937</v>
      </c>
      <c r="DP37">
        <v>22.363209930178868</v>
      </c>
      <c r="DQ37">
        <v>95.526896395997028</v>
      </c>
      <c r="DR37">
        <v>8.9407694636690564</v>
      </c>
      <c r="DS37">
        <v>61.903815964321552</v>
      </c>
      <c r="DT37">
        <v>-2.7090841927899518</v>
      </c>
      <c r="DU37">
        <v>19.49514783245354</v>
      </c>
      <c r="DV37">
        <v>-16.238927514804175</v>
      </c>
      <c r="DW37">
        <v>-5.2504956529499225</v>
      </c>
      <c r="DX37">
        <v>23.32427713601885</v>
      </c>
      <c r="DY37">
        <v>11.325433247497926</v>
      </c>
      <c r="DZ37">
        <v>-33.782681914603913</v>
      </c>
      <c r="EA37">
        <v>-16.4005931281215</v>
      </c>
      <c r="EB37">
        <v>15.643897380902786</v>
      </c>
      <c r="EC37">
        <v>-3.196101198195521</v>
      </c>
      <c r="ED37">
        <v>-9.2434658704233215</v>
      </c>
      <c r="EE37">
        <v>6.8049393363467061</v>
      </c>
      <c r="EF37">
        <v>-2.5274008962394419</v>
      </c>
      <c r="EG37">
        <v>-12.484659141747215</v>
      </c>
      <c r="EH37">
        <v>-80.818501583707302</v>
      </c>
      <c r="EI37">
        <v>-1022.2416520308853</v>
      </c>
    </row>
    <row r="38" spans="1:139" x14ac:dyDescent="0.25">
      <c r="A38">
        <v>36</v>
      </c>
      <c r="B38">
        <v>-76.712902194554772</v>
      </c>
      <c r="C38">
        <v>-18.963586021057381</v>
      </c>
      <c r="D38">
        <v>-2.9425344767119022</v>
      </c>
      <c r="E38">
        <v>-12.182933955846067</v>
      </c>
      <c r="F38">
        <v>0.8870137772983111</v>
      </c>
      <c r="G38">
        <v>1.7470927002193224</v>
      </c>
      <c r="H38">
        <v>-67.477206132152673</v>
      </c>
      <c r="I38">
        <v>0.22360492359366102</v>
      </c>
      <c r="J38">
        <v>8.402551975738703</v>
      </c>
      <c r="K38">
        <v>0.4292420623397506</v>
      </c>
      <c r="L38">
        <v>3.3770102883199797</v>
      </c>
      <c r="M38">
        <v>1.7002348856504454</v>
      </c>
      <c r="N38">
        <v>-56.209058941066701</v>
      </c>
      <c r="O38">
        <v>11.320891082606977</v>
      </c>
      <c r="P38">
        <v>76.357991242307293</v>
      </c>
      <c r="Q38">
        <v>-24.15184638305476</v>
      </c>
      <c r="R38">
        <v>3.1119412330024745</v>
      </c>
      <c r="S38">
        <v>6.5914721578251658</v>
      </c>
      <c r="T38">
        <v>-22.650683060745081</v>
      </c>
      <c r="U38">
        <v>-2.5371157573953269</v>
      </c>
      <c r="V38">
        <v>38.974768073326686</v>
      </c>
      <c r="W38">
        <v>3.3569639319473481</v>
      </c>
      <c r="X38">
        <v>4.2827577014707998</v>
      </c>
      <c r="Y38">
        <v>2.2136409090285412</v>
      </c>
      <c r="Z38">
        <v>-13.299601472371918</v>
      </c>
      <c r="AA38">
        <v>2.0871783074625228E-3</v>
      </c>
      <c r="AB38">
        <v>33.157734687052539</v>
      </c>
      <c r="AC38">
        <v>8.9534246607771166</v>
      </c>
      <c r="AD38">
        <v>4.5670367753016308</v>
      </c>
      <c r="AE38">
        <v>25.427926999819007</v>
      </c>
      <c r="AF38">
        <v>40.587002461282637</v>
      </c>
      <c r="AG38">
        <v>245.36988905444514</v>
      </c>
      <c r="AH38">
        <v>6.749776935214868</v>
      </c>
      <c r="AI38">
        <v>35.900453171796329</v>
      </c>
      <c r="AJ38">
        <v>7.1870148152171254</v>
      </c>
      <c r="AK38">
        <v>39.966443841031975</v>
      </c>
      <c r="AL38">
        <v>47.531885919823679</v>
      </c>
      <c r="AM38">
        <v>10.559998353526652</v>
      </c>
      <c r="AN38">
        <v>-2.035199402389857</v>
      </c>
      <c r="AO38">
        <v>-26.147916993488252</v>
      </c>
      <c r="AP38">
        <v>16.449907598248814</v>
      </c>
      <c r="AQ38">
        <v>1.9422445355622919</v>
      </c>
      <c r="AR38">
        <v>49.090509774657477</v>
      </c>
      <c r="AS38">
        <v>100.99695053873575</v>
      </c>
      <c r="AT38">
        <v>-45.108274682122726</v>
      </c>
      <c r="AU38">
        <v>-34.138441632033391</v>
      </c>
      <c r="AV38">
        <v>6.1062389856614345</v>
      </c>
      <c r="AW38">
        <v>214.13157954242433</v>
      </c>
      <c r="AX38">
        <v>91.35494297546893</v>
      </c>
      <c r="AY38">
        <v>7.5176856661882834</v>
      </c>
      <c r="AZ38">
        <v>7.7386400517376899</v>
      </c>
      <c r="BA38">
        <v>333.92098864407996</v>
      </c>
      <c r="BB38">
        <v>-4.4443473933694086</v>
      </c>
      <c r="BC38">
        <v>20.600541197306811</v>
      </c>
      <c r="BD38">
        <v>78.686430244014559</v>
      </c>
      <c r="BE38">
        <v>1.8899220026037256</v>
      </c>
      <c r="BF38">
        <v>-10.593965437797848</v>
      </c>
      <c r="BG38">
        <v>16.960408170631183</v>
      </c>
      <c r="BH38">
        <v>-2.1334437474102685</v>
      </c>
      <c r="BI38">
        <v>-128.43140345943948</v>
      </c>
      <c r="BJ38">
        <v>-21.502640545815154</v>
      </c>
      <c r="BK38">
        <v>-32.508544011541574</v>
      </c>
      <c r="BL38">
        <v>-10.791534682441522</v>
      </c>
      <c r="BM38">
        <v>-15.95728595132681</v>
      </c>
      <c r="BN38">
        <v>8.3974890233908255</v>
      </c>
      <c r="BO38">
        <v>-11.228787880393014</v>
      </c>
      <c r="BP38">
        <v>-19.752871319108408</v>
      </c>
      <c r="BQ38">
        <v>-24.755583001583787</v>
      </c>
      <c r="BR38">
        <v>-295.63765296127622</v>
      </c>
      <c r="BS38">
        <v>-64.762601529525227</v>
      </c>
      <c r="BT38">
        <v>-63.35684422664275</v>
      </c>
      <c r="BU38">
        <v>-152.53760528455803</v>
      </c>
      <c r="BV38">
        <v>-25.443161112940857</v>
      </c>
      <c r="BW38">
        <v>-51.765549087452314</v>
      </c>
      <c r="BX38">
        <v>0.7956197684002575</v>
      </c>
      <c r="BY38">
        <v>-37.592207826269174</v>
      </c>
      <c r="BZ38">
        <v>-86.593414215434905</v>
      </c>
      <c r="CA38">
        <v>-14.593980852618614</v>
      </c>
      <c r="CB38">
        <v>3.3424104653826419</v>
      </c>
      <c r="CC38">
        <v>13.418316463278074</v>
      </c>
      <c r="CD38">
        <v>1.3202239091053798</v>
      </c>
      <c r="CE38">
        <v>19.852668809730744</v>
      </c>
      <c r="CF38">
        <v>-3.8051463511709471</v>
      </c>
      <c r="CG38">
        <v>232.17222609633518</v>
      </c>
      <c r="CH38">
        <v>-212.25936242049988</v>
      </c>
      <c r="CI38">
        <v>-387.00264985048693</v>
      </c>
      <c r="CJ38">
        <v>-137.20513400023026</v>
      </c>
      <c r="CK38">
        <v>-174.1238832973645</v>
      </c>
      <c r="CL38">
        <v>-157.47337878640911</v>
      </c>
      <c r="CM38">
        <v>-136.51638278681685</v>
      </c>
      <c r="CN38">
        <v>-239.0051470213657</v>
      </c>
      <c r="CO38">
        <v>-68.882693603614797</v>
      </c>
      <c r="CP38">
        <v>-8.4875055953986305</v>
      </c>
      <c r="CQ38">
        <v>-98.117496682097709</v>
      </c>
      <c r="CR38">
        <v>23.871835376512536</v>
      </c>
      <c r="CS38">
        <v>-82.708086259772699</v>
      </c>
      <c r="CT38">
        <v>-97.313068211380369</v>
      </c>
      <c r="CU38">
        <v>3.1949902627126789</v>
      </c>
      <c r="CV38">
        <v>-897.49703415581462</v>
      </c>
      <c r="CW38">
        <v>-32.957940336183015</v>
      </c>
      <c r="CX38">
        <v>3.6951971578419034</v>
      </c>
      <c r="CY38">
        <v>-50.101689218279034</v>
      </c>
      <c r="CZ38">
        <v>-53.528950395549593</v>
      </c>
      <c r="DA38">
        <v>90.913023647272041</v>
      </c>
      <c r="DB38">
        <v>73.614527153656127</v>
      </c>
      <c r="DC38">
        <v>22.081102613960866</v>
      </c>
      <c r="DD38">
        <v>37.472894671899383</v>
      </c>
      <c r="DE38">
        <v>13.062768805248879</v>
      </c>
      <c r="DF38">
        <v>-68.878467742280009</v>
      </c>
      <c r="DG38">
        <v>34.702214832034201</v>
      </c>
      <c r="DH38">
        <v>-3.027899426997692</v>
      </c>
      <c r="DI38">
        <v>16.795036003252747</v>
      </c>
      <c r="DJ38">
        <v>24.806477085105371</v>
      </c>
      <c r="DK38">
        <v>60.496379537436042</v>
      </c>
      <c r="DL38">
        <v>18.860449292512271</v>
      </c>
      <c r="DM38">
        <v>96.951240990226324</v>
      </c>
      <c r="DN38">
        <v>-0.63445945551552541</v>
      </c>
      <c r="DO38">
        <v>22.374300545824866</v>
      </c>
      <c r="DP38">
        <v>19.63297701747598</v>
      </c>
      <c r="DQ38">
        <v>68.750175513539034</v>
      </c>
      <c r="DR38">
        <v>7.8344020188280012</v>
      </c>
      <c r="DS38">
        <v>58.803204655821901</v>
      </c>
      <c r="DT38">
        <v>-3.0645625473607438</v>
      </c>
      <c r="DU38">
        <v>15.523129575260327</v>
      </c>
      <c r="DV38">
        <v>-17.615201230272987</v>
      </c>
      <c r="DW38">
        <v>-7.2249459479897951</v>
      </c>
      <c r="DX38">
        <v>20.550110600361677</v>
      </c>
      <c r="DY38">
        <v>11.005999183868013</v>
      </c>
      <c r="DZ38">
        <v>-34.724403910508101</v>
      </c>
      <c r="EA38">
        <v>-21.110782651467957</v>
      </c>
      <c r="EB38">
        <v>14.77413250834968</v>
      </c>
      <c r="EC38">
        <v>-3.4212107972315167</v>
      </c>
      <c r="ED38">
        <v>-9.8128719489261584</v>
      </c>
      <c r="EE38">
        <v>-5.2969656854356799</v>
      </c>
      <c r="EF38">
        <v>-3.43894170560867</v>
      </c>
      <c r="EG38">
        <v>-17.594265235120588</v>
      </c>
      <c r="EH38">
        <v>-92.923411359284273</v>
      </c>
      <c r="EI38">
        <v>-1949.3042989381538</v>
      </c>
    </row>
    <row r="39" spans="1:139" x14ac:dyDescent="0.25">
      <c r="A39">
        <v>37</v>
      </c>
      <c r="B39">
        <v>-79.437366243706265</v>
      </c>
      <c r="C39">
        <v>-20.827933404804071</v>
      </c>
      <c r="D39">
        <v>-3.0881640294151609</v>
      </c>
      <c r="E39">
        <v>-12.935129214891276</v>
      </c>
      <c r="F39">
        <v>0.88062138901593345</v>
      </c>
      <c r="G39">
        <v>1.7401078313579601</v>
      </c>
      <c r="H39">
        <v>-79.42683735685921</v>
      </c>
      <c r="I39">
        <v>0.20605088051399711</v>
      </c>
      <c r="J39">
        <v>8.0592371686947715</v>
      </c>
      <c r="K39">
        <v>0.39754087331234356</v>
      </c>
      <c r="L39">
        <v>2.6621475317281238</v>
      </c>
      <c r="M39">
        <v>1.5344744409137254</v>
      </c>
      <c r="N39">
        <v>-63.780626074618112</v>
      </c>
      <c r="O39">
        <v>9.8060441737423218</v>
      </c>
      <c r="P39">
        <v>74.414649632728043</v>
      </c>
      <c r="Q39">
        <v>-29.360603234366408</v>
      </c>
      <c r="R39">
        <v>3.0195104583619359</v>
      </c>
      <c r="S39">
        <v>5.2443862745768683</v>
      </c>
      <c r="T39">
        <v>-23.722281647639448</v>
      </c>
      <c r="U39">
        <v>-3.7464798584321386</v>
      </c>
      <c r="V39">
        <v>31.897397927471161</v>
      </c>
      <c r="W39">
        <v>1.3670148909608315</v>
      </c>
      <c r="X39">
        <v>3.6684590133622521</v>
      </c>
      <c r="Y39">
        <v>1.6553343374477407</v>
      </c>
      <c r="Z39">
        <v>-13.239124888706527</v>
      </c>
      <c r="AA39">
        <v>-0.36261291437267573</v>
      </c>
      <c r="AB39">
        <v>29.489176486348072</v>
      </c>
      <c r="AC39">
        <v>8.5252217592673247</v>
      </c>
      <c r="AD39">
        <v>4.2001963261479318</v>
      </c>
      <c r="AE39">
        <v>24.830414864684855</v>
      </c>
      <c r="AF39">
        <v>38.909656473102672</v>
      </c>
      <c r="AG39">
        <v>226.18009947066776</v>
      </c>
      <c r="AH39">
        <v>6.5318993094637037</v>
      </c>
      <c r="AI39">
        <v>35.460789060089226</v>
      </c>
      <c r="AJ39">
        <v>6.9533682295560624</v>
      </c>
      <c r="AK39">
        <v>38.468096968506046</v>
      </c>
      <c r="AL39">
        <v>45.402576903953133</v>
      </c>
      <c r="AM39">
        <v>10.160042257489195</v>
      </c>
      <c r="AN39">
        <v>-2.0816947195070838</v>
      </c>
      <c r="AO39">
        <v>-32.67864678363253</v>
      </c>
      <c r="AP39">
        <v>16.014512758216355</v>
      </c>
      <c r="AQ39">
        <v>1.8423118654266144</v>
      </c>
      <c r="AR39">
        <v>47.320654654225024</v>
      </c>
      <c r="AS39">
        <v>94.59023604751917</v>
      </c>
      <c r="AT39">
        <v>-45.823695875084638</v>
      </c>
      <c r="AU39">
        <v>-31.399865375554327</v>
      </c>
      <c r="AV39">
        <v>3.0100900656296403</v>
      </c>
      <c r="AW39">
        <v>202.58934889364573</v>
      </c>
      <c r="AX39">
        <v>61.636334757376517</v>
      </c>
      <c r="AY39">
        <v>7.4736934762471217</v>
      </c>
      <c r="AZ39">
        <v>7.477689832489915</v>
      </c>
      <c r="BA39">
        <v>302.73280334826944</v>
      </c>
      <c r="BB39">
        <v>-4.7017972822331124</v>
      </c>
      <c r="BC39">
        <v>19.427095409219817</v>
      </c>
      <c r="BD39">
        <v>72.328251452508425</v>
      </c>
      <c r="BE39">
        <v>0.9968913965477384</v>
      </c>
      <c r="BF39">
        <v>-10.370721362640595</v>
      </c>
      <c r="BG39">
        <v>13.218097381146549</v>
      </c>
      <c r="BH39">
        <v>-2.825022225350267</v>
      </c>
      <c r="BI39">
        <v>-150.68939711011535</v>
      </c>
      <c r="BJ39">
        <v>-24.465535776128206</v>
      </c>
      <c r="BK39">
        <v>-36.644109547131222</v>
      </c>
      <c r="BL39">
        <v>-12.453974738998767</v>
      </c>
      <c r="BM39">
        <v>-19.122665819558847</v>
      </c>
      <c r="BN39">
        <v>8.0121804023055958</v>
      </c>
      <c r="BO39">
        <v>-12.025566652069529</v>
      </c>
      <c r="BP39">
        <v>-32.832066604621559</v>
      </c>
      <c r="BQ39">
        <v>-25.793061820769921</v>
      </c>
      <c r="BR39">
        <v>-346.18100976369715</v>
      </c>
      <c r="BS39">
        <v>-70.472673113361338</v>
      </c>
      <c r="BT39">
        <v>-68.897827920828774</v>
      </c>
      <c r="BU39">
        <v>-171.69517476063845</v>
      </c>
      <c r="BV39">
        <v>-27.494171073832746</v>
      </c>
      <c r="BW39">
        <v>-59.763279993333981</v>
      </c>
      <c r="BX39">
        <v>-0.95377396727074881</v>
      </c>
      <c r="BY39">
        <v>-41.106521456632493</v>
      </c>
      <c r="BZ39">
        <v>-99.830916260786125</v>
      </c>
      <c r="CA39">
        <v>-16.155591414867075</v>
      </c>
      <c r="CB39">
        <v>2.6971354824840148</v>
      </c>
      <c r="CC39">
        <v>6.6471495980993041</v>
      </c>
      <c r="CD39">
        <v>-1.2974625430522337</v>
      </c>
      <c r="CE39">
        <v>17.449488790914813</v>
      </c>
      <c r="CF39">
        <v>-10.148523506383299</v>
      </c>
      <c r="CG39">
        <v>161.74832074783535</v>
      </c>
      <c r="CH39">
        <v>-225.61999881255917</v>
      </c>
      <c r="CI39">
        <v>-407.36572064459551</v>
      </c>
      <c r="CJ39">
        <v>-143.26917839980928</v>
      </c>
      <c r="CK39">
        <v>-183.42019171376899</v>
      </c>
      <c r="CL39">
        <v>-166.00861047051245</v>
      </c>
      <c r="CM39">
        <v>-147.81882967135641</v>
      </c>
      <c r="CN39">
        <v>-265.08888845765932</v>
      </c>
      <c r="CO39">
        <v>-73.325067280324447</v>
      </c>
      <c r="CP39">
        <v>-10.359554365402204</v>
      </c>
      <c r="CQ39">
        <v>-100.74073410001564</v>
      </c>
      <c r="CR39">
        <v>20.265193741648034</v>
      </c>
      <c r="CS39">
        <v>-101.13534047239591</v>
      </c>
      <c r="CT39">
        <v>-108.22158768026588</v>
      </c>
      <c r="CU39">
        <v>2.3385032131978107</v>
      </c>
      <c r="CV39">
        <v>-1042.4767851915276</v>
      </c>
      <c r="CW39">
        <v>-36.475419790253</v>
      </c>
      <c r="CX39">
        <v>2.9413651841900474</v>
      </c>
      <c r="CY39">
        <v>-59.83897674062473</v>
      </c>
      <c r="CZ39">
        <v>-55.894436723952353</v>
      </c>
      <c r="DA39">
        <v>87.57680755809514</v>
      </c>
      <c r="DB39">
        <v>68.728072398836048</v>
      </c>
      <c r="DC39">
        <v>20.644596683061991</v>
      </c>
      <c r="DD39">
        <v>36.847049597996374</v>
      </c>
      <c r="DE39">
        <v>12.35777823038481</v>
      </c>
      <c r="DF39">
        <v>-92.19276808710265</v>
      </c>
      <c r="DG39">
        <v>29.542874361801182</v>
      </c>
      <c r="DH39">
        <v>-10.676653833162845</v>
      </c>
      <c r="DI39">
        <v>16.42933616360753</v>
      </c>
      <c r="DJ39">
        <v>15.611487358392651</v>
      </c>
      <c r="DK39">
        <v>53.55196039111479</v>
      </c>
      <c r="DL39">
        <v>14.778781930783452</v>
      </c>
      <c r="DM39">
        <v>89.766825511611387</v>
      </c>
      <c r="DN39">
        <v>-8.2054390504988532</v>
      </c>
      <c r="DO39">
        <v>21.167969488808097</v>
      </c>
      <c r="DP39">
        <v>18.624996046681076</v>
      </c>
      <c r="DQ39">
        <v>43.523813117629288</v>
      </c>
      <c r="DR39">
        <v>7.0651403457124786</v>
      </c>
      <c r="DS39">
        <v>56.184216967747147</v>
      </c>
      <c r="DT39">
        <v>-3.4271838053229402</v>
      </c>
      <c r="DU39">
        <v>11.812183910147837</v>
      </c>
      <c r="DV39">
        <v>-18.819343836872747</v>
      </c>
      <c r="DW39">
        <v>-9.1242466858676039</v>
      </c>
      <c r="DX39">
        <v>17.933816652407813</v>
      </c>
      <c r="DY39">
        <v>10.717644324294042</v>
      </c>
      <c r="DZ39">
        <v>-35.739816687015548</v>
      </c>
      <c r="EA39">
        <v>-25.612006404896988</v>
      </c>
      <c r="EB39">
        <v>14.191206388631542</v>
      </c>
      <c r="EC39">
        <v>-3.6421039861022422</v>
      </c>
      <c r="ED39">
        <v>-10.372686732926468</v>
      </c>
      <c r="EE39">
        <v>-16.512759248619204</v>
      </c>
      <c r="EF39">
        <v>-4.2775035553883072</v>
      </c>
      <c r="EG39">
        <v>-22.011100499677923</v>
      </c>
      <c r="EH39">
        <v>-104.45825288602896</v>
      </c>
      <c r="EI39">
        <v>-2838.4846712900453</v>
      </c>
    </row>
    <row r="40" spans="1:139" x14ac:dyDescent="0.25">
      <c r="A40">
        <v>38</v>
      </c>
      <c r="B40">
        <v>-81.937921589083771</v>
      </c>
      <c r="C40">
        <v>-22.473686890122565</v>
      </c>
      <c r="D40">
        <v>-3.2389380262647727</v>
      </c>
      <c r="E40">
        <v>-13.649810098789345</v>
      </c>
      <c r="F40">
        <v>0.87714050374268382</v>
      </c>
      <c r="G40">
        <v>1.7354473815006892</v>
      </c>
      <c r="H40">
        <v>-90.468326615741717</v>
      </c>
      <c r="I40">
        <v>0.19297450606153976</v>
      </c>
      <c r="J40">
        <v>7.7186150595856944</v>
      </c>
      <c r="K40">
        <v>0.36891952410315998</v>
      </c>
      <c r="L40">
        <v>1.9399860101062956</v>
      </c>
      <c r="M40">
        <v>1.3862662117813134</v>
      </c>
      <c r="N40">
        <v>-70.993097926619726</v>
      </c>
      <c r="O40">
        <v>8.4228689355608992</v>
      </c>
      <c r="P40">
        <v>72.788041990515154</v>
      </c>
      <c r="Q40">
        <v>-34.458269769698461</v>
      </c>
      <c r="R40">
        <v>2.9353138100238212</v>
      </c>
      <c r="S40">
        <v>3.9331974780537848</v>
      </c>
      <c r="T40">
        <v>-24.693940261980288</v>
      </c>
      <c r="U40">
        <v>-4.768425512942855</v>
      </c>
      <c r="V40">
        <v>24.955747148876981</v>
      </c>
      <c r="W40">
        <v>-0.54300134607515815</v>
      </c>
      <c r="X40">
        <v>3.0838474989451186</v>
      </c>
      <c r="Y40">
        <v>1.2686151468563764</v>
      </c>
      <c r="Z40">
        <v>-12.96466458825887</v>
      </c>
      <c r="AA40">
        <v>-0.72112567024205987</v>
      </c>
      <c r="AB40">
        <v>25.962018351791812</v>
      </c>
      <c r="AC40">
        <v>8.1715211054461605</v>
      </c>
      <c r="AD40">
        <v>3.9018505139024953</v>
      </c>
      <c r="AE40">
        <v>24.262155630147078</v>
      </c>
      <c r="AF40">
        <v>37.342228573748145</v>
      </c>
      <c r="AG40">
        <v>207.51591219535112</v>
      </c>
      <c r="AH40">
        <v>6.3377795693770693</v>
      </c>
      <c r="AI40">
        <v>34.752132152513234</v>
      </c>
      <c r="AJ40">
        <v>6.7588900943286205</v>
      </c>
      <c r="AK40">
        <v>37.060348916295368</v>
      </c>
      <c r="AL40">
        <v>43.168095435717504</v>
      </c>
      <c r="AM40">
        <v>9.7775897293422602</v>
      </c>
      <c r="AN40">
        <v>-2.1234164085096836</v>
      </c>
      <c r="AO40">
        <v>-39.269256436929652</v>
      </c>
      <c r="AP40">
        <v>15.621758062501186</v>
      </c>
      <c r="AQ40">
        <v>1.7485585898246736</v>
      </c>
      <c r="AR40">
        <v>45.611241141687373</v>
      </c>
      <c r="AS40">
        <v>87.825898364189811</v>
      </c>
      <c r="AT40">
        <v>-46.505609503313806</v>
      </c>
      <c r="AU40">
        <v>-27.925263979061754</v>
      </c>
      <c r="AV40">
        <v>1.4696210855106528E-2</v>
      </c>
      <c r="AW40">
        <v>190.38838524909136</v>
      </c>
      <c r="AX40">
        <v>33.104300245453487</v>
      </c>
      <c r="AY40">
        <v>7.4322966943256104</v>
      </c>
      <c r="AZ40">
        <v>7.2131311130731568</v>
      </c>
      <c r="BA40">
        <v>270.91016732470791</v>
      </c>
      <c r="BB40">
        <v>-4.9508143573014287</v>
      </c>
      <c r="BC40">
        <v>18.248777266127206</v>
      </c>
      <c r="BD40">
        <v>66.205270353055653</v>
      </c>
      <c r="BE40">
        <v>0.42043055197362378</v>
      </c>
      <c r="BF40">
        <v>-9.4804605128535826</v>
      </c>
      <c r="BG40">
        <v>9.8165855885195015</v>
      </c>
      <c r="BH40">
        <v>-3.4038074605471422</v>
      </c>
      <c r="BI40">
        <v>-171.93362923059021</v>
      </c>
      <c r="BJ40">
        <v>-27.220431565637057</v>
      </c>
      <c r="BK40">
        <v>-40.238978300745657</v>
      </c>
      <c r="BL40">
        <v>-13.701575978581928</v>
      </c>
      <c r="BM40">
        <v>-22.208199584638635</v>
      </c>
      <c r="BN40">
        <v>7.5288022107973376</v>
      </c>
      <c r="BO40">
        <v>-12.838991473558195</v>
      </c>
      <c r="BP40">
        <v>-42.582732465940126</v>
      </c>
      <c r="BQ40">
        <v>-26.806351639017265</v>
      </c>
      <c r="BR40">
        <v>-392.26658520155797</v>
      </c>
      <c r="BS40">
        <v>-75.769884006151301</v>
      </c>
      <c r="BT40">
        <v>-73.79733966445832</v>
      </c>
      <c r="BU40">
        <v>-184.15650245383858</v>
      </c>
      <c r="BV40">
        <v>-29.48744410503889</v>
      </c>
      <c r="BW40">
        <v>-67.536805126663467</v>
      </c>
      <c r="BX40">
        <v>-2.5046532683336693</v>
      </c>
      <c r="BY40">
        <v>-43.793350827598545</v>
      </c>
      <c r="BZ40">
        <v>-112.48070962624161</v>
      </c>
      <c r="CA40">
        <v>-17.648621526704488</v>
      </c>
      <c r="CB40">
        <v>2.0830668756535857</v>
      </c>
      <c r="CC40">
        <v>0.37179626438319247</v>
      </c>
      <c r="CD40">
        <v>-3.8392827230956357</v>
      </c>
      <c r="CE40">
        <v>15.060831722655109</v>
      </c>
      <c r="CF40">
        <v>-16.120446402640596</v>
      </c>
      <c r="CG40">
        <v>94.619475751921527</v>
      </c>
      <c r="CH40">
        <v>-236.58128863571949</v>
      </c>
      <c r="CI40">
        <v>-425.70438169248098</v>
      </c>
      <c r="CJ40">
        <v>-147.73424870193082</v>
      </c>
      <c r="CK40">
        <v>-191.7391141522894</v>
      </c>
      <c r="CL40">
        <v>-175.3160953455149</v>
      </c>
      <c r="CM40">
        <v>-158.18881597123971</v>
      </c>
      <c r="CN40">
        <v>-287.54803641560966</v>
      </c>
      <c r="CO40">
        <v>-76.945462099722278</v>
      </c>
      <c r="CP40">
        <v>-11.942393714720396</v>
      </c>
      <c r="CQ40">
        <v>-103.26359704719032</v>
      </c>
      <c r="CR40">
        <v>16.732584127662619</v>
      </c>
      <c r="CS40">
        <v>-117.5637741805067</v>
      </c>
      <c r="CT40">
        <v>-118.38082314256917</v>
      </c>
      <c r="CU40">
        <v>1.493725708682959</v>
      </c>
      <c r="CV40">
        <v>-1175.1567951754369</v>
      </c>
      <c r="CW40">
        <v>-38.810327261812574</v>
      </c>
      <c r="CX40">
        <v>2.2913987336457922</v>
      </c>
      <c r="CY40">
        <v>-68.112588498791411</v>
      </c>
      <c r="CZ40">
        <v>-58.262240128553707</v>
      </c>
      <c r="DA40">
        <v>84.671293235258759</v>
      </c>
      <c r="DB40">
        <v>64.665322150484599</v>
      </c>
      <c r="DC40">
        <v>19.469151047835851</v>
      </c>
      <c r="DD40">
        <v>36.447953286489536</v>
      </c>
      <c r="DE40">
        <v>11.778586506603645</v>
      </c>
      <c r="DF40">
        <v>-112.80690271641879</v>
      </c>
      <c r="DG40">
        <v>24.908971213676637</v>
      </c>
      <c r="DH40">
        <v>-16.641147621757227</v>
      </c>
      <c r="DI40">
        <v>16.135075116201676</v>
      </c>
      <c r="DJ40">
        <v>8.2266883801953554</v>
      </c>
      <c r="DK40">
        <v>47.228582295302431</v>
      </c>
      <c r="DL40">
        <v>11.323938851572393</v>
      </c>
      <c r="DM40">
        <v>83.602023097854499</v>
      </c>
      <c r="DN40">
        <v>-14.658539770580319</v>
      </c>
      <c r="DO40">
        <v>20.200700360371656</v>
      </c>
      <c r="DP40">
        <v>19.777116701093064</v>
      </c>
      <c r="DQ40">
        <v>20.944822096628741</v>
      </c>
      <c r="DR40">
        <v>6.4788680038222708</v>
      </c>
      <c r="DS40">
        <v>53.972584294060766</v>
      </c>
      <c r="DT40">
        <v>-3.7566153975549383</v>
      </c>
      <c r="DU40">
        <v>8.5846431150386024</v>
      </c>
      <c r="DV40">
        <v>-19.615325420117529</v>
      </c>
      <c r="DW40">
        <v>-10.48963235109494</v>
      </c>
      <c r="DX40">
        <v>15.656933995955569</v>
      </c>
      <c r="DY40">
        <v>10.467586804290363</v>
      </c>
      <c r="DZ40">
        <v>-36.411550259491122</v>
      </c>
      <c r="EA40">
        <v>-29.667428737371552</v>
      </c>
      <c r="EB40">
        <v>13.892096310403019</v>
      </c>
      <c r="EC40">
        <v>-3.8204983649658786</v>
      </c>
      <c r="ED40">
        <v>-10.839540023526581</v>
      </c>
      <c r="EE40">
        <v>-25.221814048589295</v>
      </c>
      <c r="EF40">
        <v>-4.6990713389665189</v>
      </c>
      <c r="EG40">
        <v>-25.022667156692478</v>
      </c>
      <c r="EH40">
        <v>-114.91281034316671</v>
      </c>
      <c r="EI40">
        <v>-3641.5222593521498</v>
      </c>
    </row>
    <row r="41" spans="1:139" x14ac:dyDescent="0.25">
      <c r="A41">
        <v>39</v>
      </c>
      <c r="B41">
        <v>-84.16828977868613</v>
      </c>
      <c r="C41">
        <v>-23.770600001149489</v>
      </c>
      <c r="D41">
        <v>-3.3635243021133157</v>
      </c>
      <c r="E41">
        <v>-14.250214782213817</v>
      </c>
      <c r="F41">
        <v>0.87461107211349431</v>
      </c>
      <c r="G41">
        <v>1.734022581196377</v>
      </c>
      <c r="H41">
        <v>-100.54045170118854</v>
      </c>
      <c r="I41">
        <v>0.18276071210841494</v>
      </c>
      <c r="J41">
        <v>7.4129682917533088</v>
      </c>
      <c r="K41">
        <v>0.34450268321110933</v>
      </c>
      <c r="L41">
        <v>1.2422895770247919</v>
      </c>
      <c r="M41">
        <v>1.2621277360400338</v>
      </c>
      <c r="N41">
        <v>-77.609448264925049</v>
      </c>
      <c r="O41">
        <v>7.1845923928555351</v>
      </c>
      <c r="P41">
        <v>71.580547967519976</v>
      </c>
      <c r="Q41">
        <v>-39.11656935042646</v>
      </c>
      <c r="R41">
        <v>2.8630998749037513</v>
      </c>
      <c r="S41">
        <v>2.7198609317997864</v>
      </c>
      <c r="T41">
        <v>-25.529432891644802</v>
      </c>
      <c r="U41">
        <v>-5.5663139630039495</v>
      </c>
      <c r="V41">
        <v>18.393082721447058</v>
      </c>
      <c r="W41">
        <v>-2.3458693022552097</v>
      </c>
      <c r="X41">
        <v>2.5331670572310259</v>
      </c>
      <c r="Y41">
        <v>1.0728415690093556</v>
      </c>
      <c r="Z41">
        <v>-12.516899390583262</v>
      </c>
      <c r="AA41">
        <v>-1.0537724439422078</v>
      </c>
      <c r="AB41">
        <v>22.791830216446272</v>
      </c>
      <c r="AC41">
        <v>7.8891148936840665</v>
      </c>
      <c r="AD41">
        <v>3.6567947330331947</v>
      </c>
      <c r="AE41">
        <v>23.74202599411386</v>
      </c>
      <c r="AF41">
        <v>35.929384320974265</v>
      </c>
      <c r="AG41">
        <v>190.3419675615587</v>
      </c>
      <c r="AH41">
        <v>6.1617674845241837</v>
      </c>
      <c r="AI41">
        <v>33.848009672934083</v>
      </c>
      <c r="AJ41">
        <v>6.6037671399552451</v>
      </c>
      <c r="AK41">
        <v>35.774748406526953</v>
      </c>
      <c r="AL41">
        <v>40.894151415519332</v>
      </c>
      <c r="AM41">
        <v>9.4215044799223904</v>
      </c>
      <c r="AN41">
        <v>-2.1610410007902239</v>
      </c>
      <c r="AO41">
        <v>-45.67013037014442</v>
      </c>
      <c r="AP41">
        <v>15.277535295512379</v>
      </c>
      <c r="AQ41">
        <v>1.6588173422132115</v>
      </c>
      <c r="AR41">
        <v>44.024614502059904</v>
      </c>
      <c r="AS41">
        <v>80.918675716420125</v>
      </c>
      <c r="AT41">
        <v>-47.181366405496149</v>
      </c>
      <c r="AU41">
        <v>-24.049591651753701</v>
      </c>
      <c r="AV41">
        <v>-2.825867610357534</v>
      </c>
      <c r="AW41">
        <v>177.65739827662043</v>
      </c>
      <c r="AX41">
        <v>6.7077250326756257</v>
      </c>
      <c r="AY41">
        <v>7.4005449630848563</v>
      </c>
      <c r="AZ41">
        <v>6.9342883196809986</v>
      </c>
      <c r="BA41">
        <v>239.32769334342515</v>
      </c>
      <c r="BB41">
        <v>-5.1973137405123921</v>
      </c>
      <c r="BC41">
        <v>17.131076253783831</v>
      </c>
      <c r="BD41">
        <v>60.437882194337476</v>
      </c>
      <c r="BE41">
        <v>0.12291511794606436</v>
      </c>
      <c r="BF41">
        <v>-7.8556348920464529</v>
      </c>
      <c r="BG41">
        <v>6.8195250827401424</v>
      </c>
      <c r="BH41">
        <v>-3.8775354007948977</v>
      </c>
      <c r="BI41">
        <v>-191.8040432124053</v>
      </c>
      <c r="BJ41">
        <v>-29.701658216418423</v>
      </c>
      <c r="BK41">
        <v>-43.145624187352666</v>
      </c>
      <c r="BL41">
        <v>-14.412648652127444</v>
      </c>
      <c r="BM41">
        <v>-24.999296386365529</v>
      </c>
      <c r="BN41">
        <v>7.0484045422626878</v>
      </c>
      <c r="BO41">
        <v>-13.579508465464372</v>
      </c>
      <c r="BP41">
        <v>-48.408469197602699</v>
      </c>
      <c r="BQ41">
        <v>-27.714720214061757</v>
      </c>
      <c r="BR41">
        <v>-433.45353311842882</v>
      </c>
      <c r="BS41">
        <v>-80.492399607137656</v>
      </c>
      <c r="BT41">
        <v>-77.746333993650069</v>
      </c>
      <c r="BU41">
        <v>-189.17997348112021</v>
      </c>
      <c r="BV41">
        <v>-31.217727979408522</v>
      </c>
      <c r="BW41">
        <v>-74.483015909661276</v>
      </c>
      <c r="BX41">
        <v>-3.8062239319356621</v>
      </c>
      <c r="BY41">
        <v>-45.557819712943797</v>
      </c>
      <c r="BZ41">
        <v>-124.24921015517907</v>
      </c>
      <c r="CA41">
        <v>-18.903942473914924</v>
      </c>
      <c r="CB41">
        <v>1.5477429952604496</v>
      </c>
      <c r="CC41">
        <v>-5.157778023375954</v>
      </c>
      <c r="CD41">
        <v>-6.1930830113604998</v>
      </c>
      <c r="CE41">
        <v>12.803603974841451</v>
      </c>
      <c r="CF41">
        <v>-21.537799074028953</v>
      </c>
      <c r="CG41">
        <v>33.89790620880467</v>
      </c>
      <c r="CH41">
        <v>-243.93831970843166</v>
      </c>
      <c r="CI41">
        <v>-438.60617916942749</v>
      </c>
      <c r="CJ41">
        <v>-149.85867225622337</v>
      </c>
      <c r="CK41">
        <v>-197.86206239789419</v>
      </c>
      <c r="CL41">
        <v>-183.58146631994617</v>
      </c>
      <c r="CM41">
        <v>-166.74743452374196</v>
      </c>
      <c r="CN41">
        <v>-305.45732691212834</v>
      </c>
      <c r="CO41">
        <v>-79.355989591051468</v>
      </c>
      <c r="CP41">
        <v>-13.111429917963193</v>
      </c>
      <c r="CQ41">
        <v>-105.06343015712152</v>
      </c>
      <c r="CR41">
        <v>13.390160360037783</v>
      </c>
      <c r="CS41">
        <v>-131.90944066436305</v>
      </c>
      <c r="CT41">
        <v>-127.67389286029288</v>
      </c>
      <c r="CU41">
        <v>0.71373218263383365</v>
      </c>
      <c r="CV41">
        <v>-1294.148099833139</v>
      </c>
      <c r="CW41">
        <v>-39.843793468224248</v>
      </c>
      <c r="CX41">
        <v>1.7897017140803939</v>
      </c>
      <c r="CY41">
        <v>-74.56977475279291</v>
      </c>
      <c r="CZ41">
        <v>-60.141097786780477</v>
      </c>
      <c r="DA41">
        <v>82.236093224179115</v>
      </c>
      <c r="DB41">
        <v>61.480434953358554</v>
      </c>
      <c r="DC41">
        <v>18.567848034417864</v>
      </c>
      <c r="DD41">
        <v>36.194472201905057</v>
      </c>
      <c r="DE41">
        <v>11.362226081654669</v>
      </c>
      <c r="DF41">
        <v>-130.64090806023432</v>
      </c>
      <c r="DG41">
        <v>20.751272636198905</v>
      </c>
      <c r="DH41">
        <v>-21.159252116377957</v>
      </c>
      <c r="DI41">
        <v>15.838700082290686</v>
      </c>
      <c r="DJ41">
        <v>2.3428952585081788</v>
      </c>
      <c r="DK41">
        <v>41.543762237305145</v>
      </c>
      <c r="DL41">
        <v>8.5240766920031774</v>
      </c>
      <c r="DM41">
        <v>78.237521255951833</v>
      </c>
      <c r="DN41">
        <v>-19.911461796903268</v>
      </c>
      <c r="DO41">
        <v>19.440086972096822</v>
      </c>
      <c r="DP41">
        <v>22.678683183325461</v>
      </c>
      <c r="DQ41">
        <v>0.96989556880726013</v>
      </c>
      <c r="DR41">
        <v>5.9149177177158094</v>
      </c>
      <c r="DS41">
        <v>52.099600270030237</v>
      </c>
      <c r="DT41">
        <v>-4.0332837301210134</v>
      </c>
      <c r="DU41">
        <v>5.9811084326888704</v>
      </c>
      <c r="DV41">
        <v>-20.000249192365004</v>
      </c>
      <c r="DW41">
        <v>-11.203285901806964</v>
      </c>
      <c r="DX41">
        <v>13.762542214648647</v>
      </c>
      <c r="DY41">
        <v>10.236380850688661</v>
      </c>
      <c r="DZ41">
        <v>-36.464092482448322</v>
      </c>
      <c r="EA41">
        <v>-33.04152821388152</v>
      </c>
      <c r="EB41">
        <v>13.83371763562053</v>
      </c>
      <c r="EC41">
        <v>-3.9403464003758941</v>
      </c>
      <c r="ED41">
        <v>-11.182874287633723</v>
      </c>
      <c r="EE41">
        <v>-30.786997958488882</v>
      </c>
      <c r="EF41">
        <v>-4.6618909845353187</v>
      </c>
      <c r="EG41">
        <v>-26.396399775523605</v>
      </c>
      <c r="EH41">
        <v>-123.79658919362373</v>
      </c>
      <c r="EI41">
        <v>-4329.4205262525911</v>
      </c>
    </row>
    <row r="42" spans="1:139" x14ac:dyDescent="0.25">
      <c r="A42">
        <v>40</v>
      </c>
      <c r="B42">
        <v>-86.151897338816639</v>
      </c>
      <c r="C42">
        <v>-24.785916159596184</v>
      </c>
      <c r="D42">
        <v>-3.4454131153839249</v>
      </c>
      <c r="E42">
        <v>-14.756369127871977</v>
      </c>
      <c r="F42">
        <v>0.87323676723099442</v>
      </c>
      <c r="G42">
        <v>1.7351168153548857</v>
      </c>
      <c r="H42">
        <v>-109.9368777857386</v>
      </c>
      <c r="I42">
        <v>0.17494716810843247</v>
      </c>
      <c r="J42">
        <v>7.1150054976591193</v>
      </c>
      <c r="K42">
        <v>0.3221783240093048</v>
      </c>
      <c r="L42">
        <v>0.5478283931531962</v>
      </c>
      <c r="M42">
        <v>1.1553361981505166</v>
      </c>
      <c r="N42">
        <v>-83.798349139246966</v>
      </c>
      <c r="O42">
        <v>6.0110663253410337</v>
      </c>
      <c r="P42">
        <v>70.717191935601818</v>
      </c>
      <c r="Q42">
        <v>-43.348987357862711</v>
      </c>
      <c r="R42">
        <v>2.8033895524747368</v>
      </c>
      <c r="S42">
        <v>1.5593618344810238</v>
      </c>
      <c r="T42">
        <v>-26.258806630876052</v>
      </c>
      <c r="U42">
        <v>-6.161695831475555</v>
      </c>
      <c r="V42">
        <v>12.215305369398152</v>
      </c>
      <c r="W42">
        <v>-4.0894789225884836</v>
      </c>
      <c r="X42">
        <v>2.013145952252188</v>
      </c>
      <c r="Y42">
        <v>0.96885221374236608</v>
      </c>
      <c r="Z42">
        <v>-12.008706332021916</v>
      </c>
      <c r="AA42">
        <v>-1.3579441180577305</v>
      </c>
      <c r="AB42">
        <v>19.989411574358655</v>
      </c>
      <c r="AC42">
        <v>7.6703333454996425</v>
      </c>
      <c r="AD42">
        <v>3.4446895417941761</v>
      </c>
      <c r="AE42">
        <v>23.262935500207874</v>
      </c>
      <c r="AF42">
        <v>34.635805722408776</v>
      </c>
      <c r="AG42">
        <v>174.47813184377674</v>
      </c>
      <c r="AH42">
        <v>5.9915050350624242</v>
      </c>
      <c r="AI42">
        <v>32.816672627751473</v>
      </c>
      <c r="AJ42">
        <v>6.4635870553529955</v>
      </c>
      <c r="AK42">
        <v>34.619230828449247</v>
      </c>
      <c r="AL42">
        <v>38.641164981120085</v>
      </c>
      <c r="AM42">
        <v>9.0870784493490717</v>
      </c>
      <c r="AN42">
        <v>-2.1956701891677604</v>
      </c>
      <c r="AO42">
        <v>-51.942572148950887</v>
      </c>
      <c r="AP42">
        <v>14.958740426676101</v>
      </c>
      <c r="AQ42">
        <v>1.5735365389464615</v>
      </c>
      <c r="AR42">
        <v>42.543855759899913</v>
      </c>
      <c r="AS42">
        <v>73.857164671176292</v>
      </c>
      <c r="AT42">
        <v>-47.867010540382225</v>
      </c>
      <c r="AU42">
        <v>-20.289784577761793</v>
      </c>
      <c r="AV42">
        <v>-5.546786478465151</v>
      </c>
      <c r="AW42">
        <v>164.39822571385275</v>
      </c>
      <c r="AX42">
        <v>-17.755371266597194</v>
      </c>
      <c r="AY42">
        <v>7.3781476404120365</v>
      </c>
      <c r="AZ42">
        <v>6.6652410829629769</v>
      </c>
      <c r="BA42">
        <v>208.07835104595483</v>
      </c>
      <c r="BB42">
        <v>-5.4425460285391054</v>
      </c>
      <c r="BC42">
        <v>16.076120268819651</v>
      </c>
      <c r="BD42">
        <v>55.016274503107411</v>
      </c>
      <c r="BE42">
        <v>-1.6167242006218885E-2</v>
      </c>
      <c r="BF42">
        <v>-5.6589370011443236</v>
      </c>
      <c r="BG42">
        <v>4.1010549433108281</v>
      </c>
      <c r="BH42">
        <v>-4.2808957423846721</v>
      </c>
      <c r="BI42">
        <v>-210.56390809408731</v>
      </c>
      <c r="BJ42">
        <v>-31.942871997995212</v>
      </c>
      <c r="BK42">
        <v>-45.437491666202732</v>
      </c>
      <c r="BL42">
        <v>-14.655215115373295</v>
      </c>
      <c r="BM42">
        <v>-27.461554139168015</v>
      </c>
      <c r="BN42">
        <v>6.6102919120902044</v>
      </c>
      <c r="BO42">
        <v>-14.20888861194701</v>
      </c>
      <c r="BP42">
        <v>-51.085520064816365</v>
      </c>
      <c r="BQ42">
        <v>-28.497911415993627</v>
      </c>
      <c r="BR42">
        <v>-471.08239801650234</v>
      </c>
      <c r="BS42">
        <v>-84.76273491423774</v>
      </c>
      <c r="BT42">
        <v>-80.826437854020526</v>
      </c>
      <c r="BU42">
        <v>-188.56300911306266</v>
      </c>
      <c r="BV42">
        <v>-32.636184388529841</v>
      </c>
      <c r="BW42">
        <v>-80.268669768256359</v>
      </c>
      <c r="BX42">
        <v>-4.8241789643641653</v>
      </c>
      <c r="BY42">
        <v>-46.411790444897207</v>
      </c>
      <c r="BZ42">
        <v>-135.3204388047559</v>
      </c>
      <c r="CA42">
        <v>-19.891208958202441</v>
      </c>
      <c r="CB42">
        <v>1.0794019947656039</v>
      </c>
      <c r="CC42">
        <v>-9.8642537256736205</v>
      </c>
      <c r="CD42">
        <v>-8.3624420592203421</v>
      </c>
      <c r="CE42">
        <v>10.646145140426427</v>
      </c>
      <c r="CF42">
        <v>-26.489193842149575</v>
      </c>
      <c r="CG42">
        <v>-21.144024262966013</v>
      </c>
      <c r="CH42">
        <v>-248.16586088070176</v>
      </c>
      <c r="CI42">
        <v>-445.61860771811371</v>
      </c>
      <c r="CJ42">
        <v>-150.18062344864452</v>
      </c>
      <c r="CK42">
        <v>-202.10094039677131</v>
      </c>
      <c r="CL42">
        <v>-190.00669722673138</v>
      </c>
      <c r="CM42">
        <v>-173.59847773746583</v>
      </c>
      <c r="CN42">
        <v>-319.90694752331274</v>
      </c>
      <c r="CO42">
        <v>-80.757067874639688</v>
      </c>
      <c r="CP42">
        <v>-13.881709745209093</v>
      </c>
      <c r="CQ42">
        <v>-106.08034314885143</v>
      </c>
      <c r="CR42">
        <v>10.164401924824233</v>
      </c>
      <c r="CS42">
        <v>-144.91422420016443</v>
      </c>
      <c r="CT42">
        <v>-136.5668530137807</v>
      </c>
      <c r="CU42">
        <v>-3.3458355391672967E-2</v>
      </c>
      <c r="CV42">
        <v>-1403.8896430103487</v>
      </c>
      <c r="CW42">
        <v>-39.831304716179091</v>
      </c>
      <c r="CX42">
        <v>1.4437592883008108</v>
      </c>
      <c r="CY42">
        <v>-79.710269444444975</v>
      </c>
      <c r="CZ42">
        <v>-61.336932887822428</v>
      </c>
      <c r="DA42">
        <v>80.131040615613756</v>
      </c>
      <c r="DB42">
        <v>58.942010397730655</v>
      </c>
      <c r="DC42">
        <v>17.854753329406037</v>
      </c>
      <c r="DD42">
        <v>35.948838197273858</v>
      </c>
      <c r="DE42">
        <v>11.06174085776054</v>
      </c>
      <c r="DF42">
        <v>-146.67998932608998</v>
      </c>
      <c r="DG42">
        <v>16.537100373996168</v>
      </c>
      <c r="DH42">
        <v>-24.96929191244817</v>
      </c>
      <c r="DI42">
        <v>15.224629388173696</v>
      </c>
      <c r="DJ42">
        <v>-2.9395853378543961</v>
      </c>
      <c r="DK42">
        <v>36.260507779014688</v>
      </c>
      <c r="DL42">
        <v>6.1047828794215775</v>
      </c>
      <c r="DM42">
        <v>73.317267288429775</v>
      </c>
      <c r="DN42">
        <v>-25.173977504668983</v>
      </c>
      <c r="DO42">
        <v>18.763882688792478</v>
      </c>
      <c r="DP42">
        <v>26.681659158322873</v>
      </c>
      <c r="DQ42">
        <v>-17.282417291369711</v>
      </c>
      <c r="DR42">
        <v>5.2125576083536771</v>
      </c>
      <c r="DS42">
        <v>50.319236962257378</v>
      </c>
      <c r="DT42">
        <v>-4.2602736749277099</v>
      </c>
      <c r="DU42">
        <v>3.7861430548800854</v>
      </c>
      <c r="DV42">
        <v>-20.120739230336085</v>
      </c>
      <c r="DW42">
        <v>-11.382255059180522</v>
      </c>
      <c r="DX42">
        <v>12.012234157464718</v>
      </c>
      <c r="DY42">
        <v>9.9756940464902328</v>
      </c>
      <c r="DZ42">
        <v>-35.952313155650714</v>
      </c>
      <c r="EA42">
        <v>-35.961417746204461</v>
      </c>
      <c r="EB42">
        <v>13.787703973645193</v>
      </c>
      <c r="EC42">
        <v>-4.0078888542474971</v>
      </c>
      <c r="ED42">
        <v>-11.412552091464036</v>
      </c>
      <c r="EE42">
        <v>-34.089134692874268</v>
      </c>
      <c r="EF42">
        <v>-4.2513966189176813</v>
      </c>
      <c r="EG42">
        <v>-26.619064134779251</v>
      </c>
      <c r="EH42">
        <v>-131.55249030946106</v>
      </c>
      <c r="EI42">
        <v>-4928.8062531017631</v>
      </c>
    </row>
    <row r="43" spans="1:139" x14ac:dyDescent="0.25">
      <c r="A43">
        <v>41</v>
      </c>
      <c r="B43">
        <v>-87.904703695895932</v>
      </c>
      <c r="C43">
        <v>-25.514541765541594</v>
      </c>
      <c r="D43">
        <v>-3.4775986368636502</v>
      </c>
      <c r="E43">
        <v>-15.138773017732632</v>
      </c>
      <c r="F43">
        <v>0.87430800648521378</v>
      </c>
      <c r="G43">
        <v>1.7384327946398996</v>
      </c>
      <c r="H43">
        <v>-118.63515921213593</v>
      </c>
      <c r="I43">
        <v>0.16907391917533943</v>
      </c>
      <c r="J43">
        <v>6.8480659616241368</v>
      </c>
      <c r="K43">
        <v>0.30229067322547554</v>
      </c>
      <c r="L43">
        <v>-0.10828249715508775</v>
      </c>
      <c r="M43">
        <v>1.063856789265671</v>
      </c>
      <c r="N43">
        <v>-89.471576778665508</v>
      </c>
      <c r="O43">
        <v>4.898818029350025</v>
      </c>
      <c r="P43">
        <v>70.133110262719526</v>
      </c>
      <c r="Q43">
        <v>-47.013878321503512</v>
      </c>
      <c r="R43">
        <v>2.7564896302071431</v>
      </c>
      <c r="S43">
        <v>0.48533818911658955</v>
      </c>
      <c r="T43">
        <v>-26.882956405738042</v>
      </c>
      <c r="U43">
        <v>-6.5793228109223776</v>
      </c>
      <c r="V43">
        <v>6.5494786294651703</v>
      </c>
      <c r="W43">
        <v>-5.7456417562189586</v>
      </c>
      <c r="X43">
        <v>1.5241884113369224</v>
      </c>
      <c r="Y43">
        <v>0.92021647342698998</v>
      </c>
      <c r="Z43">
        <v>-11.502685702684076</v>
      </c>
      <c r="AA43">
        <v>-1.6326141918307968</v>
      </c>
      <c r="AB43">
        <v>17.619727364199434</v>
      </c>
      <c r="AC43">
        <v>7.4968429388774354</v>
      </c>
      <c r="AD43">
        <v>3.2483772516415783</v>
      </c>
      <c r="AE43">
        <v>22.856034751818527</v>
      </c>
      <c r="AF43">
        <v>33.445364747958777</v>
      </c>
      <c r="AG43">
        <v>159.99343317293096</v>
      </c>
      <c r="AH43">
        <v>5.8275282866416376</v>
      </c>
      <c r="AI43">
        <v>31.810693149320947</v>
      </c>
      <c r="AJ43">
        <v>6.3297671353851044</v>
      </c>
      <c r="AK43">
        <v>33.582212731447783</v>
      </c>
      <c r="AL43">
        <v>36.528653686745656</v>
      </c>
      <c r="AM43">
        <v>8.7772922392858561</v>
      </c>
      <c r="AN43">
        <v>-2.2262401501169009</v>
      </c>
      <c r="AO43">
        <v>-57.904868424436927</v>
      </c>
      <c r="AP43">
        <v>14.666025890246473</v>
      </c>
      <c r="AQ43">
        <v>1.4918564089023025</v>
      </c>
      <c r="AR43">
        <v>41.209503473037273</v>
      </c>
      <c r="AS43">
        <v>67.026103275062269</v>
      </c>
      <c r="AT43">
        <v>-48.560587347843139</v>
      </c>
      <c r="AU43">
        <v>-16.961104232798675</v>
      </c>
      <c r="AV43">
        <v>-8.1255820362383702</v>
      </c>
      <c r="AW43">
        <v>150.93992612577543</v>
      </c>
      <c r="AX43">
        <v>-40.217037908477778</v>
      </c>
      <c r="AY43">
        <v>7.3665968699858881</v>
      </c>
      <c r="AZ43">
        <v>6.4109790211295312</v>
      </c>
      <c r="BA43">
        <v>177.46842828498524</v>
      </c>
      <c r="BB43">
        <v>-5.6880863241880846</v>
      </c>
      <c r="BC43">
        <v>15.094334076365726</v>
      </c>
      <c r="BD43">
        <v>49.934472597627405</v>
      </c>
      <c r="BE43">
        <v>-1.4313673835573582E-2</v>
      </c>
      <c r="BF43">
        <v>-3.1645805043010711</v>
      </c>
      <c r="BG43">
        <v>1.6361715692493135</v>
      </c>
      <c r="BH43">
        <v>-4.6348541979052982</v>
      </c>
      <c r="BI43">
        <v>-227.92571685590246</v>
      </c>
      <c r="BJ43">
        <v>-33.922770024043359</v>
      </c>
      <c r="BK43">
        <v>-47.195333980719511</v>
      </c>
      <c r="BL43">
        <v>-14.51529145604546</v>
      </c>
      <c r="BM43">
        <v>-29.517459606044099</v>
      </c>
      <c r="BN43">
        <v>6.2849134177359787</v>
      </c>
      <c r="BO43">
        <v>-14.684391570802141</v>
      </c>
      <c r="BP43">
        <v>-51.242510836673091</v>
      </c>
      <c r="BQ43">
        <v>-29.097377242899327</v>
      </c>
      <c r="BR43">
        <v>-505.62824247829121</v>
      </c>
      <c r="BS43">
        <v>-88.607649344972003</v>
      </c>
      <c r="BT43">
        <v>-83.002103689353703</v>
      </c>
      <c r="BU43">
        <v>-184.68635788736549</v>
      </c>
      <c r="BV43">
        <v>-33.704782894014755</v>
      </c>
      <c r="BW43">
        <v>-84.73258033231275</v>
      </c>
      <c r="BX43">
        <v>-5.6184192675135449</v>
      </c>
      <c r="BY43">
        <v>-46.621851853043552</v>
      </c>
      <c r="BZ43">
        <v>-145.57033484449448</v>
      </c>
      <c r="CA43">
        <v>-20.567760069272822</v>
      </c>
      <c r="CB43">
        <v>0.7042598046958517</v>
      </c>
      <c r="CC43">
        <v>-13.812327989506457</v>
      </c>
      <c r="CD43">
        <v>-10.309849614000569</v>
      </c>
      <c r="CE43">
        <v>8.6635967696086595</v>
      </c>
      <c r="CF43">
        <v>-31.007767099690454</v>
      </c>
      <c r="CG43">
        <v>-70.473663607134768</v>
      </c>
      <c r="CH43">
        <v>-249.52282018810831</v>
      </c>
      <c r="CI43">
        <v>-445.91489184663044</v>
      </c>
      <c r="CJ43">
        <v>-148.72843896229335</v>
      </c>
      <c r="CK43">
        <v>-204.12050507492086</v>
      </c>
      <c r="CL43">
        <v>-193.731591344241</v>
      </c>
      <c r="CM43">
        <v>-178.50779704999218</v>
      </c>
      <c r="CN43">
        <v>-331.27309076540541</v>
      </c>
      <c r="CO43">
        <v>-81.263943673732712</v>
      </c>
      <c r="CP43">
        <v>-14.314973177053162</v>
      </c>
      <c r="CQ43">
        <v>-106.12334884826011</v>
      </c>
      <c r="CR43">
        <v>7.2177474508010278</v>
      </c>
      <c r="CS43">
        <v>-156.77537154369611</v>
      </c>
      <c r="CT43">
        <v>-144.97264513297296</v>
      </c>
      <c r="CU43">
        <v>-0.72056767053518911</v>
      </c>
      <c r="CV43">
        <v>-1505.3413569418917</v>
      </c>
      <c r="CW43">
        <v>-38.965396733466719</v>
      </c>
      <c r="CX43">
        <v>1.2383005864310803</v>
      </c>
      <c r="CY43">
        <v>-83.595245006698178</v>
      </c>
      <c r="CZ43">
        <v>-61.742287343891277</v>
      </c>
      <c r="DA43">
        <v>78.268778295899722</v>
      </c>
      <c r="DB43">
        <v>56.905847117888811</v>
      </c>
      <c r="DC43">
        <v>17.284125593448323</v>
      </c>
      <c r="DD43">
        <v>35.671223862312246</v>
      </c>
      <c r="DE43">
        <v>10.858695905552736</v>
      </c>
      <c r="DF43">
        <v>-161.1552719238266</v>
      </c>
      <c r="DG43">
        <v>12.38025892012206</v>
      </c>
      <c r="DH43">
        <v>-28.465836997189172</v>
      </c>
      <c r="DI43">
        <v>14.428518923261109</v>
      </c>
      <c r="DJ43">
        <v>-7.8546063088906521</v>
      </c>
      <c r="DK43">
        <v>31.367485449369951</v>
      </c>
      <c r="DL43">
        <v>4.0314883986794712</v>
      </c>
      <c r="DM43">
        <v>68.679771197459559</v>
      </c>
      <c r="DN43">
        <v>-30.369070014575072</v>
      </c>
      <c r="DO43">
        <v>18.141841723320482</v>
      </c>
      <c r="DP43">
        <v>30.926598380650603</v>
      </c>
      <c r="DQ43">
        <v>-34.002766010758023</v>
      </c>
      <c r="DR43">
        <v>4.3242546093780163</v>
      </c>
      <c r="DS43">
        <v>48.546805066495267</v>
      </c>
      <c r="DT43">
        <v>-4.434672682229305</v>
      </c>
      <c r="DU43">
        <v>1.9839278417838386</v>
      </c>
      <c r="DV43">
        <v>-20.022463648232815</v>
      </c>
      <c r="DW43">
        <v>-11.084712759256774</v>
      </c>
      <c r="DX43">
        <v>10.48729289179164</v>
      </c>
      <c r="DY43">
        <v>9.7134238617587414</v>
      </c>
      <c r="DZ43">
        <v>-34.899629150236692</v>
      </c>
      <c r="EA43">
        <v>-38.399375085331144</v>
      </c>
      <c r="EB43">
        <v>13.746696865283184</v>
      </c>
      <c r="EC43">
        <v>-4.0293150603974865</v>
      </c>
      <c r="ED43">
        <v>-11.5427344822007</v>
      </c>
      <c r="EE43">
        <v>-35.397988069813437</v>
      </c>
      <c r="EF43">
        <v>-3.5381026212377833</v>
      </c>
      <c r="EG43">
        <v>-25.935535737501709</v>
      </c>
      <c r="EH43">
        <v>-138.19127913095622</v>
      </c>
      <c r="EI43">
        <v>-5443.6073173711611</v>
      </c>
    </row>
    <row r="44" spans="1:139" x14ac:dyDescent="0.25">
      <c r="A44">
        <v>42</v>
      </c>
      <c r="B44">
        <v>-89.537915565915455</v>
      </c>
      <c r="C44">
        <v>-26.11252133894277</v>
      </c>
      <c r="D44">
        <v>-3.470964391201516</v>
      </c>
      <c r="E44">
        <v>-15.44712973757089</v>
      </c>
      <c r="F44">
        <v>0.87521943025834081</v>
      </c>
      <c r="G44">
        <v>1.7423242560897798</v>
      </c>
      <c r="H44">
        <v>-127.01541848384807</v>
      </c>
      <c r="I44">
        <v>0.16313355523687889</v>
      </c>
      <c r="J44">
        <v>6.5953559028507058</v>
      </c>
      <c r="K44">
        <v>0.28285059892089581</v>
      </c>
      <c r="L44">
        <v>-0.73323211983681347</v>
      </c>
      <c r="M44">
        <v>0.97866702525675464</v>
      </c>
      <c r="N44">
        <v>-94.832309563356375</v>
      </c>
      <c r="O44">
        <v>3.7917424625518947</v>
      </c>
      <c r="P44">
        <v>69.654241016938329</v>
      </c>
      <c r="Q44">
        <v>-50.258497888502234</v>
      </c>
      <c r="R44">
        <v>2.7173014294119575</v>
      </c>
      <c r="S44">
        <v>-0.53289076400395174</v>
      </c>
      <c r="T44">
        <v>-27.452239122874715</v>
      </c>
      <c r="U44">
        <v>-6.922335865960207</v>
      </c>
      <c r="V44">
        <v>1.2964741300784226</v>
      </c>
      <c r="W44">
        <v>-7.3463776171284394</v>
      </c>
      <c r="X44">
        <v>1.0572488396833535</v>
      </c>
      <c r="Y44">
        <v>0.84450439555938317</v>
      </c>
      <c r="Z44">
        <v>-11.081614424941407</v>
      </c>
      <c r="AA44">
        <v>-1.8804456494697916</v>
      </c>
      <c r="AB44">
        <v>15.555053682832181</v>
      </c>
      <c r="AC44">
        <v>7.3389905942922411</v>
      </c>
      <c r="AD44">
        <v>3.0436121145721415</v>
      </c>
      <c r="AE44">
        <v>22.491773939399764</v>
      </c>
      <c r="AF44">
        <v>32.319566544537807</v>
      </c>
      <c r="AG44">
        <v>146.64256294127381</v>
      </c>
      <c r="AH44">
        <v>5.6609703497049537</v>
      </c>
      <c r="AI44">
        <v>30.902324530808002</v>
      </c>
      <c r="AJ44">
        <v>6.187988495979333</v>
      </c>
      <c r="AK44">
        <v>32.630743382877654</v>
      </c>
      <c r="AL44">
        <v>34.575317611065969</v>
      </c>
      <c r="AM44">
        <v>8.4846276612917606</v>
      </c>
      <c r="AN44">
        <v>-2.2550493280688748</v>
      </c>
      <c r="AO44">
        <v>-63.533652236395312</v>
      </c>
      <c r="AP44">
        <v>14.377444671165421</v>
      </c>
      <c r="AQ44">
        <v>1.4127258689123874</v>
      </c>
      <c r="AR44">
        <v>39.970698453650925</v>
      </c>
      <c r="AS44">
        <v>60.524835830672373</v>
      </c>
      <c r="AT44">
        <v>-49.259243406843268</v>
      </c>
      <c r="AU44">
        <v>-14.279479972757088</v>
      </c>
      <c r="AV44">
        <v>-10.58891052928891</v>
      </c>
      <c r="AW44">
        <v>137.87283876124366</v>
      </c>
      <c r="AX44">
        <v>-61.171048575638451</v>
      </c>
      <c r="AY44">
        <v>7.361829592112036</v>
      </c>
      <c r="AZ44">
        <v>6.1764612383958735</v>
      </c>
      <c r="BA44">
        <v>148.34402009045675</v>
      </c>
      <c r="BB44">
        <v>-5.9305262554828673</v>
      </c>
      <c r="BC44">
        <v>14.190345628888366</v>
      </c>
      <c r="BD44">
        <v>45.144047462376989</v>
      </c>
      <c r="BE44">
        <v>-5.7027354697567034E-2</v>
      </c>
      <c r="BF44">
        <v>-0.69029059327623088</v>
      </c>
      <c r="BG44">
        <v>-0.73226878751586355</v>
      </c>
      <c r="BH44">
        <v>-4.986986481480443</v>
      </c>
      <c r="BI44">
        <v>-244.42708409938405</v>
      </c>
      <c r="BJ44">
        <v>-35.759653896124405</v>
      </c>
      <c r="BK44">
        <v>-48.710224635292434</v>
      </c>
      <c r="BL44">
        <v>-14.227446144119597</v>
      </c>
      <c r="BM44">
        <v>-31.280786228508362</v>
      </c>
      <c r="BN44">
        <v>6.0862441160145409</v>
      </c>
      <c r="BO44">
        <v>-15.035504257343455</v>
      </c>
      <c r="BP44">
        <v>-50.566736399372758</v>
      </c>
      <c r="BQ44">
        <v>-29.564349020564961</v>
      </c>
      <c r="BR44">
        <v>-538.80882125860444</v>
      </c>
      <c r="BS44">
        <v>-92.209387296644934</v>
      </c>
      <c r="BT44">
        <v>-84.695530474389898</v>
      </c>
      <c r="BU44">
        <v>-180.27196140468288</v>
      </c>
      <c r="BV44">
        <v>-34.498833919365012</v>
      </c>
      <c r="BW44">
        <v>-88.152028774820224</v>
      </c>
      <c r="BX44">
        <v>-6.2713191452479293</v>
      </c>
      <c r="BY44">
        <v>-46.578036257638075</v>
      </c>
      <c r="BZ44">
        <v>-155.29384382574131</v>
      </c>
      <c r="CA44">
        <v>-21.035393613826329</v>
      </c>
      <c r="CB44">
        <v>0.38207895292809724</v>
      </c>
      <c r="CC44">
        <v>-17.255077399423499</v>
      </c>
      <c r="CD44">
        <v>-12.091417790134614</v>
      </c>
      <c r="CE44">
        <v>6.8116731974324125</v>
      </c>
      <c r="CF44">
        <v>-35.244383769010369</v>
      </c>
      <c r="CG44">
        <v>-115.78313452218572</v>
      </c>
      <c r="CH44">
        <v>-249.66228498844168</v>
      </c>
      <c r="CI44">
        <v>-442.2282900113662</v>
      </c>
      <c r="CJ44">
        <v>-146.6939171632005</v>
      </c>
      <c r="CK44">
        <v>-204.99311967605388</v>
      </c>
      <c r="CL44">
        <v>-195.21969318612946</v>
      </c>
      <c r="CM44">
        <v>-182.32707120878229</v>
      </c>
      <c r="CN44">
        <v>-341.53571889648492</v>
      </c>
      <c r="CO44">
        <v>-81.40195289666903</v>
      </c>
      <c r="CP44">
        <v>-14.582511204781497</v>
      </c>
      <c r="CQ44">
        <v>-105.52347292750189</v>
      </c>
      <c r="CR44">
        <v>4.4548723252129889</v>
      </c>
      <c r="CS44">
        <v>-168.34853987625957</v>
      </c>
      <c r="CT44">
        <v>-153.21415759313163</v>
      </c>
      <c r="CU44">
        <v>-1.3684468054138534</v>
      </c>
      <c r="CV44">
        <v>-1603.5048310968414</v>
      </c>
      <c r="CW44">
        <v>-37.919705971106225</v>
      </c>
      <c r="CX44">
        <v>1.1124189135456675</v>
      </c>
      <c r="CY44">
        <v>-87.085764417456176</v>
      </c>
      <c r="CZ44">
        <v>-61.535638033000083</v>
      </c>
      <c r="DA44">
        <v>76.469774618462679</v>
      </c>
      <c r="DB44">
        <v>54.979341860547152</v>
      </c>
      <c r="DC44">
        <v>16.736675717523553</v>
      </c>
      <c r="DD44">
        <v>35.273723148474005</v>
      </c>
      <c r="DE44">
        <v>10.682883464847862</v>
      </c>
      <c r="DF44">
        <v>-175.30902998859438</v>
      </c>
      <c r="DG44">
        <v>7.9985674667731246</v>
      </c>
      <c r="DH44">
        <v>-32.295553095226069</v>
      </c>
      <c r="DI44">
        <v>13.36567541618632</v>
      </c>
      <c r="DJ44">
        <v>-13.177856466850926</v>
      </c>
      <c r="DK44">
        <v>26.572983783735708</v>
      </c>
      <c r="DL44">
        <v>1.9686292179586644</v>
      </c>
      <c r="DM44">
        <v>63.94676828499837</v>
      </c>
      <c r="DN44">
        <v>-36.093891454165259</v>
      </c>
      <c r="DO44">
        <v>17.467340791871493</v>
      </c>
      <c r="DP44">
        <v>34.620269175490307</v>
      </c>
      <c r="DQ44">
        <v>-50.365990225371206</v>
      </c>
      <c r="DR44">
        <v>3.2325840351363979</v>
      </c>
      <c r="DS44">
        <v>46.658035173636677</v>
      </c>
      <c r="DT44">
        <v>-4.5812444764254749</v>
      </c>
      <c r="DU44">
        <v>0.29362234584391445</v>
      </c>
      <c r="DV44">
        <v>-19.936458794439488</v>
      </c>
      <c r="DW44">
        <v>-10.654957295027884</v>
      </c>
      <c r="DX44">
        <v>8.9380367240680698</v>
      </c>
      <c r="DY44">
        <v>9.4206112534244824</v>
      </c>
      <c r="DZ44">
        <v>-33.60121060243705</v>
      </c>
      <c r="EA44">
        <v>-40.648962998754769</v>
      </c>
      <c r="EB44">
        <v>13.553729295365656</v>
      </c>
      <c r="EC44">
        <v>-4.0312026024811942</v>
      </c>
      <c r="ED44">
        <v>-11.628231500588058</v>
      </c>
      <c r="EE44">
        <v>-36.249368998170667</v>
      </c>
      <c r="EF44">
        <v>-2.771419144679669</v>
      </c>
      <c r="EG44">
        <v>-25.138452982767717</v>
      </c>
      <c r="EH44">
        <v>-144.33797081698253</v>
      </c>
      <c r="EI44">
        <v>-5919.6018658141802</v>
      </c>
    </row>
    <row r="45" spans="1:139" x14ac:dyDescent="0.25">
      <c r="A45">
        <v>43</v>
      </c>
      <c r="B45">
        <v>-91.104481459321164</v>
      </c>
      <c r="C45">
        <v>-26.667526573499629</v>
      </c>
      <c r="D45">
        <v>-3.4404424591084464</v>
      </c>
      <c r="E45">
        <v>-15.708676467088367</v>
      </c>
      <c r="F45">
        <v>0.87711622033439807</v>
      </c>
      <c r="G45">
        <v>1.7458940497861408</v>
      </c>
      <c r="H45">
        <v>-135.12952773679046</v>
      </c>
      <c r="I45">
        <v>0.15717498442666411</v>
      </c>
      <c r="J45">
        <v>6.3568839366445715</v>
      </c>
      <c r="K45">
        <v>0.26344196313248514</v>
      </c>
      <c r="L45">
        <v>-1.3171439669995806</v>
      </c>
      <c r="M45">
        <v>0.8942328018516692</v>
      </c>
      <c r="N45">
        <v>-99.957914438740431</v>
      </c>
      <c r="O45">
        <v>2.6844473660686106</v>
      </c>
      <c r="P45">
        <v>69.162318113692208</v>
      </c>
      <c r="Q45">
        <v>-53.181750855998359</v>
      </c>
      <c r="R45">
        <v>2.6830862884660731</v>
      </c>
      <c r="S45">
        <v>-1.5018475223349412</v>
      </c>
      <c r="T45">
        <v>-27.995571265286486</v>
      </c>
      <c r="U45">
        <v>-7.2454131447231305</v>
      </c>
      <c r="V45">
        <v>-3.5993880690305105</v>
      </c>
      <c r="W45">
        <v>-8.8862841701095476</v>
      </c>
      <c r="X45">
        <v>0.60977391268343695</v>
      </c>
      <c r="Y45">
        <v>0.70648281518678857</v>
      </c>
      <c r="Z45">
        <v>-10.771457207572482</v>
      </c>
      <c r="AA45">
        <v>-2.1111039462998562</v>
      </c>
      <c r="AB45">
        <v>13.703813245730089</v>
      </c>
      <c r="AC45">
        <v>7.1808449611402239</v>
      </c>
      <c r="AD45">
        <v>2.8254117813200494</v>
      </c>
      <c r="AE45">
        <v>22.178577084080601</v>
      </c>
      <c r="AF45">
        <v>31.223575896922142</v>
      </c>
      <c r="AG45">
        <v>133.97615123782862</v>
      </c>
      <c r="AH45">
        <v>5.4949045228668041</v>
      </c>
      <c r="AI45">
        <v>30.179528230741283</v>
      </c>
      <c r="AJ45">
        <v>6.0331666434750773</v>
      </c>
      <c r="AK45">
        <v>31.733406023196068</v>
      </c>
      <c r="AL45">
        <v>32.829869499336411</v>
      </c>
      <c r="AM45">
        <v>8.2058725070953003</v>
      </c>
      <c r="AN45">
        <v>-2.2816711540346617</v>
      </c>
      <c r="AO45">
        <v>-68.814298665882404</v>
      </c>
      <c r="AP45">
        <v>14.089795949380175</v>
      </c>
      <c r="AQ45">
        <v>1.336479030515207</v>
      </c>
      <c r="AR45">
        <v>38.816232020734105</v>
      </c>
      <c r="AS45">
        <v>54.534249369771828</v>
      </c>
      <c r="AT45">
        <v>-49.945132821709535</v>
      </c>
      <c r="AU45">
        <v>-12.252622570652022</v>
      </c>
      <c r="AV45">
        <v>-12.947403496496008</v>
      </c>
      <c r="AW45">
        <v>125.48525816918144</v>
      </c>
      <c r="AX45">
        <v>-81.098312383164284</v>
      </c>
      <c r="AY45">
        <v>7.3606897050889071</v>
      </c>
      <c r="AZ45">
        <v>5.9679443038478155</v>
      </c>
      <c r="BA45">
        <v>120.63673542175695</v>
      </c>
      <c r="BB45">
        <v>-6.1671012819652553</v>
      </c>
      <c r="BC45">
        <v>13.339882598845364</v>
      </c>
      <c r="BD45">
        <v>40.573300960224969</v>
      </c>
      <c r="BE45">
        <v>-0.15902181132005921</v>
      </c>
      <c r="BF45">
        <v>1.5009861936118654</v>
      </c>
      <c r="BG45">
        <v>-3.066557305704805</v>
      </c>
      <c r="BH45">
        <v>-5.3530651546213335</v>
      </c>
      <c r="BI45">
        <v>-260.13028913642756</v>
      </c>
      <c r="BJ45">
        <v>-37.495452368536291</v>
      </c>
      <c r="BK45">
        <v>-50.189656528865783</v>
      </c>
      <c r="BL45">
        <v>-13.952615626709559</v>
      </c>
      <c r="BM45">
        <v>-32.835256912115653</v>
      </c>
      <c r="BN45">
        <v>6.0101093877033946</v>
      </c>
      <c r="BO45">
        <v>-15.292543819548804</v>
      </c>
      <c r="BP45">
        <v>-50.129784296554817</v>
      </c>
      <c r="BQ45">
        <v>-29.921161978843443</v>
      </c>
      <c r="BR45">
        <v>-571.31512384776215</v>
      </c>
      <c r="BS45">
        <v>-95.686006919034412</v>
      </c>
      <c r="BT45">
        <v>-86.1386157018419</v>
      </c>
      <c r="BU45">
        <v>-177.05875585151239</v>
      </c>
      <c r="BV45">
        <v>-35.122068378583123</v>
      </c>
      <c r="BW45">
        <v>-90.864185937364823</v>
      </c>
      <c r="BX45">
        <v>-6.8784922736984697</v>
      </c>
      <c r="BY45">
        <v>-46.622290890614266</v>
      </c>
      <c r="BZ45">
        <v>-164.57966000940792</v>
      </c>
      <c r="CA45">
        <v>-21.377472566994555</v>
      </c>
      <c r="CB45">
        <v>9.8822011172828184E-2</v>
      </c>
      <c r="CC45">
        <v>-20.431072586020491</v>
      </c>
      <c r="CD45">
        <v>-13.748428111517768</v>
      </c>
      <c r="CE45">
        <v>5.0802483146791246</v>
      </c>
      <c r="CF45">
        <v>-39.328431665124299</v>
      </c>
      <c r="CG45">
        <v>-158.84230225681677</v>
      </c>
      <c r="CH45">
        <v>-249.71187637616674</v>
      </c>
      <c r="CI45">
        <v>-436.49391868233249</v>
      </c>
      <c r="CJ45">
        <v>-144.69322510169562</v>
      </c>
      <c r="CK45">
        <v>-205.3172777901035</v>
      </c>
      <c r="CL45">
        <v>-195.0382621203554</v>
      </c>
      <c r="CM45">
        <v>-185.52731796370813</v>
      </c>
      <c r="CN45">
        <v>-351.63885290981489</v>
      </c>
      <c r="CO45">
        <v>-81.541152986304041</v>
      </c>
      <c r="CP45">
        <v>-14.825304176061678</v>
      </c>
      <c r="CQ45">
        <v>-104.56601629723393</v>
      </c>
      <c r="CR45">
        <v>1.9071078961319472</v>
      </c>
      <c r="CS45">
        <v>-179.87642460905863</v>
      </c>
      <c r="CT45">
        <v>-161.29093313562271</v>
      </c>
      <c r="CU45">
        <v>-1.9840858560301058</v>
      </c>
      <c r="CV45">
        <v>-1700.1002401979495</v>
      </c>
      <c r="CW45">
        <v>-37.002228195144369</v>
      </c>
      <c r="CX45">
        <v>1.0152052763514234</v>
      </c>
      <c r="CY45">
        <v>-90.530799990717469</v>
      </c>
      <c r="CZ45">
        <v>-60.973102644600985</v>
      </c>
      <c r="DA45">
        <v>74.639386329480601</v>
      </c>
      <c r="DB45">
        <v>52.986056957915139</v>
      </c>
      <c r="DC45">
        <v>16.161221289152877</v>
      </c>
      <c r="DD45">
        <v>34.772722286829605</v>
      </c>
      <c r="DE45">
        <v>10.494999415267344</v>
      </c>
      <c r="DF45">
        <v>-189.44927992965222</v>
      </c>
      <c r="DG45">
        <v>3.5281066861149384</v>
      </c>
      <c r="DH45">
        <v>-36.630107328916438</v>
      </c>
      <c r="DI45">
        <v>12.202120292985285</v>
      </c>
      <c r="DJ45">
        <v>-18.941721817136795</v>
      </c>
      <c r="DK45">
        <v>21.842423391891543</v>
      </c>
      <c r="DL45">
        <v>-0.15062214799729645</v>
      </c>
      <c r="DM45">
        <v>59.095646209778579</v>
      </c>
      <c r="DN45">
        <v>-42.269254449655364</v>
      </c>
      <c r="DO45">
        <v>16.731260246216664</v>
      </c>
      <c r="DP45">
        <v>37.303344195621492</v>
      </c>
      <c r="DQ45">
        <v>-66.592047127855949</v>
      </c>
      <c r="DR45">
        <v>2.0096093166586968</v>
      </c>
      <c r="DS45">
        <v>44.646508733783207</v>
      </c>
      <c r="DT45">
        <v>-4.7130529719573815</v>
      </c>
      <c r="DU45">
        <v>-1.3965045458230634</v>
      </c>
      <c r="DV45">
        <v>-19.928261518445993</v>
      </c>
      <c r="DW45">
        <v>-10.25515179828551</v>
      </c>
      <c r="DX45">
        <v>7.3904141126657805</v>
      </c>
      <c r="DY45">
        <v>9.1252497868068048</v>
      </c>
      <c r="DZ45">
        <v>-32.274617422357025</v>
      </c>
      <c r="EA45">
        <v>-42.834836541763366</v>
      </c>
      <c r="EB45">
        <v>13.22307592203191</v>
      </c>
      <c r="EC45">
        <v>-4.0307003030490165</v>
      </c>
      <c r="ED45">
        <v>-11.704578308179734</v>
      </c>
      <c r="EE45">
        <v>-37.340480670594843</v>
      </c>
      <c r="EF45">
        <v>-2.063627086018414</v>
      </c>
      <c r="EG45">
        <v>-24.629250515185049</v>
      </c>
      <c r="EH45">
        <v>-150.31588308891878</v>
      </c>
      <c r="EI45">
        <v>-6379.6632143288343</v>
      </c>
    </row>
    <row r="46" spans="1:139" x14ac:dyDescent="0.25">
      <c r="A46">
        <v>44</v>
      </c>
      <c r="B46">
        <v>-92.681171434303906</v>
      </c>
      <c r="C46">
        <v>-27.277456596778222</v>
      </c>
      <c r="D46">
        <v>-3.405440444634305</v>
      </c>
      <c r="E46">
        <v>-15.961366023106223</v>
      </c>
      <c r="F46">
        <v>0.87808465529792112</v>
      </c>
      <c r="G46">
        <v>1.7482331583708246</v>
      </c>
      <c r="H46">
        <v>-143.13071072071386</v>
      </c>
      <c r="I46">
        <v>0.14998066585856051</v>
      </c>
      <c r="J46">
        <v>6.1303816628745196</v>
      </c>
      <c r="K46">
        <v>0.2436120089754219</v>
      </c>
      <c r="L46">
        <v>-1.8596831199468369</v>
      </c>
      <c r="M46">
        <v>0.8066909281385044</v>
      </c>
      <c r="N46">
        <v>-104.94198142151106</v>
      </c>
      <c r="O46">
        <v>1.5777478120758701</v>
      </c>
      <c r="P46">
        <v>68.560455069709434</v>
      </c>
      <c r="Q46">
        <v>-55.934467886075879</v>
      </c>
      <c r="R46">
        <v>2.6490972202656775</v>
      </c>
      <c r="S46">
        <v>-2.4284465752038784</v>
      </c>
      <c r="T46">
        <v>-28.544111768299587</v>
      </c>
      <c r="U46">
        <v>-7.61967050477881</v>
      </c>
      <c r="V46">
        <v>-8.2462306196758846</v>
      </c>
      <c r="W46">
        <v>-10.37012285956331</v>
      </c>
      <c r="X46">
        <v>0.17635237213028176</v>
      </c>
      <c r="Y46">
        <v>0.49580499763411012</v>
      </c>
      <c r="Z46">
        <v>-10.574755187444595</v>
      </c>
      <c r="AA46">
        <v>-2.330054816126669</v>
      </c>
      <c r="AB46">
        <v>11.935838757381021</v>
      </c>
      <c r="AC46">
        <v>7.0038729049954611</v>
      </c>
      <c r="AD46">
        <v>2.5889113730852102</v>
      </c>
      <c r="AE46">
        <v>21.892263159547454</v>
      </c>
      <c r="AF46">
        <v>30.142271534331769</v>
      </c>
      <c r="AG46">
        <v>121.8021228180346</v>
      </c>
      <c r="AH46">
        <v>5.329086477568076</v>
      </c>
      <c r="AI46">
        <v>29.655643786040272</v>
      </c>
      <c r="AJ46">
        <v>5.867532934513001</v>
      </c>
      <c r="AK46">
        <v>30.856730250313348</v>
      </c>
      <c r="AL46">
        <v>31.264529303687766</v>
      </c>
      <c r="AM46">
        <v>7.9365823132974498</v>
      </c>
      <c r="AN46">
        <v>-2.3077200023085354</v>
      </c>
      <c r="AO46">
        <v>-73.737894141002926</v>
      </c>
      <c r="AP46">
        <v>13.798713456080435</v>
      </c>
      <c r="AQ46">
        <v>1.2623216188189073</v>
      </c>
      <c r="AR46">
        <v>37.709598230450837</v>
      </c>
      <c r="AS46">
        <v>49.093968296463913</v>
      </c>
      <c r="AT46">
        <v>-50.606300428276356</v>
      </c>
      <c r="AU46">
        <v>-10.728489186569561</v>
      </c>
      <c r="AV46">
        <v>-15.210590849210632</v>
      </c>
      <c r="AW46">
        <v>114.15215607712851</v>
      </c>
      <c r="AX46">
        <v>-100.36260675776339</v>
      </c>
      <c r="AY46">
        <v>7.3595755164621508</v>
      </c>
      <c r="AZ46">
        <v>5.7770437081047259</v>
      </c>
      <c r="BA46">
        <v>94.776612070381987</v>
      </c>
      <c r="BB46">
        <v>-6.3942538690436095</v>
      </c>
      <c r="BC46">
        <v>12.538321720842916</v>
      </c>
      <c r="BD46">
        <v>36.173371409158904</v>
      </c>
      <c r="BE46">
        <v>-0.39025818133561074</v>
      </c>
      <c r="BF46">
        <v>3.2587546267202185</v>
      </c>
      <c r="BG46">
        <v>-5.4231576715909569</v>
      </c>
      <c r="BH46">
        <v>-5.7494613864753035</v>
      </c>
      <c r="BI46">
        <v>-275.34551686295436</v>
      </c>
      <c r="BJ46">
        <v>-39.211450119552808</v>
      </c>
      <c r="BK46">
        <v>-51.837765806473897</v>
      </c>
      <c r="BL46">
        <v>-13.847858959118497</v>
      </c>
      <c r="BM46">
        <v>-34.308617776442816</v>
      </c>
      <c r="BN46">
        <v>6.0246682497297641</v>
      </c>
      <c r="BO46">
        <v>-15.510974711142616</v>
      </c>
      <c r="BP46">
        <v>-50.973481035804298</v>
      </c>
      <c r="BQ46">
        <v>-30.237546701116642</v>
      </c>
      <c r="BR46">
        <v>-603.81418332307567</v>
      </c>
      <c r="BS46">
        <v>-99.131313728564805</v>
      </c>
      <c r="BT46">
        <v>-87.675678506445024</v>
      </c>
      <c r="BU46">
        <v>-176.05350036957441</v>
      </c>
      <c r="BV46">
        <v>-35.690230772283996</v>
      </c>
      <c r="BW46">
        <v>-93.365360443575014</v>
      </c>
      <c r="BX46">
        <v>-7.5292843215575687</v>
      </c>
      <c r="BY46">
        <v>-47.05386662096501</v>
      </c>
      <c r="BZ46">
        <v>-173.5802495076764</v>
      </c>
      <c r="CA46">
        <v>-21.706442395131631</v>
      </c>
      <c r="CB46">
        <v>-0.17597888786066562</v>
      </c>
      <c r="CC46">
        <v>-23.601013284537885</v>
      </c>
      <c r="CD46">
        <v>-15.33390924007989</v>
      </c>
      <c r="CE46">
        <v>3.4418297904142037</v>
      </c>
      <c r="CF46">
        <v>-43.343888312008403</v>
      </c>
      <c r="CG46">
        <v>-200.86239205212769</v>
      </c>
      <c r="CH46">
        <v>-250.80081596258788</v>
      </c>
      <c r="CI46">
        <v>-431.47260492201337</v>
      </c>
      <c r="CJ46">
        <v>-143.44665622824249</v>
      </c>
      <c r="CK46">
        <v>-205.90161621260199</v>
      </c>
      <c r="CL46">
        <v>-194.20087609205649</v>
      </c>
      <c r="CM46">
        <v>-188.81456524098894</v>
      </c>
      <c r="CN46">
        <v>-362.59222910393828</v>
      </c>
      <c r="CO46">
        <v>-82.017224397069896</v>
      </c>
      <c r="CP46">
        <v>-15.174984552196747</v>
      </c>
      <c r="CQ46">
        <v>-103.62307216872418</v>
      </c>
      <c r="CR46">
        <v>-0.4907211757127925</v>
      </c>
      <c r="CS46">
        <v>-191.62282331181223</v>
      </c>
      <c r="CT46">
        <v>-169.2288244096269</v>
      </c>
      <c r="CU46">
        <v>-2.571766171444068</v>
      </c>
      <c r="CV46">
        <v>-1796.7011216588398</v>
      </c>
      <c r="CW46">
        <v>-36.604178908735662</v>
      </c>
      <c r="CX46">
        <v>0.88856608595114039</v>
      </c>
      <c r="CY46">
        <v>-94.372271268943223</v>
      </c>
      <c r="CZ46">
        <v>-60.362366213989951</v>
      </c>
      <c r="DA46">
        <v>72.715597348531901</v>
      </c>
      <c r="DB46">
        <v>50.748554355721922</v>
      </c>
      <c r="DC46">
        <v>15.509622217035371</v>
      </c>
      <c r="DD46">
        <v>34.185549645291644</v>
      </c>
      <c r="DE46">
        <v>10.263171836878925</v>
      </c>
      <c r="DF46">
        <v>-203.98859949119651</v>
      </c>
      <c r="DG46">
        <v>-0.95134012633809562</v>
      </c>
      <c r="DH46">
        <v>-41.528825815531718</v>
      </c>
      <c r="DI46">
        <v>11.050463673143753</v>
      </c>
      <c r="DJ46">
        <v>-25.219462814372719</v>
      </c>
      <c r="DK46">
        <v>17.091370153102616</v>
      </c>
      <c r="DL46">
        <v>-2.4324369197175884</v>
      </c>
      <c r="DM46">
        <v>54.058732378294735</v>
      </c>
      <c r="DN46">
        <v>-48.704578562309052</v>
      </c>
      <c r="DO46">
        <v>15.922616657355434</v>
      </c>
      <c r="DP46">
        <v>38.786329741423799</v>
      </c>
      <c r="DQ46">
        <v>-83.079904842829819</v>
      </c>
      <c r="DR46">
        <v>0.74811707911868552</v>
      </c>
      <c r="DS46">
        <v>42.556940622258594</v>
      </c>
      <c r="DT46">
        <v>-4.84933014522192</v>
      </c>
      <c r="DU46">
        <v>-3.2009943395320306</v>
      </c>
      <c r="DV46">
        <v>-20.096697323076398</v>
      </c>
      <c r="DW46">
        <v>-10.095863098808422</v>
      </c>
      <c r="DX46">
        <v>5.7801425814213871</v>
      </c>
      <c r="DY46">
        <v>8.8306851497646193</v>
      </c>
      <c r="DZ46">
        <v>-31.146479068288158</v>
      </c>
      <c r="EA46">
        <v>-45.082696947917725</v>
      </c>
      <c r="EB46">
        <v>12.762024010904327</v>
      </c>
      <c r="EC46">
        <v>-4.0462777886711834</v>
      </c>
      <c r="ED46">
        <v>-11.811319272479324</v>
      </c>
      <c r="EE46">
        <v>-39.41938478093698</v>
      </c>
      <c r="EF46">
        <v>-1.5617016392141068</v>
      </c>
      <c r="EG46">
        <v>-24.777156569431668</v>
      </c>
      <c r="EH46">
        <v>-156.41792904325052</v>
      </c>
      <c r="EI46">
        <v>-6847.8593583073753</v>
      </c>
    </row>
    <row r="47" spans="1:139" x14ac:dyDescent="0.25">
      <c r="A47">
        <v>45</v>
      </c>
      <c r="B47">
        <v>-94.30148612322273</v>
      </c>
      <c r="C47">
        <v>-28.00685292125047</v>
      </c>
      <c r="D47">
        <v>-3.3819751870670629</v>
      </c>
      <c r="E47">
        <v>-16.242601395049292</v>
      </c>
      <c r="F47">
        <v>0.87826307966422901</v>
      </c>
      <c r="G47">
        <v>1.7489334261987968</v>
      </c>
      <c r="H47">
        <v>-151.07650634255879</v>
      </c>
      <c r="I47">
        <v>0.14172315783321032</v>
      </c>
      <c r="J47">
        <v>5.9053993227797079</v>
      </c>
      <c r="K47">
        <v>0.22307909130563885</v>
      </c>
      <c r="L47">
        <v>-2.3732710964058583</v>
      </c>
      <c r="M47">
        <v>0.71350419822706002</v>
      </c>
      <c r="N47">
        <v>-109.88314563387348</v>
      </c>
      <c r="O47">
        <v>0.47496558440408876</v>
      </c>
      <c r="P47">
        <v>67.802848020050334</v>
      </c>
      <c r="Q47">
        <v>-58.681478315024151</v>
      </c>
      <c r="R47">
        <v>2.6125343371369762</v>
      </c>
      <c r="S47">
        <v>-3.3343916594762106</v>
      </c>
      <c r="T47">
        <v>-29.120779143919464</v>
      </c>
      <c r="U47">
        <v>-8.0737870520989929</v>
      </c>
      <c r="V47">
        <v>-12.763801760183355</v>
      </c>
      <c r="W47">
        <v>-11.809173253098237</v>
      </c>
      <c r="X47">
        <v>-0.24579836917986597</v>
      </c>
      <c r="Y47">
        <v>0.21303874457801442</v>
      </c>
      <c r="Z47">
        <v>-10.472266985670842</v>
      </c>
      <c r="AA47">
        <v>-2.5457771881435747</v>
      </c>
      <c r="AB47">
        <v>10.136772195056324</v>
      </c>
      <c r="AC47">
        <v>6.8047257712974698</v>
      </c>
      <c r="AD47">
        <v>2.3408229647252767</v>
      </c>
      <c r="AE47">
        <v>21.615501037639731</v>
      </c>
      <c r="AF47">
        <v>29.05884866891202</v>
      </c>
      <c r="AG47">
        <v>109.74946573901207</v>
      </c>
      <c r="AH47">
        <v>5.1654576171547646</v>
      </c>
      <c r="AI47">
        <v>29.299170390186077</v>
      </c>
      <c r="AJ47">
        <v>5.6936717201923273</v>
      </c>
      <c r="AK47">
        <v>29.979402777970023</v>
      </c>
      <c r="AL47">
        <v>29.837156670306598</v>
      </c>
      <c r="AM47">
        <v>7.6724303200435884</v>
      </c>
      <c r="AN47">
        <v>-2.3338639721754717</v>
      </c>
      <c r="AO47">
        <v>-78.405546661160713</v>
      </c>
      <c r="AP47">
        <v>13.503353910911045</v>
      </c>
      <c r="AQ47">
        <v>1.1906946400495162</v>
      </c>
      <c r="AR47">
        <v>36.620004565527864</v>
      </c>
      <c r="AS47">
        <v>44.109704280586129</v>
      </c>
      <c r="AT47">
        <v>-51.231447794279759</v>
      </c>
      <c r="AU47">
        <v>-9.5033445739541662</v>
      </c>
      <c r="AV47">
        <v>-17.401065992986389</v>
      </c>
      <c r="AW47">
        <v>103.84251166334505</v>
      </c>
      <c r="AX47">
        <v>-119.37396462437937</v>
      </c>
      <c r="AY47">
        <v>7.3551608270833748</v>
      </c>
      <c r="AZ47">
        <v>5.6026390412395859</v>
      </c>
      <c r="BA47">
        <v>70.465196928950263</v>
      </c>
      <c r="BB47">
        <v>-6.6094855996246196</v>
      </c>
      <c r="BC47">
        <v>11.761381106840048</v>
      </c>
      <c r="BD47">
        <v>31.883522362264557</v>
      </c>
      <c r="BE47">
        <v>-0.7426201843030924</v>
      </c>
      <c r="BF47">
        <v>4.5541165049763066</v>
      </c>
      <c r="BG47">
        <v>-7.8257555870617352</v>
      </c>
      <c r="BH47">
        <v>-6.1740922507800065</v>
      </c>
      <c r="BI47">
        <v>-290.26799279633315</v>
      </c>
      <c r="BJ47">
        <v>-40.9508478039686</v>
      </c>
      <c r="BK47">
        <v>-53.750018162070489</v>
      </c>
      <c r="BL47">
        <v>-13.988957329839963</v>
      </c>
      <c r="BM47">
        <v>-35.810995543934325</v>
      </c>
      <c r="BN47">
        <v>6.0703890044666409</v>
      </c>
      <c r="BO47">
        <v>-15.742126991267554</v>
      </c>
      <c r="BP47">
        <v>-53.589071012503382</v>
      </c>
      <c r="BQ47">
        <v>-30.572721787249407</v>
      </c>
      <c r="BR47">
        <v>-636.56437824123623</v>
      </c>
      <c r="BS47">
        <v>-102.61977261568705</v>
      </c>
      <c r="BT47">
        <v>-89.527615655099964</v>
      </c>
      <c r="BU47">
        <v>-177.52102040302884</v>
      </c>
      <c r="BV47">
        <v>-36.318594470076789</v>
      </c>
      <c r="BW47">
        <v>-96.058234243131778</v>
      </c>
      <c r="BX47">
        <v>-8.2674307833138272</v>
      </c>
      <c r="BY47">
        <v>-47.966198108870259</v>
      </c>
      <c r="BZ47">
        <v>-182.42249108636042</v>
      </c>
      <c r="CA47">
        <v>-22.112123176504923</v>
      </c>
      <c r="CB47">
        <v>-0.46675497721390968</v>
      </c>
      <c r="CC47">
        <v>-26.922401647404058</v>
      </c>
      <c r="CD47">
        <v>-16.901132487040883</v>
      </c>
      <c r="CE47">
        <v>1.8518304513355019</v>
      </c>
      <c r="CF47">
        <v>-47.365992243743904</v>
      </c>
      <c r="CG47">
        <v>-243.1522349738425</v>
      </c>
      <c r="CH47">
        <v>-253.56020958280908</v>
      </c>
      <c r="CI47">
        <v>-429.12196375055851</v>
      </c>
      <c r="CJ47">
        <v>-143.35731524707555</v>
      </c>
      <c r="CK47">
        <v>-207.36946667680854</v>
      </c>
      <c r="CL47">
        <v>-193.70080730733264</v>
      </c>
      <c r="CM47">
        <v>-192.6802185221436</v>
      </c>
      <c r="CN47">
        <v>-374.87077347608647</v>
      </c>
      <c r="CO47">
        <v>-83.026765601830505</v>
      </c>
      <c r="CP47">
        <v>-15.699982320664901</v>
      </c>
      <c r="CQ47">
        <v>-103.02699948163881</v>
      </c>
      <c r="CR47">
        <v>-2.8123481072253185</v>
      </c>
      <c r="CS47">
        <v>-203.62698383856787</v>
      </c>
      <c r="CT47">
        <v>-177.0606654189321</v>
      </c>
      <c r="CU47">
        <v>-3.1486147665507218</v>
      </c>
      <c r="CV47">
        <v>-1893.8472420059734</v>
      </c>
      <c r="CW47">
        <v>-36.841071331919181</v>
      </c>
      <c r="CX47">
        <v>0.69971935257203199</v>
      </c>
      <c r="CY47">
        <v>-98.815469814093603</v>
      </c>
      <c r="CZ47">
        <v>-59.979793464071264</v>
      </c>
      <c r="DA47">
        <v>70.685190682996677</v>
      </c>
      <c r="DB47">
        <v>48.22817726839105</v>
      </c>
      <c r="DC47">
        <v>14.770700457151236</v>
      </c>
      <c r="DD47">
        <v>33.557851127710052</v>
      </c>
      <c r="DE47">
        <v>9.9713414063520247</v>
      </c>
      <c r="DF47">
        <v>-218.96624884003131</v>
      </c>
      <c r="DG47">
        <v>-5.3611845664523798</v>
      </c>
      <c r="DH47">
        <v>-46.848036337697295</v>
      </c>
      <c r="DI47">
        <v>9.9862117549353115</v>
      </c>
      <c r="DJ47">
        <v>-31.847463297216109</v>
      </c>
      <c r="DK47">
        <v>12.322645057440695</v>
      </c>
      <c r="DL47">
        <v>-4.8851397840513755</v>
      </c>
      <c r="DM47">
        <v>48.928063278881609</v>
      </c>
      <c r="DN47">
        <v>-55.27961633800146</v>
      </c>
      <c r="DO47">
        <v>15.061140652479253</v>
      </c>
      <c r="DP47">
        <v>39.258142542698522</v>
      </c>
      <c r="DQ47">
        <v>-99.828492141478819</v>
      </c>
      <c r="DR47">
        <v>-0.45869814891588589</v>
      </c>
      <c r="DS47">
        <v>40.442782214894578</v>
      </c>
      <c r="DT47">
        <v>-5.0012850204843105</v>
      </c>
      <c r="DU47">
        <v>-5.1799404262779944</v>
      </c>
      <c r="DV47">
        <v>-20.454880606470851</v>
      </c>
      <c r="DW47">
        <v>-10.256157541463438</v>
      </c>
      <c r="DX47">
        <v>4.0917185677121779</v>
      </c>
      <c r="DY47">
        <v>8.5449974612089648</v>
      </c>
      <c r="DZ47">
        <v>-30.362316661858728</v>
      </c>
      <c r="EA47">
        <v>-47.486635336900122</v>
      </c>
      <c r="EB47">
        <v>12.206056014760009</v>
      </c>
      <c r="EC47">
        <v>-4.0872763169595672</v>
      </c>
      <c r="ED47">
        <v>-11.967621755437705</v>
      </c>
      <c r="EE47">
        <v>-42.795768854597554</v>
      </c>
      <c r="EF47">
        <v>-1.3060820629410728</v>
      </c>
      <c r="EG47">
        <v>-25.706670734434624</v>
      </c>
      <c r="EH47">
        <v>-162.85236909320315</v>
      </c>
      <c r="EI47">
        <v>-7338.6190028233723</v>
      </c>
    </row>
    <row r="48" spans="1:139" x14ac:dyDescent="0.25">
      <c r="A48">
        <v>46</v>
      </c>
      <c r="B48">
        <v>-95.96701254561799</v>
      </c>
      <c r="C48">
        <v>-28.848327969031232</v>
      </c>
      <c r="D48">
        <v>-3.3792334273364553</v>
      </c>
      <c r="E48">
        <v>-16.559310470213234</v>
      </c>
      <c r="F48">
        <v>0.87755714198514356</v>
      </c>
      <c r="G48">
        <v>1.7482331588517721</v>
      </c>
      <c r="H48">
        <v>-158.91767960935272</v>
      </c>
      <c r="I48">
        <v>0.13253113701214581</v>
      </c>
      <c r="J48">
        <v>5.6860035381630283</v>
      </c>
      <c r="K48">
        <v>0.20247946285074647</v>
      </c>
      <c r="L48">
        <v>-2.8603268448587329</v>
      </c>
      <c r="M48">
        <v>0.61649265461405722</v>
      </c>
      <c r="N48">
        <v>-114.76520236256613</v>
      </c>
      <c r="O48">
        <v>-0.59864659022159117</v>
      </c>
      <c r="P48">
        <v>66.913158923447952</v>
      </c>
      <c r="Q48">
        <v>-61.484302752617282</v>
      </c>
      <c r="R48">
        <v>2.5720735878741356</v>
      </c>
      <c r="S48">
        <v>-4.2162890253976286</v>
      </c>
      <c r="T48">
        <v>-29.724207722693365</v>
      </c>
      <c r="U48">
        <v>-8.6061397196815506</v>
      </c>
      <c r="V48">
        <v>-17.20430639191693</v>
      </c>
      <c r="W48">
        <v>-13.197954267796518</v>
      </c>
      <c r="X48">
        <v>-0.65745059912117654</v>
      </c>
      <c r="Y48">
        <v>-0.1065455870019747</v>
      </c>
      <c r="Z48">
        <v>-10.42008349971934</v>
      </c>
      <c r="AA48">
        <v>-2.761783784350591</v>
      </c>
      <c r="AB48">
        <v>8.2617733763620436</v>
      </c>
      <c r="AC48">
        <v>6.5853100155835023</v>
      </c>
      <c r="AD48">
        <v>2.090462129514215</v>
      </c>
      <c r="AE48">
        <v>21.336125646038568</v>
      </c>
      <c r="AF48">
        <v>27.979681470362095</v>
      </c>
      <c r="AG48">
        <v>97.766380321329052</v>
      </c>
      <c r="AH48">
        <v>5.0073073037832998</v>
      </c>
      <c r="AI48">
        <v>29.052766433387916</v>
      </c>
      <c r="AJ48">
        <v>5.5206408394430895</v>
      </c>
      <c r="AK48">
        <v>29.09171319297235</v>
      </c>
      <c r="AL48">
        <v>28.495831237126822</v>
      </c>
      <c r="AM48">
        <v>7.4128687722155604</v>
      </c>
      <c r="AN48">
        <v>-2.3604497759561838</v>
      </c>
      <c r="AO48">
        <v>-82.861718720894316</v>
      </c>
      <c r="AP48">
        <v>13.210898045658382</v>
      </c>
      <c r="AQ48">
        <v>1.1213616622956053</v>
      </c>
      <c r="AR48">
        <v>35.539975438691499</v>
      </c>
      <c r="AS48">
        <v>39.49739836486799</v>
      </c>
      <c r="AT48">
        <v>-51.815806576388837</v>
      </c>
      <c r="AU48">
        <v>-8.3339483823984892</v>
      </c>
      <c r="AV48">
        <v>-19.521526550809426</v>
      </c>
      <c r="AW48">
        <v>94.431166623762024</v>
      </c>
      <c r="AX48">
        <v>-138.20479842351324</v>
      </c>
      <c r="AY48">
        <v>7.3464858287591728</v>
      </c>
      <c r="AZ48">
        <v>5.435061323094418</v>
      </c>
      <c r="BA48">
        <v>47.472805538921364</v>
      </c>
      <c r="BB48">
        <v>-6.8124015276804144</v>
      </c>
      <c r="BC48">
        <v>11.000948577195032</v>
      </c>
      <c r="BD48">
        <v>27.680580453608513</v>
      </c>
      <c r="BE48">
        <v>-1.1709498809896388</v>
      </c>
      <c r="BF48">
        <v>5.4724609711444572</v>
      </c>
      <c r="BG48">
        <v>-10.237009809779124</v>
      </c>
      <c r="BH48">
        <v>-6.6129805917634883</v>
      </c>
      <c r="BI48">
        <v>-304.90109801716653</v>
      </c>
      <c r="BJ48">
        <v>-42.71645846413702</v>
      </c>
      <c r="BK48">
        <v>-55.899390198436606</v>
      </c>
      <c r="BL48">
        <v>-14.365743874224094</v>
      </c>
      <c r="BM48">
        <v>-37.387818901941557</v>
      </c>
      <c r="BN48">
        <v>6.098665972282987</v>
      </c>
      <c r="BO48">
        <v>-16.015738880184465</v>
      </c>
      <c r="BP48">
        <v>-57.82696118500121</v>
      </c>
      <c r="BQ48">
        <v>-30.959787967387925</v>
      </c>
      <c r="BR48">
        <v>-669.2497590622761</v>
      </c>
      <c r="BS48">
        <v>-106.13634813277065</v>
      </c>
      <c r="BT48">
        <v>-91.746744080003339</v>
      </c>
      <c r="BU48">
        <v>-181.13424689691396</v>
      </c>
      <c r="BV48">
        <v>-37.064327521395967</v>
      </c>
      <c r="BW48">
        <v>-99.183848075559808</v>
      </c>
      <c r="BX48">
        <v>-9.1073830189090756</v>
      </c>
      <c r="BY48">
        <v>-49.321545807301021</v>
      </c>
      <c r="BZ48">
        <v>-191.0992186741455</v>
      </c>
      <c r="CA48">
        <v>-22.629005536288105</v>
      </c>
      <c r="CB48">
        <v>-0.77794672567176804</v>
      </c>
      <c r="CC48">
        <v>-30.453860709914352</v>
      </c>
      <c r="CD48">
        <v>-18.467413345237674</v>
      </c>
      <c r="CE48">
        <v>0.30315498437653332</v>
      </c>
      <c r="CF48">
        <v>-51.384380758700104</v>
      </c>
      <c r="CG48">
        <v>-285.80835104780454</v>
      </c>
      <c r="CH48">
        <v>-257.88347848559545</v>
      </c>
      <c r="CI48">
        <v>-430.06561801697296</v>
      </c>
      <c r="CJ48">
        <v>-144.31635086047595</v>
      </c>
      <c r="CK48">
        <v>-209.79364821307729</v>
      </c>
      <c r="CL48">
        <v>-194.12929041965299</v>
      </c>
      <c r="CM48">
        <v>-197.23068867099653</v>
      </c>
      <c r="CN48">
        <v>-388.23454453305612</v>
      </c>
      <c r="CO48">
        <v>-84.526490743501057</v>
      </c>
      <c r="CP48">
        <v>-16.39917738270222</v>
      </c>
      <c r="CQ48">
        <v>-102.89217537276167</v>
      </c>
      <c r="CR48">
        <v>-5.0807498861108229</v>
      </c>
      <c r="CS48">
        <v>-215.65962937821951</v>
      </c>
      <c r="CT48">
        <v>-184.67779177237162</v>
      </c>
      <c r="CU48">
        <v>-3.7109087755722641</v>
      </c>
      <c r="CV48">
        <v>-1990.2624461201522</v>
      </c>
      <c r="CW48">
        <v>-37.635099630740569</v>
      </c>
      <c r="CX48">
        <v>0.43961293101364163</v>
      </c>
      <c r="CY48">
        <v>-103.74395993241023</v>
      </c>
      <c r="CZ48">
        <v>-59.965573101473609</v>
      </c>
      <c r="DA48">
        <v>68.599053946521224</v>
      </c>
      <c r="DB48">
        <v>45.506763405412698</v>
      </c>
      <c r="DC48">
        <v>13.971107008742251</v>
      </c>
      <c r="DD48">
        <v>32.94952621016597</v>
      </c>
      <c r="DE48">
        <v>9.6332635805897269</v>
      </c>
      <c r="DF48">
        <v>-234.05642987026204</v>
      </c>
      <c r="DG48">
        <v>-9.5294420844654724</v>
      </c>
      <c r="DH48">
        <v>-52.27453514788067</v>
      </c>
      <c r="DI48">
        <v>9.112456352286415</v>
      </c>
      <c r="DJ48">
        <v>-38.480993891467961</v>
      </c>
      <c r="DK48">
        <v>7.6179214457679336</v>
      </c>
      <c r="DL48">
        <v>-7.4149777670901358</v>
      </c>
      <c r="DM48">
        <v>43.849103905439279</v>
      </c>
      <c r="DN48">
        <v>-61.581106620622222</v>
      </c>
      <c r="DO48">
        <v>14.19467602649695</v>
      </c>
      <c r="DP48">
        <v>39.083893863596529</v>
      </c>
      <c r="DQ48">
        <v>-116.53778784769293</v>
      </c>
      <c r="DR48">
        <v>-1.534804914482919</v>
      </c>
      <c r="DS48">
        <v>38.394607500785582</v>
      </c>
      <c r="DT48">
        <v>-5.1704582017060403</v>
      </c>
      <c r="DU48">
        <v>-7.2752505037656192</v>
      </c>
      <c r="DV48">
        <v>-20.950416829103915</v>
      </c>
      <c r="DW48">
        <v>-10.702276256532684</v>
      </c>
      <c r="DX48">
        <v>2.389283288369711</v>
      </c>
      <c r="DY48">
        <v>8.2816791110507211</v>
      </c>
      <c r="DZ48">
        <v>-29.928361837283518</v>
      </c>
      <c r="EA48">
        <v>-49.999540862171671</v>
      </c>
      <c r="EB48">
        <v>11.642675850961098</v>
      </c>
      <c r="EC48">
        <v>-4.1531045572302574</v>
      </c>
      <c r="ED48">
        <v>-12.173375102849988</v>
      </c>
      <c r="EE48">
        <v>-47.213566616459957</v>
      </c>
      <c r="EF48">
        <v>-1.2682008033266357</v>
      </c>
      <c r="EG48">
        <v>-27.24535929409592</v>
      </c>
      <c r="EH48">
        <v>-169.5250957344997</v>
      </c>
      <c r="EI48">
        <v>-7847.4404977750974</v>
      </c>
    </row>
    <row r="49" spans="1:139" x14ac:dyDescent="0.25">
      <c r="A49">
        <v>47</v>
      </c>
      <c r="B49">
        <v>-97.666287009288112</v>
      </c>
      <c r="C49">
        <v>-29.787333398611736</v>
      </c>
      <c r="D49">
        <v>-3.4002068519411601</v>
      </c>
      <c r="E49">
        <v>-16.9195204580314</v>
      </c>
      <c r="F49">
        <v>0.87582396480361213</v>
      </c>
      <c r="G49">
        <v>1.7464669580191745</v>
      </c>
      <c r="H49">
        <v>-166.65126490011494</v>
      </c>
      <c r="I49">
        <v>0.12272008195558293</v>
      </c>
      <c r="J49">
        <v>5.466013053989208</v>
      </c>
      <c r="K49">
        <v>0.18197391419361875</v>
      </c>
      <c r="L49">
        <v>-3.3356393559652417</v>
      </c>
      <c r="M49">
        <v>0.51737001381984093</v>
      </c>
      <c r="N49">
        <v>-119.60847237288772</v>
      </c>
      <c r="O49">
        <v>-1.6370773130426528</v>
      </c>
      <c r="P49">
        <v>65.933409063894231</v>
      </c>
      <c r="Q49">
        <v>-64.401387001020908</v>
      </c>
      <c r="R49">
        <v>2.5274090927411348</v>
      </c>
      <c r="S49">
        <v>-5.0863188489382765</v>
      </c>
      <c r="T49">
        <v>-30.350215422914346</v>
      </c>
      <c r="U49">
        <v>-9.1997884059717023</v>
      </c>
      <c r="V49">
        <v>-21.625289400748443</v>
      </c>
      <c r="W49">
        <v>-14.547275414074477</v>
      </c>
      <c r="X49">
        <v>-1.0597480128646737</v>
      </c>
      <c r="Y49">
        <v>-0.43883217422092002</v>
      </c>
      <c r="Z49">
        <v>-10.382457276906479</v>
      </c>
      <c r="AA49">
        <v>-2.9796487850055868</v>
      </c>
      <c r="AB49">
        <v>6.2834396743375009</v>
      </c>
      <c r="AC49">
        <v>6.3535085043109945</v>
      </c>
      <c r="AD49">
        <v>1.846224789148728</v>
      </c>
      <c r="AE49">
        <v>21.037345824595874</v>
      </c>
      <c r="AF49">
        <v>26.911022368986437</v>
      </c>
      <c r="AG49">
        <v>85.811222765139519</v>
      </c>
      <c r="AH49">
        <v>4.854835015158578</v>
      </c>
      <c r="AI49">
        <v>28.829820476876435</v>
      </c>
      <c r="AJ49">
        <v>5.3536997297712574</v>
      </c>
      <c r="AK49">
        <v>28.195384551570385</v>
      </c>
      <c r="AL49">
        <v>27.1764146386856</v>
      </c>
      <c r="AM49">
        <v>7.1565210616628718</v>
      </c>
      <c r="AN49">
        <v>-2.3878961619012742</v>
      </c>
      <c r="AO49">
        <v>-87.201197363053723</v>
      </c>
      <c r="AP49">
        <v>12.923535295493011</v>
      </c>
      <c r="AQ49">
        <v>1.0543309201326245</v>
      </c>
      <c r="AR49">
        <v>34.455542890295419</v>
      </c>
      <c r="AS49">
        <v>35.073258842437554</v>
      </c>
      <c r="AT49">
        <v>-52.362123022749074</v>
      </c>
      <c r="AU49">
        <v>-7.0536908860801759</v>
      </c>
      <c r="AV49">
        <v>-21.585757270509077</v>
      </c>
      <c r="AW49">
        <v>85.662237446246394</v>
      </c>
      <c r="AX49">
        <v>-156.90496063162436</v>
      </c>
      <c r="AY49">
        <v>7.3330306073895892</v>
      </c>
      <c r="AZ49">
        <v>5.2695564989688233</v>
      </c>
      <c r="BA49">
        <v>25.49261138683255</v>
      </c>
      <c r="BB49">
        <v>-7.0034348147001495</v>
      </c>
      <c r="BC49">
        <v>10.250093302453124</v>
      </c>
      <c r="BD49">
        <v>23.552786464634096</v>
      </c>
      <c r="BE49">
        <v>-1.6441595094356956</v>
      </c>
      <c r="BF49">
        <v>6.1615993438648786</v>
      </c>
      <c r="BG49">
        <v>-12.631953647874298</v>
      </c>
      <c r="BH49">
        <v>-7.0524894261316717</v>
      </c>
      <c r="BI49">
        <v>-319.32640190401708</v>
      </c>
      <c r="BJ49">
        <v>-44.507501155514831</v>
      </c>
      <c r="BK49">
        <v>-58.20518674991979</v>
      </c>
      <c r="BL49">
        <v>-14.926919971344006</v>
      </c>
      <c r="BM49">
        <v>-39.066543684316969</v>
      </c>
      <c r="BN49">
        <v>6.0647868059966044</v>
      </c>
      <c r="BO49">
        <v>-16.348978499154306</v>
      </c>
      <c r="BP49">
        <v>-63.279535024920051</v>
      </c>
      <c r="BQ49">
        <v>-31.421588232621318</v>
      </c>
      <c r="BR49">
        <v>-701.61918920154676</v>
      </c>
      <c r="BS49">
        <v>-109.66460780474753</v>
      </c>
      <c r="BT49">
        <v>-94.32368986177255</v>
      </c>
      <c r="BU49">
        <v>-186.3293385391795</v>
      </c>
      <c r="BV49">
        <v>-37.94981031180896</v>
      </c>
      <c r="BW49">
        <v>-102.81594635598185</v>
      </c>
      <c r="BX49">
        <v>-10.020149897283417</v>
      </c>
      <c r="BY49">
        <v>-50.951733597852808</v>
      </c>
      <c r="BZ49">
        <v>-199.6492688450478</v>
      </c>
      <c r="CA49">
        <v>-23.268387742302281</v>
      </c>
      <c r="CB49">
        <v>-1.1156983740657296</v>
      </c>
      <c r="CC49">
        <v>-34.164870278805097</v>
      </c>
      <c r="CD49">
        <v>-20.047770895477441</v>
      </c>
      <c r="CE49">
        <v>-1.2303612860254702</v>
      </c>
      <c r="CF49">
        <v>-55.38170576708103</v>
      </c>
      <c r="CG49">
        <v>-328.78257478436353</v>
      </c>
      <c r="CH49">
        <v>-263.43595540763363</v>
      </c>
      <c r="CI49">
        <v>-434.34474055561031</v>
      </c>
      <c r="CJ49">
        <v>-146.14935468874918</v>
      </c>
      <c r="CK49">
        <v>-213.19175385209758</v>
      </c>
      <c r="CL49">
        <v>-195.8432996432112</v>
      </c>
      <c r="CM49">
        <v>-202.4858317777464</v>
      </c>
      <c r="CN49">
        <v>-402.3959593145687</v>
      </c>
      <c r="CO49">
        <v>-86.407477281819638</v>
      </c>
      <c r="CP49">
        <v>-17.231001201044052</v>
      </c>
      <c r="CQ49">
        <v>-103.26168773491484</v>
      </c>
      <c r="CR49">
        <v>-7.354495887064104</v>
      </c>
      <c r="CS49">
        <v>-227.56983803276944</v>
      </c>
      <c r="CT49">
        <v>-192.09059792415519</v>
      </c>
      <c r="CU49">
        <v>-4.2666326574649105</v>
      </c>
      <c r="CV49">
        <v>-2085.1776276981582</v>
      </c>
      <c r="CW49">
        <v>-38.840087248743828</v>
      </c>
      <c r="CX49">
        <v>0.11889121256106705</v>
      </c>
      <c r="CY49">
        <v>-109.03849370922171</v>
      </c>
      <c r="CZ49">
        <v>-60.357998238672138</v>
      </c>
      <c r="DA49">
        <v>66.508622070206115</v>
      </c>
      <c r="DB49">
        <v>42.681980607407695</v>
      </c>
      <c r="DC49">
        <v>13.139330336358171</v>
      </c>
      <c r="DD49">
        <v>32.391443472009996</v>
      </c>
      <c r="DE49">
        <v>9.2639489545558433</v>
      </c>
      <c r="DF49">
        <v>-249.0414720507265</v>
      </c>
      <c r="DG49">
        <v>-13.459163718181344</v>
      </c>
      <c r="DH49">
        <v>-57.568823805879902</v>
      </c>
      <c r="DI49">
        <v>8.3994354582037403</v>
      </c>
      <c r="DJ49">
        <v>-44.927234404716501</v>
      </c>
      <c r="DK49">
        <v>3.0123679678226836</v>
      </c>
      <c r="DL49">
        <v>-9.9663274348489495</v>
      </c>
      <c r="DM49">
        <v>38.921476032983719</v>
      </c>
      <c r="DN49">
        <v>-67.527426694417045</v>
      </c>
      <c r="DO49">
        <v>13.35049005037888</v>
      </c>
      <c r="DP49">
        <v>38.71669196651618</v>
      </c>
      <c r="DQ49">
        <v>-133.01583033255702</v>
      </c>
      <c r="DR49">
        <v>-2.4546745493381081</v>
      </c>
      <c r="DS49">
        <v>36.455255804793978</v>
      </c>
      <c r="DT49">
        <v>-5.3556968220081558</v>
      </c>
      <c r="DU49">
        <v>-9.4473807119160256</v>
      </c>
      <c r="DV49">
        <v>-21.533722732601234</v>
      </c>
      <c r="DW49">
        <v>-11.368853042052422</v>
      </c>
      <c r="DX49">
        <v>0.67627282842113345</v>
      </c>
      <c r="DY49">
        <v>8.0355215193139031</v>
      </c>
      <c r="DZ49">
        <v>-29.801227963990982</v>
      </c>
      <c r="EA49">
        <v>-52.602851145464115</v>
      </c>
      <c r="EB49">
        <v>11.107585000660322</v>
      </c>
      <c r="EC49">
        <v>-4.2390552826473709</v>
      </c>
      <c r="ED49">
        <v>-12.418837103331313</v>
      </c>
      <c r="EE49">
        <v>-52.39526775696595</v>
      </c>
      <c r="EF49">
        <v>-1.3930460796017883</v>
      </c>
      <c r="EG49">
        <v>-29.185416825574066</v>
      </c>
      <c r="EH49">
        <v>-176.36851770997782</v>
      </c>
      <c r="EI49">
        <v>-8369.562534291601</v>
      </c>
    </row>
    <row r="50" spans="1:139" x14ac:dyDescent="0.25">
      <c r="A50">
        <v>48</v>
      </c>
      <c r="B50">
        <v>-99.35549899778357</v>
      </c>
      <c r="C50">
        <v>-30.757601320780282</v>
      </c>
      <c r="D50">
        <v>-3.4402670805019575</v>
      </c>
      <c r="E50">
        <v>-17.304397559807825</v>
      </c>
      <c r="F50">
        <v>0.87393256482392778</v>
      </c>
      <c r="G50">
        <v>1.7443597587633075</v>
      </c>
      <c r="H50">
        <v>-174.16048025155135</v>
      </c>
      <c r="I50">
        <v>0.11308190639695681</v>
      </c>
      <c r="J50">
        <v>5.2496235807460678</v>
      </c>
      <c r="K50">
        <v>0.16225517216287244</v>
      </c>
      <c r="L50">
        <v>-3.8019373499359261</v>
      </c>
      <c r="M50">
        <v>0.41988413156585302</v>
      </c>
      <c r="N50">
        <v>-124.3499081925886</v>
      </c>
      <c r="O50">
        <v>-2.624716876096727</v>
      </c>
      <c r="P50">
        <v>64.940132592024156</v>
      </c>
      <c r="Q50">
        <v>-67.386743322920324</v>
      </c>
      <c r="R50">
        <v>2.4803997299007885</v>
      </c>
      <c r="S50">
        <v>-5.9387239277980086</v>
      </c>
      <c r="T50">
        <v>-30.976543897859557</v>
      </c>
      <c r="U50">
        <v>-9.810648814546397</v>
      </c>
      <c r="V50">
        <v>-26.008253336307689</v>
      </c>
      <c r="W50">
        <v>-15.852080593600334</v>
      </c>
      <c r="X50">
        <v>-1.4509901971013619</v>
      </c>
      <c r="Y50">
        <v>-0.75003017223956192</v>
      </c>
      <c r="Z50">
        <v>-10.320651558465784</v>
      </c>
      <c r="AA50">
        <v>-3.1985285720009671</v>
      </c>
      <c r="AB50">
        <v>4.2462533819781356</v>
      </c>
      <c r="AC50">
        <v>6.1220513736807334</v>
      </c>
      <c r="AD50">
        <v>1.6170508236526402</v>
      </c>
      <c r="AE50">
        <v>20.723500216044044</v>
      </c>
      <c r="AF50">
        <v>25.867072988874412</v>
      </c>
      <c r="AG50">
        <v>73.970199017767754</v>
      </c>
      <c r="AH50">
        <v>4.710374930206747</v>
      </c>
      <c r="AI50">
        <v>28.570026294854159</v>
      </c>
      <c r="AJ50">
        <v>5.1985101373276237</v>
      </c>
      <c r="AK50">
        <v>27.30303723974734</v>
      </c>
      <c r="AL50">
        <v>25.849490330560116</v>
      </c>
      <c r="AM50">
        <v>6.905343474772792</v>
      </c>
      <c r="AN50">
        <v>-2.4154073190320133</v>
      </c>
      <c r="AO50">
        <v>-91.463992401107134</v>
      </c>
      <c r="AP50">
        <v>12.648383952612747</v>
      </c>
      <c r="AQ50">
        <v>0.98968441651331318</v>
      </c>
      <c r="AR50">
        <v>33.380055946733961</v>
      </c>
      <c r="AS50">
        <v>30.737196153428044</v>
      </c>
      <c r="AT50">
        <v>-52.875315054051256</v>
      </c>
      <c r="AU50">
        <v>-5.562782300726667</v>
      </c>
      <c r="AV50">
        <v>-23.592430783549219</v>
      </c>
      <c r="AW50">
        <v>77.227148955714824</v>
      </c>
      <c r="AX50">
        <v>-175.32259598733208</v>
      </c>
      <c r="AY50">
        <v>7.3163264060196447</v>
      </c>
      <c r="AZ50">
        <v>5.1028449777882283</v>
      </c>
      <c r="BA50">
        <v>4.1280151201980289</v>
      </c>
      <c r="BB50">
        <v>-7.1846838510644311</v>
      </c>
      <c r="BC50">
        <v>9.5063307097270666</v>
      </c>
      <c r="BD50">
        <v>19.511064828189774</v>
      </c>
      <c r="BE50">
        <v>-2.0913566767196414</v>
      </c>
      <c r="BF50">
        <v>6.7874764073839629</v>
      </c>
      <c r="BG50">
        <v>-14.952233666408006</v>
      </c>
      <c r="BH50">
        <v>-7.4729168188129051</v>
      </c>
      <c r="BI50">
        <v>-333.3987855686205</v>
      </c>
      <c r="BJ50">
        <v>-46.280235038072078</v>
      </c>
      <c r="BK50">
        <v>-60.517863145829324</v>
      </c>
      <c r="BL50">
        <v>-15.564239424178794</v>
      </c>
      <c r="BM50">
        <v>-40.806667581264492</v>
      </c>
      <c r="BN50">
        <v>5.955659283564728</v>
      </c>
      <c r="BO50">
        <v>-16.729870616759698</v>
      </c>
      <c r="BP50">
        <v>-69.121870393234076</v>
      </c>
      <c r="BQ50">
        <v>-31.937530508709642</v>
      </c>
      <c r="BR50">
        <v>-733.05701393972959</v>
      </c>
      <c r="BS50">
        <v>-113.13598485338201</v>
      </c>
      <c r="BT50">
        <v>-97.074363604963366</v>
      </c>
      <c r="BU50">
        <v>-192.25121294289579</v>
      </c>
      <c r="BV50">
        <v>-38.940853459123957</v>
      </c>
      <c r="BW50">
        <v>-106.81613891619122</v>
      </c>
      <c r="BX50">
        <v>-10.958804738534084</v>
      </c>
      <c r="BY50">
        <v>-52.636163598832525</v>
      </c>
      <c r="BZ50">
        <v>-207.99510814312134</v>
      </c>
      <c r="CA50">
        <v>-23.98753471974311</v>
      </c>
      <c r="CB50">
        <v>-1.4654383682090781</v>
      </c>
      <c r="CC50">
        <v>-37.941434024054047</v>
      </c>
      <c r="CD50">
        <v>-21.625220032417417</v>
      </c>
      <c r="CE50">
        <v>-2.7418775619859161</v>
      </c>
      <c r="CF50">
        <v>-59.301475963169764</v>
      </c>
      <c r="CG50">
        <v>-371.40921096454076</v>
      </c>
      <c r="CH50">
        <v>-269.42480408955203</v>
      </c>
      <c r="CI50">
        <v>-440.69991837630675</v>
      </c>
      <c r="CJ50">
        <v>-148.31472556270884</v>
      </c>
      <c r="CK50">
        <v>-217.11193080670262</v>
      </c>
      <c r="CL50">
        <v>-198.65737084751981</v>
      </c>
      <c r="CM50">
        <v>-208.09492014531338</v>
      </c>
      <c r="CN50">
        <v>-416.57049070342873</v>
      </c>
      <c r="CO50">
        <v>-88.421605701087032</v>
      </c>
      <c r="CP50">
        <v>-18.112894454007005</v>
      </c>
      <c r="CQ50">
        <v>-103.97921298950489</v>
      </c>
      <c r="CR50">
        <v>-9.6123437599109138</v>
      </c>
      <c r="CS50">
        <v>-239.0440375265357</v>
      </c>
      <c r="CT50">
        <v>-199.21031659231971</v>
      </c>
      <c r="CU50">
        <v>-4.8111322934921503</v>
      </c>
      <c r="CV50">
        <v>-2176.814374965812</v>
      </c>
      <c r="CW50">
        <v>-40.157165284516225</v>
      </c>
      <c r="CX50">
        <v>-0.23164868968282804</v>
      </c>
      <c r="CY50">
        <v>-114.33996486120895</v>
      </c>
      <c r="CZ50">
        <v>-61.061405634118145</v>
      </c>
      <c r="DA50">
        <v>64.488409066357974</v>
      </c>
      <c r="DB50">
        <v>39.920661804429983</v>
      </c>
      <c r="DC50">
        <v>12.325713893085094</v>
      </c>
      <c r="DD50">
        <v>31.914971781286482</v>
      </c>
      <c r="DE50">
        <v>8.8938065080680531</v>
      </c>
      <c r="DF50">
        <v>-263.46275896965562</v>
      </c>
      <c r="DG50">
        <v>-17.088393239908783</v>
      </c>
      <c r="DH50">
        <v>-62.46623650717288</v>
      </c>
      <c r="DI50">
        <v>7.8453328570278416</v>
      </c>
      <c r="DJ50">
        <v>-50.90100953769047</v>
      </c>
      <c r="DK50">
        <v>-1.40014280301898</v>
      </c>
      <c r="DL50">
        <v>-12.413415636312038</v>
      </c>
      <c r="DM50">
        <v>34.27883565182151</v>
      </c>
      <c r="DN50">
        <v>-72.936516203963038</v>
      </c>
      <c r="DO50">
        <v>12.568677400506147</v>
      </c>
      <c r="DP50">
        <v>38.561639035732412</v>
      </c>
      <c r="DQ50">
        <v>-148.84502414039162</v>
      </c>
      <c r="DR50">
        <v>-3.2224349572004769</v>
      </c>
      <c r="DS50">
        <v>34.664063474167506</v>
      </c>
      <c r="DT50">
        <v>-5.5468147096736899</v>
      </c>
      <c r="DU50">
        <v>-11.583677932156775</v>
      </c>
      <c r="DV50">
        <v>-22.10631439224295</v>
      </c>
      <c r="DW50">
        <v>-12.102601570401532</v>
      </c>
      <c r="DX50">
        <v>-0.96124918405791959</v>
      </c>
      <c r="DY50">
        <v>7.8132696421754844</v>
      </c>
      <c r="DZ50">
        <v>-29.83991583667364</v>
      </c>
      <c r="EA50">
        <v>-55.186530718054655</v>
      </c>
      <c r="EB50">
        <v>10.661099624860128</v>
      </c>
      <c r="EC50">
        <v>-4.3332283325079004</v>
      </c>
      <c r="ED50">
        <v>-12.679564953383149</v>
      </c>
      <c r="EE50">
        <v>-57.6963207068261</v>
      </c>
      <c r="EF50">
        <v>-1.5699080497776094</v>
      </c>
      <c r="EG50">
        <v>-31.160962431488201</v>
      </c>
      <c r="EH50">
        <v>-183.1342479653656</v>
      </c>
      <c r="EI50">
        <v>-8887.1308995066593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G27" sqref="G27"/>
    </sheetView>
  </sheetViews>
  <sheetFormatPr defaultRowHeight="15" x14ac:dyDescent="0.25"/>
  <cols>
    <col min="1" max="1" width="15.140625" customWidth="1"/>
    <col min="2" max="2" width="12.7109375" customWidth="1"/>
    <col min="3" max="3" width="30.7109375" customWidth="1"/>
    <col min="4" max="4" width="15.140625" customWidth="1"/>
    <col min="5" max="6" width="32.140625" bestFit="1" customWidth="1"/>
  </cols>
  <sheetData>
    <row r="1" spans="1:2" x14ac:dyDescent="0.25">
      <c r="A1" s="6" t="s">
        <v>149</v>
      </c>
      <c r="B1" s="9"/>
    </row>
    <row r="2" spans="1:2" x14ac:dyDescent="0.25">
      <c r="A2" s="6" t="s">
        <v>145</v>
      </c>
      <c r="B2" s="9" t="s">
        <v>147</v>
      </c>
    </row>
    <row r="3" spans="1:2" x14ac:dyDescent="0.25">
      <c r="A3" s="5">
        <v>0</v>
      </c>
      <c r="B3" s="11">
        <v>101987.28176622784</v>
      </c>
    </row>
    <row r="4" spans="1:2" x14ac:dyDescent="0.25">
      <c r="A4" s="7">
        <v>1</v>
      </c>
      <c r="B4" s="12">
        <v>55144.051903463798</v>
      </c>
    </row>
    <row r="5" spans="1:2" x14ac:dyDescent="0.25">
      <c r="A5" s="7">
        <v>2</v>
      </c>
      <c r="B5" s="12">
        <v>1198.9497503460404</v>
      </c>
    </row>
    <row r="6" spans="1:2" x14ac:dyDescent="0.25">
      <c r="A6" s="7">
        <v>3</v>
      </c>
      <c r="B6" s="12">
        <v>43123.722673947981</v>
      </c>
    </row>
    <row r="7" spans="1:2" x14ac:dyDescent="0.25">
      <c r="A7" s="7">
        <v>4</v>
      </c>
      <c r="B7" s="12">
        <v>15888.060945577943</v>
      </c>
    </row>
    <row r="8" spans="1:2" x14ac:dyDescent="0.25">
      <c r="A8" s="7">
        <v>5</v>
      </c>
      <c r="B8" s="12">
        <v>43126.474762016056</v>
      </c>
    </row>
    <row r="9" spans="1:2" x14ac:dyDescent="0.25">
      <c r="A9" s="7">
        <v>6</v>
      </c>
      <c r="B9" s="12">
        <v>27263.809054433121</v>
      </c>
    </row>
    <row r="10" spans="1:2" x14ac:dyDescent="0.25">
      <c r="A10" s="7">
        <v>7</v>
      </c>
      <c r="B10" s="12">
        <v>32747.011481927791</v>
      </c>
    </row>
    <row r="11" spans="1:2" x14ac:dyDescent="0.25">
      <c r="A11" s="7">
        <v>8</v>
      </c>
      <c r="B11" s="12">
        <v>42846.15564832613</v>
      </c>
    </row>
    <row r="12" spans="1:2" x14ac:dyDescent="0.25">
      <c r="A12" s="7">
        <v>9</v>
      </c>
      <c r="B12" s="12">
        <v>34818.479773662511</v>
      </c>
    </row>
    <row r="13" spans="1:2" x14ac:dyDescent="0.25">
      <c r="A13" s="7">
        <v>10</v>
      </c>
      <c r="B13" s="12">
        <v>39357.658834312249</v>
      </c>
    </row>
    <row r="14" spans="1:2" x14ac:dyDescent="0.25">
      <c r="A14" s="7">
        <v>11</v>
      </c>
      <c r="B14" s="12">
        <v>27669.867710671577</v>
      </c>
    </row>
    <row r="15" spans="1:2" x14ac:dyDescent="0.25">
      <c r="A15" s="7">
        <v>12</v>
      </c>
      <c r="B15" s="12">
        <v>25836.838195321314</v>
      </c>
    </row>
    <row r="16" spans="1:2" x14ac:dyDescent="0.25">
      <c r="A16" s="7">
        <v>13</v>
      </c>
      <c r="B16" s="12">
        <v>21473.264473253264</v>
      </c>
    </row>
    <row r="17" spans="1:2" x14ac:dyDescent="0.25">
      <c r="A17" s="7">
        <v>14</v>
      </c>
      <c r="B17" s="12">
        <v>17278.956504607806</v>
      </c>
    </row>
    <row r="18" spans="1:2" x14ac:dyDescent="0.25">
      <c r="A18" s="7">
        <v>15</v>
      </c>
      <c r="B18" s="12">
        <v>17334.252193466295</v>
      </c>
    </row>
    <row r="19" spans="1:2" x14ac:dyDescent="0.25">
      <c r="A19" s="7">
        <v>16</v>
      </c>
      <c r="B19" s="12">
        <v>14541.664218312875</v>
      </c>
    </row>
    <row r="20" spans="1:2" x14ac:dyDescent="0.25">
      <c r="A20" s="7">
        <v>17</v>
      </c>
      <c r="B20" s="12">
        <v>15850.188911352319</v>
      </c>
    </row>
    <row r="21" spans="1:2" x14ac:dyDescent="0.25">
      <c r="A21" s="7">
        <v>18</v>
      </c>
      <c r="B21" s="12">
        <v>15295.070664551966</v>
      </c>
    </row>
    <row r="22" spans="1:2" x14ac:dyDescent="0.25">
      <c r="A22" s="7">
        <v>19</v>
      </c>
      <c r="B22" s="12">
        <v>15326.282394140268</v>
      </c>
    </row>
    <row r="23" spans="1:2" x14ac:dyDescent="0.25">
      <c r="A23" s="7">
        <v>20</v>
      </c>
      <c r="B23" s="12">
        <v>15124.721382914822</v>
      </c>
    </row>
    <row r="24" spans="1:2" x14ac:dyDescent="0.25">
      <c r="A24" s="7">
        <v>21</v>
      </c>
      <c r="B24" s="12">
        <v>13711.770133795038</v>
      </c>
    </row>
    <row r="25" spans="1:2" x14ac:dyDescent="0.25">
      <c r="A25" s="7">
        <v>22</v>
      </c>
      <c r="B25" s="12">
        <v>12765.23696300866</v>
      </c>
    </row>
    <row r="26" spans="1:2" x14ac:dyDescent="0.25">
      <c r="A26" s="7">
        <v>23</v>
      </c>
      <c r="B26" s="12">
        <v>10731.770303028097</v>
      </c>
    </row>
    <row r="27" spans="1:2" x14ac:dyDescent="0.25">
      <c r="A27" s="7">
        <v>24</v>
      </c>
      <c r="B27" s="12">
        <v>9024.5425339125741</v>
      </c>
    </row>
    <row r="28" spans="1:2" x14ac:dyDescent="0.25">
      <c r="A28" s="7">
        <v>25</v>
      </c>
      <c r="B28" s="12">
        <v>7209.9900126453067</v>
      </c>
    </row>
    <row r="29" spans="1:2" x14ac:dyDescent="0.25">
      <c r="A29" s="7">
        <v>26</v>
      </c>
      <c r="B29" s="12">
        <v>5601.4056377423276</v>
      </c>
    </row>
    <row r="30" spans="1:2" x14ac:dyDescent="0.25">
      <c r="A30" s="7">
        <v>27</v>
      </c>
      <c r="B30" s="12">
        <v>4508.2345953301692</v>
      </c>
    </row>
    <row r="31" spans="1:2" x14ac:dyDescent="0.25">
      <c r="A31" s="7">
        <v>28</v>
      </c>
      <c r="B31" s="12">
        <v>3545.4555528323353</v>
      </c>
    </row>
    <row r="32" spans="1:2" x14ac:dyDescent="0.25">
      <c r="A32" s="7">
        <v>29</v>
      </c>
      <c r="B32" s="12">
        <v>3008.8542165788454</v>
      </c>
    </row>
    <row r="33" spans="1:2" x14ac:dyDescent="0.25">
      <c r="A33" s="7">
        <v>30</v>
      </c>
      <c r="B33" s="12">
        <v>2495.1192694365564</v>
      </c>
    </row>
    <row r="34" spans="1:2" x14ac:dyDescent="0.25">
      <c r="A34" s="7">
        <v>31</v>
      </c>
      <c r="B34" s="12">
        <v>2023.3387362470771</v>
      </c>
    </row>
    <row r="35" spans="1:2" x14ac:dyDescent="0.25">
      <c r="A35" s="7">
        <v>32</v>
      </c>
      <c r="B35" s="12">
        <v>1467.6729271524819</v>
      </c>
    </row>
    <row r="36" spans="1:2" x14ac:dyDescent="0.25">
      <c r="A36" s="7">
        <v>33</v>
      </c>
      <c r="B36" s="12">
        <v>732.45898363885453</v>
      </c>
    </row>
    <row r="37" spans="1:2" x14ac:dyDescent="0.25">
      <c r="A37" s="7">
        <v>34</v>
      </c>
      <c r="B37" s="12">
        <v>-85.23819277443647</v>
      </c>
    </row>
    <row r="38" spans="1:2" x14ac:dyDescent="0.25">
      <c r="A38" s="7">
        <v>35</v>
      </c>
      <c r="B38" s="12">
        <v>-1022.2416520308853</v>
      </c>
    </row>
    <row r="39" spans="1:2" x14ac:dyDescent="0.25">
      <c r="A39" s="7">
        <v>36</v>
      </c>
      <c r="B39" s="12">
        <v>-1949.3042989381538</v>
      </c>
    </row>
    <row r="40" spans="1:2" x14ac:dyDescent="0.25">
      <c r="A40" s="7">
        <v>37</v>
      </c>
      <c r="B40" s="12">
        <v>-2838.4846712900453</v>
      </c>
    </row>
    <row r="41" spans="1:2" x14ac:dyDescent="0.25">
      <c r="A41" s="7">
        <v>38</v>
      </c>
      <c r="B41" s="12">
        <v>-3641.5222593521498</v>
      </c>
    </row>
    <row r="42" spans="1:2" x14ac:dyDescent="0.25">
      <c r="A42" s="7">
        <v>39</v>
      </c>
      <c r="B42" s="12">
        <v>-4329.4205262525911</v>
      </c>
    </row>
    <row r="43" spans="1:2" x14ac:dyDescent="0.25">
      <c r="A43" s="7">
        <v>40</v>
      </c>
      <c r="B43" s="12">
        <v>-4928.8062531017631</v>
      </c>
    </row>
    <row r="44" spans="1:2" x14ac:dyDescent="0.25">
      <c r="A44" s="7">
        <v>41</v>
      </c>
      <c r="B44" s="12">
        <v>-5443.6073173711611</v>
      </c>
    </row>
    <row r="45" spans="1:2" x14ac:dyDescent="0.25">
      <c r="A45" s="7">
        <v>42</v>
      </c>
      <c r="B45" s="12">
        <v>-5919.6018658141802</v>
      </c>
    </row>
    <row r="46" spans="1:2" x14ac:dyDescent="0.25">
      <c r="A46" s="7">
        <v>43</v>
      </c>
      <c r="B46" s="12">
        <v>-6379.6632143288343</v>
      </c>
    </row>
    <row r="47" spans="1:2" x14ac:dyDescent="0.25">
      <c r="A47" s="7">
        <v>44</v>
      </c>
      <c r="B47" s="12">
        <v>-6847.8593583073753</v>
      </c>
    </row>
    <row r="48" spans="1:2" x14ac:dyDescent="0.25">
      <c r="A48" s="7">
        <v>45</v>
      </c>
      <c r="B48" s="12">
        <v>-7338.6190028233723</v>
      </c>
    </row>
    <row r="49" spans="1:2" x14ac:dyDescent="0.25">
      <c r="A49" s="7">
        <v>46</v>
      </c>
      <c r="B49" s="12">
        <v>-7847.4404977750974</v>
      </c>
    </row>
    <row r="50" spans="1:2" x14ac:dyDescent="0.25">
      <c r="A50" s="7">
        <v>47</v>
      </c>
      <c r="B50" s="12">
        <v>-8369.562534291601</v>
      </c>
    </row>
    <row r="51" spans="1:2" x14ac:dyDescent="0.25">
      <c r="A51" s="7">
        <v>48</v>
      </c>
      <c r="B51" s="12">
        <v>-8887.1308995066593</v>
      </c>
    </row>
    <row r="52" spans="1:2" x14ac:dyDescent="0.25">
      <c r="A52" s="8" t="s">
        <v>146</v>
      </c>
      <c r="B52" s="10">
        <v>624230.11056422396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Point Estimates</vt:lpstr>
      <vt:lpstr>Dados</vt:lpstr>
      <vt:lpstr>Transpost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2017-02-13T12:41:22Z</dcterms:created>
  <dcterms:modified xsi:type="dcterms:W3CDTF">2017-02-13T12:55:09Z</dcterms:modified>
</cp:coreProperties>
</file>