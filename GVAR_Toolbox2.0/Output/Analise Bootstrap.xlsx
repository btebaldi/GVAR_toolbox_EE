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dian Estimates (2)" sheetId="2" r:id="rId1"/>
    <sheet name="Median Estimates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E25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E26" i="1"/>
  <c r="F26" i="1"/>
  <c r="G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E27" i="1"/>
  <c r="F27" i="1"/>
  <c r="G27" i="1"/>
  <c r="H27" i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D25" i="1"/>
  <c r="D26" i="1"/>
  <c r="D27" i="1"/>
  <c r="D28" i="1"/>
  <c r="D24" i="1"/>
  <c r="C25" i="1"/>
  <c r="C26" i="1"/>
  <c r="C27" i="1"/>
  <c r="C28" i="1"/>
  <c r="C24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C19" i="1"/>
  <c r="C20" i="1"/>
  <c r="C21" i="1"/>
  <c r="C22" i="1"/>
  <c r="C18" i="1"/>
</calcChain>
</file>

<file path=xl/sharedStrings.xml><?xml version="1.0" encoding="utf-8"?>
<sst xmlns="http://schemas.openxmlformats.org/spreadsheetml/2006/main" count="46" uniqueCount="12">
  <si>
    <t>adm</t>
  </si>
  <si>
    <t>centro</t>
  </si>
  <si>
    <t>sul</t>
  </si>
  <si>
    <t>sudeste</t>
  </si>
  <si>
    <t>nordeste</t>
  </si>
  <si>
    <t>norte</t>
  </si>
  <si>
    <t>Median Estimates</t>
  </si>
  <si>
    <t>One s.e. Positive Shock to DOMINANT UNIT MODEL ProducaoIndustrial_BR</t>
  </si>
  <si>
    <t>Generalized Impulse Response Functions</t>
  </si>
  <si>
    <t>desl</t>
  </si>
  <si>
    <t>Liquido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</si>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</sst>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'Median Estimates'!$A$18:$B$18</c:f>
              <c:strCache>
                <c:ptCount val="2"/>
                <c:pt idx="0">
                  <c:v>norte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Estimates'!$C$18:$AY$18</c:f>
              <c:numCache>
                <c:formatCode>General</c:formatCode>
                <c:ptCount val="49"/>
                <c:pt idx="0">
                  <c:v>260.09851557331092</c:v>
                </c:pt>
                <c:pt idx="1">
                  <c:v>139.51576906166866</c:v>
                </c:pt>
                <c:pt idx="2">
                  <c:v>-84.595348293124573</c:v>
                </c:pt>
                <c:pt idx="3">
                  <c:v>116.78283521409175</c:v>
                </c:pt>
                <c:pt idx="4">
                  <c:v>-2.569993603421608</c:v>
                </c:pt>
                <c:pt idx="5">
                  <c:v>83.30715309959966</c:v>
                </c:pt>
                <c:pt idx="6">
                  <c:v>16.88581784921233</c:v>
                </c:pt>
                <c:pt idx="7">
                  <c:v>56.212975209894779</c:v>
                </c:pt>
                <c:pt idx="8">
                  <c:v>172.36950761686057</c:v>
                </c:pt>
                <c:pt idx="9">
                  <c:v>71.499942745832556</c:v>
                </c:pt>
                <c:pt idx="10">
                  <c:v>126.42743469197734</c:v>
                </c:pt>
                <c:pt idx="11">
                  <c:v>48.581189605827959</c:v>
                </c:pt>
                <c:pt idx="12">
                  <c:v>49.818199982256317</c:v>
                </c:pt>
                <c:pt idx="13">
                  <c:v>41.972174953439804</c:v>
                </c:pt>
                <c:pt idx="14">
                  <c:v>-27.997907857505851</c:v>
                </c:pt>
                <c:pt idx="15">
                  <c:v>17.362576453065557</c:v>
                </c:pt>
                <c:pt idx="16">
                  <c:v>-17.849638027290112</c:v>
                </c:pt>
                <c:pt idx="17">
                  <c:v>23.431584812893362</c:v>
                </c:pt>
                <c:pt idx="18">
                  <c:v>31.485900710869174</c:v>
                </c:pt>
                <c:pt idx="19">
                  <c:v>44.289833743228456</c:v>
                </c:pt>
                <c:pt idx="20">
                  <c:v>70.175527086623333</c:v>
                </c:pt>
                <c:pt idx="21">
                  <c:v>41.750204543700221</c:v>
                </c:pt>
                <c:pt idx="22">
                  <c:v>51.494378868321348</c:v>
                </c:pt>
                <c:pt idx="23">
                  <c:v>16.914168148340195</c:v>
                </c:pt>
                <c:pt idx="24">
                  <c:v>-1.7640130649094203</c:v>
                </c:pt>
                <c:pt idx="25">
                  <c:v>-14.959142166325336</c:v>
                </c:pt>
                <c:pt idx="26">
                  <c:v>-31.895269877218212</c:v>
                </c:pt>
                <c:pt idx="27">
                  <c:v>-21.217103393659414</c:v>
                </c:pt>
                <c:pt idx="28">
                  <c:v>-22.277759068373513</c:v>
                </c:pt>
                <c:pt idx="29">
                  <c:v>5.4104812784995886</c:v>
                </c:pt>
                <c:pt idx="30">
                  <c:v>8.4726530171126058</c:v>
                </c:pt>
                <c:pt idx="31">
                  <c:v>18.362397218007885</c:v>
                </c:pt>
                <c:pt idx="32">
                  <c:v>18.549026546039187</c:v>
                </c:pt>
                <c:pt idx="33">
                  <c:v>11.820218303615377</c:v>
                </c:pt>
                <c:pt idx="34">
                  <c:v>0.98081269535006754</c:v>
                </c:pt>
                <c:pt idx="35">
                  <c:v>-23.518372283327864</c:v>
                </c:pt>
                <c:pt idx="36">
                  <c:v>-27.378061475752247</c:v>
                </c:pt>
                <c:pt idx="37">
                  <c:v>-40.816409677345348</c:v>
                </c:pt>
                <c:pt idx="38">
                  <c:v>-33.370607867281166</c:v>
                </c:pt>
                <c:pt idx="39">
                  <c:v>-31.736304161845169</c:v>
                </c:pt>
                <c:pt idx="40">
                  <c:v>-23.43018537165517</c:v>
                </c:pt>
                <c:pt idx="41">
                  <c:v>-11.412500998525019</c:v>
                </c:pt>
                <c:pt idx="42">
                  <c:v>-12.792297043287107</c:v>
                </c:pt>
                <c:pt idx="43">
                  <c:v>-1.4173934098213863</c:v>
                </c:pt>
                <c:pt idx="44">
                  <c:v>-11.464829018026649</c:v>
                </c:pt>
                <c:pt idx="45">
                  <c:v>-20.297784402762687</c:v>
                </c:pt>
                <c:pt idx="46">
                  <c:v>-29.205406145343801</c:v>
                </c:pt>
                <c:pt idx="47">
                  <c:v>-38.679964150497767</c:v>
                </c:pt>
                <c:pt idx="48">
                  <c:v>-39.778282111295624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E-474B-B40C-06059707F4CF}"/>
            </c:ext>
          </c:extLst>
        </c:ser>
        <c:ser>
          <c:idx val="1"/>
          <c:order val="1"/>
          <c:tx>
            <c:strRef>
              <c:f>'Median Estimates'!$A$19:$B$19</c:f>
              <c:strCache>
                <c:ptCount val="2"/>
                <c:pt idx="0">
                  <c:v>nordeste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Estimates'!$C$19:$AY$19</c:f>
              <c:numCache>
                <c:formatCode>General</c:formatCode>
                <c:ptCount val="49"/>
                <c:pt idx="0">
                  <c:v>312.32906922891436</c:v>
                </c:pt>
                <c:pt idx="1">
                  <c:v>321.55693477353265</c:v>
                </c:pt>
                <c:pt idx="2">
                  <c:v>-40.441441334415373</c:v>
                </c:pt>
                <c:pt idx="3">
                  <c:v>316.08519984155203</c:v>
                </c:pt>
                <c:pt idx="4">
                  <c:v>217.89758265270106</c:v>
                </c:pt>
                <c:pt idx="5">
                  <c:v>168.39025349847623</c:v>
                </c:pt>
                <c:pt idx="6">
                  <c:v>123.58768624669062</c:v>
                </c:pt>
                <c:pt idx="7">
                  <c:v>112.47317152863411</c:v>
                </c:pt>
                <c:pt idx="8">
                  <c:v>340.00138839739924</c:v>
                </c:pt>
                <c:pt idx="9">
                  <c:v>211.94342979555955</c:v>
                </c:pt>
                <c:pt idx="10">
                  <c:v>214.9983176405851</c:v>
                </c:pt>
                <c:pt idx="11">
                  <c:v>174.10780850451596</c:v>
                </c:pt>
                <c:pt idx="12">
                  <c:v>136.17189406831582</c:v>
                </c:pt>
                <c:pt idx="13">
                  <c:v>159.52126947080234</c:v>
                </c:pt>
                <c:pt idx="14">
                  <c:v>36.335672025789734</c:v>
                </c:pt>
                <c:pt idx="15">
                  <c:v>87.127681450603404</c:v>
                </c:pt>
                <c:pt idx="16">
                  <c:v>68.676388535128581</c:v>
                </c:pt>
                <c:pt idx="17">
                  <c:v>84.710600285645739</c:v>
                </c:pt>
                <c:pt idx="18">
                  <c:v>103.33889102817716</c:v>
                </c:pt>
                <c:pt idx="19">
                  <c:v>96.906995094505248</c:v>
                </c:pt>
                <c:pt idx="20">
                  <c:v>141.99234992816471</c:v>
                </c:pt>
                <c:pt idx="21">
                  <c:v>105.75213394811752</c:v>
                </c:pt>
                <c:pt idx="22">
                  <c:v>109.94633630872505</c:v>
                </c:pt>
                <c:pt idx="23">
                  <c:v>76.139527882485453</c:v>
                </c:pt>
                <c:pt idx="24">
                  <c:v>41.478842962738184</c:v>
                </c:pt>
                <c:pt idx="25">
                  <c:v>37.105364096555661</c:v>
                </c:pt>
                <c:pt idx="26">
                  <c:v>6.297275834860443</c:v>
                </c:pt>
                <c:pt idx="27">
                  <c:v>16.558623225753422</c:v>
                </c:pt>
                <c:pt idx="28">
                  <c:v>5.7892724758625036</c:v>
                </c:pt>
                <c:pt idx="29">
                  <c:v>37.924292633224525</c:v>
                </c:pt>
                <c:pt idx="30">
                  <c:v>44.210127104106732</c:v>
                </c:pt>
                <c:pt idx="31">
                  <c:v>36.126961442577453</c:v>
                </c:pt>
                <c:pt idx="32">
                  <c:v>47.534617466081329</c:v>
                </c:pt>
                <c:pt idx="33">
                  <c:v>35.051509434432432</c:v>
                </c:pt>
                <c:pt idx="34">
                  <c:v>28.195528907322966</c:v>
                </c:pt>
                <c:pt idx="35">
                  <c:v>-4.3636327404287272</c:v>
                </c:pt>
                <c:pt idx="36">
                  <c:v>-12.628213373136134</c:v>
                </c:pt>
                <c:pt idx="37">
                  <c:v>-18.663912620080623</c:v>
                </c:pt>
                <c:pt idx="38">
                  <c:v>-23.038741420735164</c:v>
                </c:pt>
                <c:pt idx="39">
                  <c:v>-23.826905961272587</c:v>
                </c:pt>
                <c:pt idx="40">
                  <c:v>-18.226924457079349</c:v>
                </c:pt>
                <c:pt idx="41">
                  <c:v>-6.4505890994425386</c:v>
                </c:pt>
                <c:pt idx="42">
                  <c:v>-8.5116991394006618</c:v>
                </c:pt>
                <c:pt idx="43">
                  <c:v>2.3307717091594213</c:v>
                </c:pt>
                <c:pt idx="44">
                  <c:v>0.63472216019579264</c:v>
                </c:pt>
                <c:pt idx="45">
                  <c:v>-18.819706858643258</c:v>
                </c:pt>
                <c:pt idx="46">
                  <c:v>-34.627222365461478</c:v>
                </c:pt>
                <c:pt idx="47">
                  <c:v>-42.490510647835208</c:v>
                </c:pt>
                <c:pt idx="48">
                  <c:v>-44.146038544607535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E-474B-B40C-06059707F4CF}"/>
            </c:ext>
          </c:extLst>
        </c:ser>
        <c:ser>
          <c:idx val="2"/>
          <c:order val="2"/>
          <c:tx>
            <c:strRef>
              <c:f>'Median Estimates'!$A$20:$B$20</c:f>
              <c:strCache>
                <c:ptCount val="2"/>
                <c:pt idx="0">
                  <c:v>sudeste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Estimates'!$C$20:$AY$20</c:f>
              <c:numCache>
                <c:formatCode>General</c:formatCode>
                <c:ptCount val="49"/>
                <c:pt idx="0">
                  <c:v>1664.769020620598</c:v>
                </c:pt>
                <c:pt idx="1">
                  <c:v>613.46180988921208</c:v>
                </c:pt>
                <c:pt idx="2">
                  <c:v>-1004.7122515644578</c:v>
                </c:pt>
                <c:pt idx="3">
                  <c:v>611.1346388612028</c:v>
                </c:pt>
                <c:pt idx="4">
                  <c:v>-147.55671489740166</c:v>
                </c:pt>
                <c:pt idx="5">
                  <c:v>385.44387401786128</c:v>
                </c:pt>
                <c:pt idx="6">
                  <c:v>-57.996951332764183</c:v>
                </c:pt>
                <c:pt idx="7">
                  <c:v>356.0072776066861</c:v>
                </c:pt>
                <c:pt idx="8">
                  <c:v>1271.9473341568084</c:v>
                </c:pt>
                <c:pt idx="9">
                  <c:v>545.45442521608129</c:v>
                </c:pt>
                <c:pt idx="10">
                  <c:v>838.41861475842018</c:v>
                </c:pt>
                <c:pt idx="11">
                  <c:v>336.03051123821763</c:v>
                </c:pt>
                <c:pt idx="12">
                  <c:v>379.02853556798914</c:v>
                </c:pt>
                <c:pt idx="13">
                  <c:v>222.50189737215851</c:v>
                </c:pt>
                <c:pt idx="14">
                  <c:v>-363.62383922732215</c:v>
                </c:pt>
                <c:pt idx="15">
                  <c:v>-20.316150523778902</c:v>
                </c:pt>
                <c:pt idx="16">
                  <c:v>-225.72438650544166</c:v>
                </c:pt>
                <c:pt idx="17">
                  <c:v>95.820911266788016</c:v>
                </c:pt>
                <c:pt idx="18">
                  <c:v>200.58420081003555</c:v>
                </c:pt>
                <c:pt idx="19">
                  <c:v>364.63632485544485</c:v>
                </c:pt>
                <c:pt idx="20">
                  <c:v>541.53082222529065</c:v>
                </c:pt>
                <c:pt idx="21">
                  <c:v>357.94358859146428</c:v>
                </c:pt>
                <c:pt idx="22">
                  <c:v>382.1529245838417</c:v>
                </c:pt>
                <c:pt idx="23">
                  <c:v>117.68634106783202</c:v>
                </c:pt>
                <c:pt idx="24">
                  <c:v>-52.235321248526475</c:v>
                </c:pt>
                <c:pt idx="25">
                  <c:v>-184.99374802489876</c:v>
                </c:pt>
                <c:pt idx="26">
                  <c:v>-297.99169188240126</c:v>
                </c:pt>
                <c:pt idx="27">
                  <c:v>-214.84661834767837</c:v>
                </c:pt>
                <c:pt idx="28">
                  <c:v>-197.30634684315385</c:v>
                </c:pt>
                <c:pt idx="29">
                  <c:v>30.48236992931561</c:v>
                </c:pt>
                <c:pt idx="30">
                  <c:v>98.9150464984466</c:v>
                </c:pt>
                <c:pt idx="31">
                  <c:v>178.85948412610833</c:v>
                </c:pt>
                <c:pt idx="32">
                  <c:v>196.37420204234263</c:v>
                </c:pt>
                <c:pt idx="33">
                  <c:v>123.11986672120474</c:v>
                </c:pt>
                <c:pt idx="34">
                  <c:v>40.79905221871104</c:v>
                </c:pt>
                <c:pt idx="35">
                  <c:v>-173.60179817366111</c:v>
                </c:pt>
                <c:pt idx="36">
                  <c:v>-243.34959627606031</c:v>
                </c:pt>
                <c:pt idx="37">
                  <c:v>-327.85639006608915</c:v>
                </c:pt>
                <c:pt idx="38">
                  <c:v>-268.24738393261168</c:v>
                </c:pt>
                <c:pt idx="39">
                  <c:v>-245.79543295672443</c:v>
                </c:pt>
                <c:pt idx="40">
                  <c:v>-161.97861390874596</c:v>
                </c:pt>
                <c:pt idx="41">
                  <c:v>-58.96741798001085</c:v>
                </c:pt>
                <c:pt idx="42">
                  <c:v>-36.842521921411162</c:v>
                </c:pt>
                <c:pt idx="43">
                  <c:v>35.063490826289581</c:v>
                </c:pt>
                <c:pt idx="44">
                  <c:v>8.348596007804872</c:v>
                </c:pt>
                <c:pt idx="45">
                  <c:v>-90.293212027379013</c:v>
                </c:pt>
                <c:pt idx="46">
                  <c:v>-220.10868311661341</c:v>
                </c:pt>
                <c:pt idx="47">
                  <c:v>-288.44092692481377</c:v>
                </c:pt>
                <c:pt idx="48">
                  <c:v>-292.30757867730176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E-474B-B40C-06059707F4CF}"/>
            </c:ext>
          </c:extLst>
        </c:ser>
        <c:ser>
          <c:idx val="3"/>
          <c:order val="3"/>
          <c:tx>
            <c:strRef>
              <c:f>'Median Estimates'!$A$21:$B$21</c:f>
              <c:strCache>
                <c:ptCount val="2"/>
                <c:pt idx="0">
                  <c:v>sul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Estimates'!$C$21:$AY$21</c:f>
              <c:numCache>
                <c:formatCode>General</c:formatCode>
                <c:ptCount val="49"/>
                <c:pt idx="0">
                  <c:v>892.99181630544797</c:v>
                </c:pt>
                <c:pt idx="1">
                  <c:v>183.22127135158348</c:v>
                </c:pt>
                <c:pt idx="2">
                  <c:v>-495.57212383579179</c:v>
                </c:pt>
                <c:pt idx="3">
                  <c:v>454.33284487008279</c:v>
                </c:pt>
                <c:pt idx="4">
                  <c:v>-51.819059653228464</c:v>
                </c:pt>
                <c:pt idx="5">
                  <c:v>396.15331934368714</c:v>
                </c:pt>
                <c:pt idx="6">
                  <c:v>108.70317682838618</c:v>
                </c:pt>
                <c:pt idx="7">
                  <c:v>315.56458654767005</c:v>
                </c:pt>
                <c:pt idx="8">
                  <c:v>657.62150321840727</c:v>
                </c:pt>
                <c:pt idx="9">
                  <c:v>208.67091735211625</c:v>
                </c:pt>
                <c:pt idx="10">
                  <c:v>435.40605142489693</c:v>
                </c:pt>
                <c:pt idx="11">
                  <c:v>67.895253174534218</c:v>
                </c:pt>
                <c:pt idx="12">
                  <c:v>132.11947428987946</c:v>
                </c:pt>
                <c:pt idx="13">
                  <c:v>95.753077962818338</c:v>
                </c:pt>
                <c:pt idx="14">
                  <c:v>-139.30245024379298</c:v>
                </c:pt>
                <c:pt idx="15">
                  <c:v>92.711059572912461</c:v>
                </c:pt>
                <c:pt idx="16">
                  <c:v>-3.3838570032365851</c:v>
                </c:pt>
                <c:pt idx="17">
                  <c:v>211.81101559823946</c:v>
                </c:pt>
                <c:pt idx="18">
                  <c:v>194.3147537137686</c:v>
                </c:pt>
                <c:pt idx="19">
                  <c:v>245.71771041468094</c:v>
                </c:pt>
                <c:pt idx="20">
                  <c:v>306.18513859204427</c:v>
                </c:pt>
                <c:pt idx="21">
                  <c:v>149.36265376938434</c:v>
                </c:pt>
                <c:pt idx="22">
                  <c:v>173.56903256060423</c:v>
                </c:pt>
                <c:pt idx="23">
                  <c:v>17.428271933772749</c:v>
                </c:pt>
                <c:pt idx="24">
                  <c:v>-32.623294048926368</c:v>
                </c:pt>
                <c:pt idx="25">
                  <c:v>-60.928926175983634</c:v>
                </c:pt>
                <c:pt idx="26">
                  <c:v>-82.768865971015202</c:v>
                </c:pt>
                <c:pt idx="27">
                  <c:v>15.523717273977923</c:v>
                </c:pt>
                <c:pt idx="28">
                  <c:v>3.5612720394829012</c:v>
                </c:pt>
                <c:pt idx="29">
                  <c:v>170.47458372694132</c:v>
                </c:pt>
                <c:pt idx="30">
                  <c:v>106.64830184576294</c:v>
                </c:pt>
                <c:pt idx="31">
                  <c:v>143.37679089836809</c:v>
                </c:pt>
                <c:pt idx="32">
                  <c:v>124.49551230114207</c:v>
                </c:pt>
                <c:pt idx="33">
                  <c:v>59.495000095412479</c:v>
                </c:pt>
                <c:pt idx="34">
                  <c:v>5.9774222348760304</c:v>
                </c:pt>
                <c:pt idx="35">
                  <c:v>-90.131876690528998</c:v>
                </c:pt>
                <c:pt idx="36">
                  <c:v>-90.78492448679026</c:v>
                </c:pt>
                <c:pt idx="37">
                  <c:v>-104.62977680565575</c:v>
                </c:pt>
                <c:pt idx="38">
                  <c:v>-44.33720620827728</c:v>
                </c:pt>
                <c:pt idx="39">
                  <c:v>-13.157405455386765</c:v>
                </c:pt>
                <c:pt idx="40">
                  <c:v>9.2485502054604467</c:v>
                </c:pt>
                <c:pt idx="41">
                  <c:v>70.029758244986624</c:v>
                </c:pt>
                <c:pt idx="42">
                  <c:v>37.631307389885933</c:v>
                </c:pt>
                <c:pt idx="43">
                  <c:v>62.492663758061894</c:v>
                </c:pt>
                <c:pt idx="44">
                  <c:v>37.191983350247483</c:v>
                </c:pt>
                <c:pt idx="45">
                  <c:v>-32.592564403583424</c:v>
                </c:pt>
                <c:pt idx="46">
                  <c:v>-93.394444089131412</c:v>
                </c:pt>
                <c:pt idx="47">
                  <c:v>-107.56369237934473</c:v>
                </c:pt>
                <c:pt idx="48">
                  <c:v>-86.756127575657956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E-474B-B40C-06059707F4CF}"/>
            </c:ext>
          </c:extLst>
        </c:ser>
        <c:ser>
          <c:idx val="4"/>
          <c:order val="4"/>
          <c:tx>
            <c:strRef>
              <c:f>'Median Estimates'!$A$22:$B$22</c:f>
              <c:strCache>
                <c:ptCount val="2"/>
                <c:pt idx="0">
                  <c:v>centro</c:v>
                </c:pt>
                <c:pt idx="1">
                  <c:v>Liquido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Estimates'!$C$22:$AY$22</c:f>
              <c:numCache>
                <c:formatCode>General</c:formatCode>
                <c:ptCount val="49"/>
                <c:pt idx="0">
                  <c:v>669.88902965242801</c:v>
                </c:pt>
                <c:pt idx="1">
                  <c:v>55.529212443212231</c:v>
                </c:pt>
                <c:pt idx="2">
                  <c:v>-538.58218393180789</c:v>
                </c:pt>
                <c:pt idx="3">
                  <c:v>219.42614555577228</c:v>
                </c:pt>
                <c:pt idx="4">
                  <c:v>-155.7039492821099</c:v>
                </c:pt>
                <c:pt idx="5">
                  <c:v>155.81608432897025</c:v>
                </c:pt>
                <c:pt idx="6">
                  <c:v>-60.241255732639218</c:v>
                </c:pt>
                <c:pt idx="7">
                  <c:v>135.26455012297856</c:v>
                </c:pt>
                <c:pt idx="8">
                  <c:v>479.05766055649741</c:v>
                </c:pt>
                <c:pt idx="9">
                  <c:v>103.75128184955025</c:v>
                </c:pt>
                <c:pt idx="10">
                  <c:v>261.7600351395721</c:v>
                </c:pt>
                <c:pt idx="11">
                  <c:v>-19.193676386152731</c:v>
                </c:pt>
                <c:pt idx="12">
                  <c:v>48.686338943214224</c:v>
                </c:pt>
                <c:pt idx="13">
                  <c:v>20.570457852635712</c:v>
                </c:pt>
                <c:pt idx="14">
                  <c:v>-197.8597717513974</c:v>
                </c:pt>
                <c:pt idx="15">
                  <c:v>-9.631675864695751</c:v>
                </c:pt>
                <c:pt idx="16">
                  <c:v>-99.851361450885207</c:v>
                </c:pt>
                <c:pt idx="17">
                  <c:v>45.174560905349551</c:v>
                </c:pt>
                <c:pt idx="18">
                  <c:v>77.26978000338687</c:v>
                </c:pt>
                <c:pt idx="19">
                  <c:v>139.40425063780583</c:v>
                </c:pt>
                <c:pt idx="20">
                  <c:v>211.52007645514504</c:v>
                </c:pt>
                <c:pt idx="21">
                  <c:v>101.48817352673518</c:v>
                </c:pt>
                <c:pt idx="22">
                  <c:v>124.08244609232514</c:v>
                </c:pt>
                <c:pt idx="23">
                  <c:v>-16.585067882009866</c:v>
                </c:pt>
                <c:pt idx="24">
                  <c:v>-53.846042684620443</c:v>
                </c:pt>
                <c:pt idx="25">
                  <c:v>-84.902083230589312</c:v>
                </c:pt>
                <c:pt idx="26">
                  <c:v>-108.83029644262541</c:v>
                </c:pt>
                <c:pt idx="27">
                  <c:v>-67.071084968714274</c:v>
                </c:pt>
                <c:pt idx="28">
                  <c:v>-63.151321716012831</c:v>
                </c:pt>
                <c:pt idx="29">
                  <c:v>58.599971702191226</c:v>
                </c:pt>
                <c:pt idx="30">
                  <c:v>56.580464617456812</c:v>
                </c:pt>
                <c:pt idx="31">
                  <c:v>91.798347863754429</c:v>
                </c:pt>
                <c:pt idx="32">
                  <c:v>83.638390215246659</c:v>
                </c:pt>
                <c:pt idx="33">
                  <c:v>49.516485042456395</c:v>
                </c:pt>
                <c:pt idx="34">
                  <c:v>10.986889230306076</c:v>
                </c:pt>
                <c:pt idx="35">
                  <c:v>-79.072701786960522</c:v>
                </c:pt>
                <c:pt idx="36">
                  <c:v>-83.716734969082324</c:v>
                </c:pt>
                <c:pt idx="37">
                  <c:v>-99.572057768554089</c:v>
                </c:pt>
                <c:pt idx="38">
                  <c:v>-64.403603118158401</c:v>
                </c:pt>
                <c:pt idx="39">
                  <c:v>-59.737968775145134</c:v>
                </c:pt>
                <c:pt idx="40">
                  <c:v>-17.999087170436724</c:v>
                </c:pt>
                <c:pt idx="41">
                  <c:v>17.379455485754875</c:v>
                </c:pt>
                <c:pt idx="42">
                  <c:v>17.719990346304826</c:v>
                </c:pt>
                <c:pt idx="43">
                  <c:v>56.972152817374706</c:v>
                </c:pt>
                <c:pt idx="44">
                  <c:v>26.483322580696722</c:v>
                </c:pt>
                <c:pt idx="45">
                  <c:v>-6.8045859008916523</c:v>
                </c:pt>
                <c:pt idx="46">
                  <c:v>-57.86334543739099</c:v>
                </c:pt>
                <c:pt idx="47">
                  <c:v>-79.794203536577356</c:v>
                </c:pt>
                <c:pt idx="48">
                  <c:v>-73.189445502310491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E-474B-B40C-06059707F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975168"/>
        <c:axId val="1840975496"/>
      </c:lineChart>
      <c:catAx>
        <c:axId val="1840975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5496"/>
        <c:crosses val="autoZero"/>
        <c:auto val="1"/>
        <c:lblAlgn val="ctr"/>
        <c:lblOffset val="100"/>
        <c:noMultiLvlLbl val="0"/>
      </c:catAx>
      <c:valAx>
        <c:axId val="18409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97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'Median Estimates'!$A$24:$B$24</c:f>
              <c:strCache>
                <c:ptCount val="2"/>
                <c:pt idx="0">
                  <c:v>norte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Estimates'!$C$24:$AY$24</c:f>
              <c:numCache>
                <c:formatCode>General</c:formatCode>
                <c:ptCount val="49"/>
                <c:pt idx="0">
                  <c:v>260.09851557331092</c:v>
                </c:pt>
                <c:pt idx="1">
                  <c:v>399.61428463497958</c:v>
                </c:pt>
                <c:pt idx="2">
                  <c:v>315.01893634185501</c:v>
                </c:pt>
                <c:pt idx="3">
                  <c:v>431.80177155594674</c:v>
                </c:pt>
                <c:pt idx="4">
                  <c:v>429.23177795252514</c:v>
                </c:pt>
                <c:pt idx="5">
                  <c:v>512.53893105212478</c:v>
                </c:pt>
                <c:pt idx="6">
                  <c:v>529.42474890133713</c:v>
                </c:pt>
                <c:pt idx="7">
                  <c:v>585.63772411123193</c:v>
                </c:pt>
                <c:pt idx="8">
                  <c:v>758.00723172809251</c:v>
                </c:pt>
                <c:pt idx="9">
                  <c:v>829.50717447392503</c:v>
                </c:pt>
                <c:pt idx="10">
                  <c:v>955.93460916590243</c:v>
                </c:pt>
                <c:pt idx="11">
                  <c:v>1004.5157987717304</c:v>
                </c:pt>
                <c:pt idx="12">
                  <c:v>1054.3339987539866</c:v>
                </c:pt>
                <c:pt idx="13">
                  <c:v>1096.3061737074265</c:v>
                </c:pt>
                <c:pt idx="14">
                  <c:v>1068.3082658499206</c:v>
                </c:pt>
                <c:pt idx="15">
                  <c:v>1085.6708423029861</c:v>
                </c:pt>
                <c:pt idx="16">
                  <c:v>1067.8212042756959</c:v>
                </c:pt>
                <c:pt idx="17">
                  <c:v>1091.2527890885892</c:v>
                </c:pt>
                <c:pt idx="18">
                  <c:v>1122.7386897994584</c:v>
                </c:pt>
                <c:pt idx="19">
                  <c:v>1167.0285235426868</c:v>
                </c:pt>
                <c:pt idx="20">
                  <c:v>1237.2040506293101</c:v>
                </c:pt>
                <c:pt idx="21">
                  <c:v>1278.9542551730103</c:v>
                </c:pt>
                <c:pt idx="22">
                  <c:v>1330.4486340413316</c:v>
                </c:pt>
                <c:pt idx="23">
                  <c:v>1347.3628021896718</c:v>
                </c:pt>
                <c:pt idx="24">
                  <c:v>1345.5987891247623</c:v>
                </c:pt>
                <c:pt idx="25">
                  <c:v>1330.639646958437</c:v>
                </c:pt>
                <c:pt idx="26">
                  <c:v>1298.7443770812188</c:v>
                </c:pt>
                <c:pt idx="27">
                  <c:v>1277.5272736875593</c:v>
                </c:pt>
                <c:pt idx="28">
                  <c:v>1255.2495146191857</c:v>
                </c:pt>
                <c:pt idx="29">
                  <c:v>1260.6599958976853</c:v>
                </c:pt>
                <c:pt idx="30">
                  <c:v>1269.132648914798</c:v>
                </c:pt>
                <c:pt idx="31">
                  <c:v>1287.4950461328058</c:v>
                </c:pt>
                <c:pt idx="32">
                  <c:v>1306.0440726788449</c:v>
                </c:pt>
                <c:pt idx="33">
                  <c:v>1317.8642909824603</c:v>
                </c:pt>
                <c:pt idx="34">
                  <c:v>1318.8451036778104</c:v>
                </c:pt>
                <c:pt idx="35">
                  <c:v>1295.3267313944825</c:v>
                </c:pt>
                <c:pt idx="36">
                  <c:v>1267.9486699187303</c:v>
                </c:pt>
                <c:pt idx="37">
                  <c:v>1227.132260241385</c:v>
                </c:pt>
                <c:pt idx="38">
                  <c:v>1193.7616523741037</c:v>
                </c:pt>
                <c:pt idx="39">
                  <c:v>1162.0253482122585</c:v>
                </c:pt>
                <c:pt idx="40">
                  <c:v>1138.5951628406033</c:v>
                </c:pt>
                <c:pt idx="41">
                  <c:v>1127.1826618420782</c:v>
                </c:pt>
                <c:pt idx="42">
                  <c:v>1114.3903647987911</c:v>
                </c:pt>
                <c:pt idx="43">
                  <c:v>1112.9729713889697</c:v>
                </c:pt>
                <c:pt idx="44">
                  <c:v>1101.508142370943</c:v>
                </c:pt>
                <c:pt idx="45">
                  <c:v>1081.2103579681802</c:v>
                </c:pt>
                <c:pt idx="46">
                  <c:v>1052.0049518228363</c:v>
                </c:pt>
                <c:pt idx="47">
                  <c:v>1013.3249876723386</c:v>
                </c:pt>
                <c:pt idx="48">
                  <c:v>973.54670556104293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6-4FAA-BA07-664674E0DACA}"/>
            </c:ext>
          </c:extLst>
        </c:ser>
        <c:ser>
          <c:idx val="1"/>
          <c:order val="1"/>
          <c:tx>
            <c:strRef>
              <c:f>'Median Estimates'!$A$25:$B$25</c:f>
              <c:strCache>
                <c:ptCount val="2"/>
                <c:pt idx="0">
                  <c:v>nordeste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Estimates'!$C$25:$AY$25</c:f>
              <c:numCache>
                <c:formatCode>General</c:formatCode>
                <c:ptCount val="49"/>
                <c:pt idx="0">
                  <c:v>312.32906922891436</c:v>
                </c:pt>
                <c:pt idx="1">
                  <c:v>633.88600400244695</c:v>
                </c:pt>
                <c:pt idx="2">
                  <c:v>593.44456266803161</c:v>
                </c:pt>
                <c:pt idx="3">
                  <c:v>909.52976250958363</c:v>
                </c:pt>
                <c:pt idx="4">
                  <c:v>1127.4273451622846</c:v>
                </c:pt>
                <c:pt idx="5">
                  <c:v>1295.8175986607607</c:v>
                </c:pt>
                <c:pt idx="6">
                  <c:v>1419.4052849074515</c:v>
                </c:pt>
                <c:pt idx="7">
                  <c:v>1531.8784564360856</c:v>
                </c:pt>
                <c:pt idx="8">
                  <c:v>1871.8798448334849</c:v>
                </c:pt>
                <c:pt idx="9">
                  <c:v>2083.8232746290446</c:v>
                </c:pt>
                <c:pt idx="10">
                  <c:v>2298.8215922696295</c:v>
                </c:pt>
                <c:pt idx="11">
                  <c:v>2472.9294007741455</c:v>
                </c:pt>
                <c:pt idx="12">
                  <c:v>2609.1012948424614</c:v>
                </c:pt>
                <c:pt idx="13">
                  <c:v>2768.6225643132639</c:v>
                </c:pt>
                <c:pt idx="14">
                  <c:v>2804.9582363390537</c:v>
                </c:pt>
                <c:pt idx="15">
                  <c:v>2892.0859177896573</c:v>
                </c:pt>
                <c:pt idx="16">
                  <c:v>2960.7623063247856</c:v>
                </c:pt>
                <c:pt idx="17">
                  <c:v>3045.4729066104314</c:v>
                </c:pt>
                <c:pt idx="18">
                  <c:v>3148.8117976386084</c:v>
                </c:pt>
                <c:pt idx="19">
                  <c:v>3245.7187927331138</c:v>
                </c:pt>
                <c:pt idx="20">
                  <c:v>3387.7111426612787</c:v>
                </c:pt>
                <c:pt idx="21">
                  <c:v>3493.4632766093964</c:v>
                </c:pt>
                <c:pt idx="22">
                  <c:v>3603.4096129181216</c:v>
                </c:pt>
                <c:pt idx="23">
                  <c:v>3679.5491408006069</c:v>
                </c:pt>
                <c:pt idx="24">
                  <c:v>3721.0279837633452</c:v>
                </c:pt>
                <c:pt idx="25">
                  <c:v>3758.1333478599008</c:v>
                </c:pt>
                <c:pt idx="26">
                  <c:v>3764.4306236947614</c:v>
                </c:pt>
                <c:pt idx="27">
                  <c:v>3780.9892469205147</c:v>
                </c:pt>
                <c:pt idx="28">
                  <c:v>3786.7785193963773</c:v>
                </c:pt>
                <c:pt idx="29">
                  <c:v>3824.7028120296018</c:v>
                </c:pt>
                <c:pt idx="30">
                  <c:v>3868.9129391337083</c:v>
                </c:pt>
                <c:pt idx="31">
                  <c:v>3905.0399005762856</c:v>
                </c:pt>
                <c:pt idx="32">
                  <c:v>3952.5745180423669</c:v>
                </c:pt>
                <c:pt idx="33">
                  <c:v>3987.6260274767992</c:v>
                </c:pt>
                <c:pt idx="34">
                  <c:v>4015.8215563841222</c:v>
                </c:pt>
                <c:pt idx="35">
                  <c:v>4011.4579236436934</c:v>
                </c:pt>
                <c:pt idx="36">
                  <c:v>3998.8297102705574</c:v>
                </c:pt>
                <c:pt idx="37">
                  <c:v>3980.1657976504766</c:v>
                </c:pt>
                <c:pt idx="38">
                  <c:v>3957.1270562297414</c:v>
                </c:pt>
                <c:pt idx="39">
                  <c:v>3933.3001502684688</c:v>
                </c:pt>
                <c:pt idx="40">
                  <c:v>3915.0732258113894</c:v>
                </c:pt>
                <c:pt idx="41">
                  <c:v>3908.6226367119471</c:v>
                </c:pt>
                <c:pt idx="42">
                  <c:v>3900.1109375725464</c:v>
                </c:pt>
                <c:pt idx="43">
                  <c:v>3902.4417092817057</c:v>
                </c:pt>
                <c:pt idx="44">
                  <c:v>3903.0764314419016</c:v>
                </c:pt>
                <c:pt idx="45">
                  <c:v>3884.2567245832583</c:v>
                </c:pt>
                <c:pt idx="46">
                  <c:v>3849.6295022177969</c:v>
                </c:pt>
                <c:pt idx="47">
                  <c:v>3807.1389915699619</c:v>
                </c:pt>
                <c:pt idx="48">
                  <c:v>3762.9929530253544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66-4FAA-BA07-664674E0DACA}"/>
            </c:ext>
          </c:extLst>
        </c:ser>
        <c:ser>
          <c:idx val="2"/>
          <c:order val="2"/>
          <c:tx>
            <c:strRef>
              <c:f>'Median Estimates'!$A$26:$B$26</c:f>
              <c:strCache>
                <c:ptCount val="2"/>
                <c:pt idx="0">
                  <c:v>sudeste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Estimates'!$C$26:$AY$26</c:f>
              <c:numCache>
                <c:formatCode>General</c:formatCode>
                <c:ptCount val="49"/>
                <c:pt idx="0">
                  <c:v>1664.769020620598</c:v>
                </c:pt>
                <c:pt idx="1">
                  <c:v>2278.2308305098099</c:v>
                </c:pt>
                <c:pt idx="2">
                  <c:v>1273.5185789453521</c:v>
                </c:pt>
                <c:pt idx="3">
                  <c:v>1884.6532178065549</c:v>
                </c:pt>
                <c:pt idx="4">
                  <c:v>1737.0965029091533</c:v>
                </c:pt>
                <c:pt idx="5">
                  <c:v>2122.5403769270147</c:v>
                </c:pt>
                <c:pt idx="6">
                  <c:v>2064.5434255942505</c:v>
                </c:pt>
                <c:pt idx="7">
                  <c:v>2420.5507032009364</c:v>
                </c:pt>
                <c:pt idx="8">
                  <c:v>3692.4980373577446</c:v>
                </c:pt>
                <c:pt idx="9">
                  <c:v>4237.9524625738259</c:v>
                </c:pt>
                <c:pt idx="10">
                  <c:v>5076.3710773322464</c:v>
                </c:pt>
                <c:pt idx="11">
                  <c:v>5412.4015885704639</c:v>
                </c:pt>
                <c:pt idx="12">
                  <c:v>5791.4301241384528</c:v>
                </c:pt>
                <c:pt idx="13">
                  <c:v>6013.9320215106109</c:v>
                </c:pt>
                <c:pt idx="14">
                  <c:v>5650.3081822832883</c:v>
                </c:pt>
                <c:pt idx="15">
                  <c:v>5629.9920317595097</c:v>
                </c:pt>
                <c:pt idx="16">
                  <c:v>5404.2676452540682</c:v>
                </c:pt>
                <c:pt idx="17">
                  <c:v>5500.0885565208564</c:v>
                </c:pt>
                <c:pt idx="18">
                  <c:v>5700.6727573308917</c:v>
                </c:pt>
                <c:pt idx="19">
                  <c:v>6065.309082186337</c:v>
                </c:pt>
                <c:pt idx="20">
                  <c:v>6606.8399044116277</c:v>
                </c:pt>
                <c:pt idx="21">
                  <c:v>6964.7834930030922</c:v>
                </c:pt>
                <c:pt idx="22">
                  <c:v>7346.9364175869341</c:v>
                </c:pt>
                <c:pt idx="23">
                  <c:v>7464.6227586547666</c:v>
                </c:pt>
                <c:pt idx="24">
                  <c:v>7412.3874374062398</c:v>
                </c:pt>
                <c:pt idx="25">
                  <c:v>7227.3936893813407</c:v>
                </c:pt>
                <c:pt idx="26">
                  <c:v>6929.4019974989396</c:v>
                </c:pt>
                <c:pt idx="27">
                  <c:v>6714.5553791512611</c:v>
                </c:pt>
                <c:pt idx="28">
                  <c:v>6517.2490323081074</c:v>
                </c:pt>
                <c:pt idx="29">
                  <c:v>6547.731402237423</c:v>
                </c:pt>
                <c:pt idx="30">
                  <c:v>6646.6464487358699</c:v>
                </c:pt>
                <c:pt idx="31">
                  <c:v>6825.5059328619782</c:v>
                </c:pt>
                <c:pt idx="32">
                  <c:v>7021.8801349043206</c:v>
                </c:pt>
                <c:pt idx="33">
                  <c:v>7145.0000016255253</c:v>
                </c:pt>
                <c:pt idx="34">
                  <c:v>7185.7990538442364</c:v>
                </c:pt>
                <c:pt idx="35">
                  <c:v>7012.197255670575</c:v>
                </c:pt>
                <c:pt idx="36">
                  <c:v>6768.8476593945143</c:v>
                </c:pt>
                <c:pt idx="37">
                  <c:v>6440.991269328425</c:v>
                </c:pt>
                <c:pt idx="38">
                  <c:v>6172.7438853958138</c:v>
                </c:pt>
                <c:pt idx="39">
                  <c:v>5926.9484524390891</c:v>
                </c:pt>
                <c:pt idx="40">
                  <c:v>5764.9698385303436</c:v>
                </c:pt>
                <c:pt idx="41">
                  <c:v>5706.0024205503323</c:v>
                </c:pt>
                <c:pt idx="42">
                  <c:v>5669.1598986289209</c:v>
                </c:pt>
                <c:pt idx="43">
                  <c:v>5704.2233894552101</c:v>
                </c:pt>
                <c:pt idx="44">
                  <c:v>5712.5719854630152</c:v>
                </c:pt>
                <c:pt idx="45">
                  <c:v>5622.2787734356361</c:v>
                </c:pt>
                <c:pt idx="46">
                  <c:v>5402.1700903190231</c:v>
                </c:pt>
                <c:pt idx="47">
                  <c:v>5113.7291633942095</c:v>
                </c:pt>
                <c:pt idx="48">
                  <c:v>4821.421584716908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66-4FAA-BA07-664674E0DACA}"/>
            </c:ext>
          </c:extLst>
        </c:ser>
        <c:ser>
          <c:idx val="3"/>
          <c:order val="3"/>
          <c:tx>
            <c:strRef>
              <c:f>'Median Estimates'!$A$27:$B$27</c:f>
              <c:strCache>
                <c:ptCount val="2"/>
                <c:pt idx="0">
                  <c:v>sul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Estimates'!$C$27:$AY$27</c:f>
              <c:numCache>
                <c:formatCode>General</c:formatCode>
                <c:ptCount val="49"/>
                <c:pt idx="0">
                  <c:v>892.99181630544797</c:v>
                </c:pt>
                <c:pt idx="1">
                  <c:v>1076.2130876570313</c:v>
                </c:pt>
                <c:pt idx="2">
                  <c:v>580.64096382123955</c:v>
                </c:pt>
                <c:pt idx="3">
                  <c:v>1034.9738086913223</c:v>
                </c:pt>
                <c:pt idx="4">
                  <c:v>983.15474903809388</c:v>
                </c:pt>
                <c:pt idx="5">
                  <c:v>1379.3080683817811</c:v>
                </c:pt>
                <c:pt idx="6">
                  <c:v>1488.0112452101673</c:v>
                </c:pt>
                <c:pt idx="7">
                  <c:v>1803.5758317578375</c:v>
                </c:pt>
                <c:pt idx="8">
                  <c:v>2461.1973349762447</c:v>
                </c:pt>
                <c:pt idx="9">
                  <c:v>2669.868252328361</c:v>
                </c:pt>
                <c:pt idx="10">
                  <c:v>3105.2743037532578</c:v>
                </c:pt>
                <c:pt idx="11">
                  <c:v>3173.1695569277917</c:v>
                </c:pt>
                <c:pt idx="12">
                  <c:v>3305.2890312176714</c:v>
                </c:pt>
                <c:pt idx="13">
                  <c:v>3401.0421091804897</c:v>
                </c:pt>
                <c:pt idx="14">
                  <c:v>3261.7396589366967</c:v>
                </c:pt>
                <c:pt idx="15">
                  <c:v>3354.450718509609</c:v>
                </c:pt>
                <c:pt idx="16">
                  <c:v>3351.0668615063723</c:v>
                </c:pt>
                <c:pt idx="17">
                  <c:v>3562.8778771046118</c:v>
                </c:pt>
                <c:pt idx="18">
                  <c:v>3757.1926308183802</c:v>
                </c:pt>
                <c:pt idx="19">
                  <c:v>4002.910341233061</c:v>
                </c:pt>
                <c:pt idx="20">
                  <c:v>4309.095479825105</c:v>
                </c:pt>
                <c:pt idx="21">
                  <c:v>4458.4581335944895</c:v>
                </c:pt>
                <c:pt idx="22">
                  <c:v>4632.0271661550942</c:v>
                </c:pt>
                <c:pt idx="23">
                  <c:v>4649.4554380888667</c:v>
                </c:pt>
                <c:pt idx="24">
                  <c:v>4616.8321440399404</c:v>
                </c:pt>
                <c:pt idx="25">
                  <c:v>4555.9032178639573</c:v>
                </c:pt>
                <c:pt idx="26">
                  <c:v>4473.1343518929425</c:v>
                </c:pt>
                <c:pt idx="27">
                  <c:v>4488.6580691669205</c:v>
                </c:pt>
                <c:pt idx="28">
                  <c:v>4492.2193412064034</c:v>
                </c:pt>
                <c:pt idx="29">
                  <c:v>4662.6939249333445</c:v>
                </c:pt>
                <c:pt idx="30">
                  <c:v>4769.3422267791075</c:v>
                </c:pt>
                <c:pt idx="31">
                  <c:v>4912.7190176774757</c:v>
                </c:pt>
                <c:pt idx="32">
                  <c:v>5037.214529978618</c:v>
                </c:pt>
                <c:pt idx="33">
                  <c:v>5096.7095300740302</c:v>
                </c:pt>
                <c:pt idx="34">
                  <c:v>5102.6869523089063</c:v>
                </c:pt>
                <c:pt idx="35">
                  <c:v>5012.5550756183775</c:v>
                </c:pt>
                <c:pt idx="36">
                  <c:v>4921.7701511315872</c:v>
                </c:pt>
                <c:pt idx="37">
                  <c:v>4817.1403743259316</c:v>
                </c:pt>
                <c:pt idx="38">
                  <c:v>4772.8031681176544</c:v>
                </c:pt>
                <c:pt idx="39">
                  <c:v>4759.6457626622678</c:v>
                </c:pt>
                <c:pt idx="40">
                  <c:v>4768.8943128677283</c:v>
                </c:pt>
                <c:pt idx="41">
                  <c:v>4838.924071112715</c:v>
                </c:pt>
                <c:pt idx="42">
                  <c:v>4876.5553785026004</c:v>
                </c:pt>
                <c:pt idx="43">
                  <c:v>4939.0480422606624</c:v>
                </c:pt>
                <c:pt idx="44">
                  <c:v>4976.2400256109104</c:v>
                </c:pt>
                <c:pt idx="45">
                  <c:v>4943.6474612073271</c:v>
                </c:pt>
                <c:pt idx="46">
                  <c:v>4850.2530171181952</c:v>
                </c:pt>
                <c:pt idx="47">
                  <c:v>4742.6893247388507</c:v>
                </c:pt>
                <c:pt idx="48">
                  <c:v>4655.9331971631927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66-4FAA-BA07-664674E0DACA}"/>
            </c:ext>
          </c:extLst>
        </c:ser>
        <c:ser>
          <c:idx val="4"/>
          <c:order val="4"/>
          <c:tx>
            <c:strRef>
              <c:f>'Median Estimates'!$A$28:$B$28</c:f>
              <c:strCache>
                <c:ptCount val="2"/>
                <c:pt idx="0">
                  <c:v>centro</c:v>
                </c:pt>
                <c:pt idx="1">
                  <c:v>Acumulado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'Median Estimates'!$C$28:$AY$28</c:f>
              <c:numCache>
                <c:formatCode>General</c:formatCode>
                <c:ptCount val="49"/>
                <c:pt idx="0">
                  <c:v>669.88902965242801</c:v>
                </c:pt>
                <c:pt idx="1">
                  <c:v>725.41824209564027</c:v>
                </c:pt>
                <c:pt idx="2">
                  <c:v>186.83605816383238</c:v>
                </c:pt>
                <c:pt idx="3">
                  <c:v>406.26220371960466</c:v>
                </c:pt>
                <c:pt idx="4">
                  <c:v>250.55825443749475</c:v>
                </c:pt>
                <c:pt idx="5">
                  <c:v>406.37433876646503</c:v>
                </c:pt>
                <c:pt idx="6">
                  <c:v>346.13308303382581</c:v>
                </c:pt>
                <c:pt idx="7">
                  <c:v>481.39763315680437</c:v>
                </c:pt>
                <c:pt idx="8">
                  <c:v>960.45529371330178</c:v>
                </c:pt>
                <c:pt idx="9">
                  <c:v>1064.2065755628521</c:v>
                </c:pt>
                <c:pt idx="10">
                  <c:v>1325.9666107024241</c:v>
                </c:pt>
                <c:pt idx="11">
                  <c:v>1306.7729343162714</c:v>
                </c:pt>
                <c:pt idx="12">
                  <c:v>1355.4592732594856</c:v>
                </c:pt>
                <c:pt idx="13">
                  <c:v>1376.0297311121212</c:v>
                </c:pt>
                <c:pt idx="14">
                  <c:v>1178.1699593607239</c:v>
                </c:pt>
                <c:pt idx="15">
                  <c:v>1168.538283496028</c:v>
                </c:pt>
                <c:pt idx="16">
                  <c:v>1068.6869220451429</c:v>
                </c:pt>
                <c:pt idx="17">
                  <c:v>1113.8614829504925</c:v>
                </c:pt>
                <c:pt idx="18">
                  <c:v>1191.1312629538793</c:v>
                </c:pt>
                <c:pt idx="19">
                  <c:v>1330.5355135916852</c:v>
                </c:pt>
                <c:pt idx="20">
                  <c:v>1542.0555900468303</c:v>
                </c:pt>
                <c:pt idx="21">
                  <c:v>1643.5437635735655</c:v>
                </c:pt>
                <c:pt idx="22">
                  <c:v>1767.6262096658907</c:v>
                </c:pt>
                <c:pt idx="23">
                  <c:v>1751.0411417838809</c:v>
                </c:pt>
                <c:pt idx="24">
                  <c:v>1697.1950990992605</c:v>
                </c:pt>
                <c:pt idx="25">
                  <c:v>1612.2930158686711</c:v>
                </c:pt>
                <c:pt idx="26">
                  <c:v>1503.4627194260456</c:v>
                </c:pt>
                <c:pt idx="27">
                  <c:v>1436.3916344573313</c:v>
                </c:pt>
                <c:pt idx="28">
                  <c:v>1373.2403127413186</c:v>
                </c:pt>
                <c:pt idx="29">
                  <c:v>1431.8402844435097</c:v>
                </c:pt>
                <c:pt idx="30">
                  <c:v>1488.4207490609665</c:v>
                </c:pt>
                <c:pt idx="31">
                  <c:v>1580.2190969247208</c:v>
                </c:pt>
                <c:pt idx="32">
                  <c:v>1663.8574871399674</c:v>
                </c:pt>
                <c:pt idx="33">
                  <c:v>1713.3739721824238</c:v>
                </c:pt>
                <c:pt idx="34">
                  <c:v>1724.3608614127299</c:v>
                </c:pt>
                <c:pt idx="35">
                  <c:v>1645.2881596257694</c:v>
                </c:pt>
                <c:pt idx="36">
                  <c:v>1561.571424656687</c:v>
                </c:pt>
                <c:pt idx="37">
                  <c:v>1461.999366888133</c:v>
                </c:pt>
                <c:pt idx="38">
                  <c:v>1397.5957637699746</c:v>
                </c:pt>
                <c:pt idx="39">
                  <c:v>1337.8577949948294</c:v>
                </c:pt>
                <c:pt idx="40">
                  <c:v>1319.8587078243927</c:v>
                </c:pt>
                <c:pt idx="41">
                  <c:v>1337.2381633101477</c:v>
                </c:pt>
                <c:pt idx="42">
                  <c:v>1354.9581536564524</c:v>
                </c:pt>
                <c:pt idx="43">
                  <c:v>1411.9303064738272</c:v>
                </c:pt>
                <c:pt idx="44">
                  <c:v>1438.4136290545239</c:v>
                </c:pt>
                <c:pt idx="45">
                  <c:v>1431.6090431536322</c:v>
                </c:pt>
                <c:pt idx="46">
                  <c:v>1373.7456977162412</c:v>
                </c:pt>
                <c:pt idx="47">
                  <c:v>1293.9514941796638</c:v>
                </c:pt>
                <c:pt idx="48">
                  <c:v>1220.7620486773533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66-4FAA-BA07-664674E0D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138632"/>
        <c:axId val="1857137976"/>
      </c:lineChart>
      <c:catAx>
        <c:axId val="1857138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137976"/>
        <c:crosses val="autoZero"/>
        <c:auto val="1"/>
        <c:lblAlgn val="ctr"/>
        <c:lblOffset val="100"/>
        <c:noMultiLvlLbl val="0"/>
      </c:catAx>
      <c:valAx>
        <c:axId val="185713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13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13</xdr:row>
      <xdr:rowOff>100012</xdr:rowOff>
    </xdr:from>
    <xdr:to>
      <xdr:col>18</xdr:col>
      <xdr:colOff>352425</xdr:colOff>
      <xdr:row>30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75B7A-0624-4948-A262-152E7A094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16</xdr:row>
      <xdr:rowOff>71437</xdr:rowOff>
    </xdr:from>
    <xdr:to>
      <xdr:col>9</xdr:col>
      <xdr:colOff>409575</xdr:colOff>
      <xdr:row>33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C64004-D5BB-47CC-9148-949E078F7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:AY9"/>
    </sheetView>
  </sheetViews>
  <sheetFormatPr defaultRowHeight="12.75" x14ac:dyDescent="0.2"/>
  <sheetData>
    <row r="1" spans="1:1" x14ac:dyDescent="0.2">
      <c r="A1" t="s">
        <v>8</v>
      </c>
    </row>
    <row r="2" spans="1:1" x14ac:dyDescent="0.2">
      <c r="A2" t="s">
        <v>7</v>
      </c>
    </row>
    <row r="3" spans="1:1" x14ac:dyDescent="0.2">
      <c r="A3" t="s">
        <v>6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tabSelected="1" workbookViewId="0">
      <selection activeCell="K7" sqref="K7"/>
    </sheetView>
  </sheetViews>
  <sheetFormatPr defaultRowHeight="12.75" x14ac:dyDescent="0.2"/>
  <sheetData>
    <row r="1" spans="1:51" x14ac:dyDescent="0.2">
      <c r="A1" t="s">
        <v>8</v>
      </c>
    </row>
    <row r="2" spans="1:51" x14ac:dyDescent="0.2">
      <c r="A2" t="s">
        <v>7</v>
      </c>
    </row>
    <row r="3" spans="1:51" x14ac:dyDescent="0.2">
      <c r="A3" t="s">
        <v>6</v>
      </c>
    </row>
    <row r="4" spans="1:51" x14ac:dyDescent="0.2"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</row>
    <row r="5" spans="1:51" x14ac:dyDescent="0.2">
      <c r="A5" t="s">
        <v>5</v>
      </c>
      <c r="B5" t="s">
        <v>0</v>
      </c>
      <c r="C5">
        <v>207.5426421052083</v>
      </c>
      <c r="D5">
        <v>141.89367959532194</v>
      </c>
      <c r="E5">
        <v>91.559779276114284</v>
      </c>
      <c r="F5">
        <v>107.13196468166795</v>
      </c>
      <c r="G5">
        <v>75.40283224652741</v>
      </c>
      <c r="H5">
        <v>183.67356293701218</v>
      </c>
      <c r="I5">
        <v>142.09456891787363</v>
      </c>
      <c r="J5">
        <v>184.74799031226644</v>
      </c>
      <c r="K5">
        <v>210.69692258548298</v>
      </c>
      <c r="L5">
        <v>214.60272769523914</v>
      </c>
      <c r="M5">
        <v>230.09312980367173</v>
      </c>
      <c r="N5">
        <v>155.40445309481223</v>
      </c>
      <c r="O5">
        <v>153.66622310129191</v>
      </c>
      <c r="P5">
        <v>123.92624800859129</v>
      </c>
      <c r="Q5">
        <v>112.18039218532613</v>
      </c>
      <c r="R5">
        <v>127.64179398847645</v>
      </c>
      <c r="S5">
        <v>123.39191208671188</v>
      </c>
      <c r="T5">
        <v>167.81465029334362</v>
      </c>
      <c r="U5">
        <v>178.57956881094583</v>
      </c>
      <c r="V5">
        <v>205.71126549364087</v>
      </c>
      <c r="W5">
        <v>205.77976202752154</v>
      </c>
      <c r="X5">
        <v>197.11727267443248</v>
      </c>
      <c r="Y5">
        <v>188.1201867154295</v>
      </c>
      <c r="Z5">
        <v>158.40429109056171</v>
      </c>
      <c r="AA5">
        <v>140.49237591307724</v>
      </c>
      <c r="AB5">
        <v>128.15304457943202</v>
      </c>
      <c r="AC5">
        <v>123.35528108534832</v>
      </c>
      <c r="AD5">
        <v>133.2785477021236</v>
      </c>
      <c r="AE5">
        <v>146.24006010857076</v>
      </c>
      <c r="AF5">
        <v>172.33981180476673</v>
      </c>
      <c r="AG5">
        <v>181.07871356599898</v>
      </c>
      <c r="AH5">
        <v>191.43166832940892</v>
      </c>
      <c r="AI5">
        <v>187.2539713755325</v>
      </c>
      <c r="AJ5">
        <v>179.29605574630995</v>
      </c>
      <c r="AK5">
        <v>165.46077396568452</v>
      </c>
      <c r="AL5">
        <v>148.88339807630345</v>
      </c>
      <c r="AM5">
        <v>137.30894535288149</v>
      </c>
      <c r="AN5">
        <v>127.88264791740852</v>
      </c>
      <c r="AO5">
        <v>138.87237744912827</v>
      </c>
      <c r="AP5">
        <v>146.00675946249277</v>
      </c>
      <c r="AQ5">
        <v>158.36426769012934</v>
      </c>
      <c r="AR5">
        <v>169.87787060132163</v>
      </c>
      <c r="AS5">
        <v>174.16365122404477</v>
      </c>
      <c r="AT5">
        <v>178.45868726235346</v>
      </c>
      <c r="AU5">
        <v>170.53756687567267</v>
      </c>
      <c r="AV5">
        <v>163.48022677651909</v>
      </c>
      <c r="AW5">
        <v>150.45007076642148</v>
      </c>
      <c r="AX5">
        <v>144.51953395059417</v>
      </c>
      <c r="AY5">
        <v>138.86037581801494</v>
      </c>
    </row>
    <row r="6" spans="1:51" x14ac:dyDescent="0.2">
      <c r="A6" t="s">
        <v>4</v>
      </c>
      <c r="B6" t="s">
        <v>0</v>
      </c>
      <c r="C6">
        <v>294.25272480249259</v>
      </c>
      <c r="D6">
        <v>254.6005138798173</v>
      </c>
      <c r="E6">
        <v>106.8436144900615</v>
      </c>
      <c r="F6">
        <v>241.8965752966219</v>
      </c>
      <c r="G6">
        <v>216.07072100839019</v>
      </c>
      <c r="H6">
        <v>311.62384956213123</v>
      </c>
      <c r="I6">
        <v>269.85438253967345</v>
      </c>
      <c r="J6">
        <v>307.46428592978509</v>
      </c>
      <c r="K6">
        <v>400.69788818976014</v>
      </c>
      <c r="L6">
        <v>387.56458340498909</v>
      </c>
      <c r="M6">
        <v>383.10170139288675</v>
      </c>
      <c r="N6">
        <v>290.26103601046242</v>
      </c>
      <c r="O6">
        <v>267.38713557246984</v>
      </c>
      <c r="P6">
        <v>243.81592182192182</v>
      </c>
      <c r="Q6">
        <v>202.82034979598114</v>
      </c>
      <c r="R6">
        <v>228.99939388721589</v>
      </c>
      <c r="S6">
        <v>242.1928616311119</v>
      </c>
      <c r="T6">
        <v>298.96893786550686</v>
      </c>
      <c r="U6">
        <v>323.60343263409408</v>
      </c>
      <c r="V6">
        <v>354.73078830698688</v>
      </c>
      <c r="W6">
        <v>357.18076589469041</v>
      </c>
      <c r="X6">
        <v>342.62438887265228</v>
      </c>
      <c r="Y6">
        <v>325.87221361987736</v>
      </c>
      <c r="Z6">
        <v>279.46642679849322</v>
      </c>
      <c r="AA6">
        <v>246.83212346038269</v>
      </c>
      <c r="AB6">
        <v>234.31462700081221</v>
      </c>
      <c r="AC6">
        <v>229.70133108260819</v>
      </c>
      <c r="AD6">
        <v>242.96405801888585</v>
      </c>
      <c r="AE6">
        <v>265.05298592953864</v>
      </c>
      <c r="AF6">
        <v>303.62218446524184</v>
      </c>
      <c r="AG6">
        <v>320.85234261204704</v>
      </c>
      <c r="AH6">
        <v>329.08437309618364</v>
      </c>
      <c r="AI6">
        <v>321.31489800977391</v>
      </c>
      <c r="AJ6">
        <v>310.49188439811019</v>
      </c>
      <c r="AK6">
        <v>287.43509996176937</v>
      </c>
      <c r="AL6">
        <v>259.26197994319108</v>
      </c>
      <c r="AM6">
        <v>241.81382645002503</v>
      </c>
      <c r="AN6">
        <v>236.78485586305914</v>
      </c>
      <c r="AO6">
        <v>251.54069263578197</v>
      </c>
      <c r="AP6">
        <v>261.41920327832815</v>
      </c>
      <c r="AQ6">
        <v>282.93192086873114</v>
      </c>
      <c r="AR6">
        <v>296.77744131508933</v>
      </c>
      <c r="AS6">
        <v>299.91403646667584</v>
      </c>
      <c r="AT6">
        <v>309.85946459495938</v>
      </c>
      <c r="AU6">
        <v>297.64862233373344</v>
      </c>
      <c r="AV6">
        <v>287.17291524544305</v>
      </c>
      <c r="AW6">
        <v>263.37410725270263</v>
      </c>
      <c r="AX6">
        <v>254.20786294759137</v>
      </c>
      <c r="AY6">
        <v>249.42288766992081</v>
      </c>
    </row>
    <row r="7" spans="1:51" x14ac:dyDescent="0.2">
      <c r="A7" t="s">
        <v>3</v>
      </c>
      <c r="B7" t="s">
        <v>0</v>
      </c>
      <c r="C7">
        <v>1202.7474646741243</v>
      </c>
      <c r="D7">
        <v>693.02573813392371</v>
      </c>
      <c r="E7">
        <v>223.79506728849771</v>
      </c>
      <c r="F7">
        <v>351.59220192314945</v>
      </c>
      <c r="G7">
        <v>383.8812187559198</v>
      </c>
      <c r="H7">
        <v>1031.4320795580854</v>
      </c>
      <c r="I7">
        <v>886.98425535214437</v>
      </c>
      <c r="J7">
        <v>1289.6981282439017</v>
      </c>
      <c r="K7">
        <v>1531.4485706818605</v>
      </c>
      <c r="L7">
        <v>1637.2315703031636</v>
      </c>
      <c r="M7">
        <v>1578.2426570697905</v>
      </c>
      <c r="N7">
        <v>1075.4125013018875</v>
      </c>
      <c r="O7">
        <v>994.54594171280996</v>
      </c>
      <c r="P7">
        <v>703.70377712734683</v>
      </c>
      <c r="Q7">
        <v>554.24916310161575</v>
      </c>
      <c r="R7">
        <v>618.47025598434709</v>
      </c>
      <c r="S7">
        <v>672.31805587816461</v>
      </c>
      <c r="T7">
        <v>1043.9546821819677</v>
      </c>
      <c r="U7">
        <v>1216.4967907854639</v>
      </c>
      <c r="V7">
        <v>1472.5802668021815</v>
      </c>
      <c r="W7">
        <v>1467.0900226812491</v>
      </c>
      <c r="X7">
        <v>1434.6518815423528</v>
      </c>
      <c r="Y7">
        <v>1288.6927544498346</v>
      </c>
      <c r="Z7">
        <v>1014.1088679063469</v>
      </c>
      <c r="AA7">
        <v>832.49503156151013</v>
      </c>
      <c r="AB7">
        <v>697.46621901231185</v>
      </c>
      <c r="AC7">
        <v>660.06629458160774</v>
      </c>
      <c r="AD7">
        <v>743.03899860266699</v>
      </c>
      <c r="AE7">
        <v>889.92566804338492</v>
      </c>
      <c r="AF7">
        <v>1130.3314512217039</v>
      </c>
      <c r="AG7">
        <v>1260.0276945244389</v>
      </c>
      <c r="AH7">
        <v>1348.169200373964</v>
      </c>
      <c r="AI7">
        <v>1308.1513737955636</v>
      </c>
      <c r="AJ7">
        <v>1242.3882050630809</v>
      </c>
      <c r="AK7">
        <v>1085.5718436044331</v>
      </c>
      <c r="AL7">
        <v>913.68061771713451</v>
      </c>
      <c r="AM7">
        <v>796.09980614082315</v>
      </c>
      <c r="AN7">
        <v>743.27847434186958</v>
      </c>
      <c r="AO7">
        <v>810.58626851226791</v>
      </c>
      <c r="AP7">
        <v>892.09344919556952</v>
      </c>
      <c r="AQ7">
        <v>1045.4868752018754</v>
      </c>
      <c r="AR7">
        <v>1132.505375531473</v>
      </c>
      <c r="AS7">
        <v>1200.430306383171</v>
      </c>
      <c r="AT7">
        <v>1222.8271167773282</v>
      </c>
      <c r="AU7">
        <v>1176.6297583298958</v>
      </c>
      <c r="AV7">
        <v>1102.0678432811856</v>
      </c>
      <c r="AW7">
        <v>946.83161679547641</v>
      </c>
      <c r="AX7">
        <v>885.7900983296247</v>
      </c>
      <c r="AY7">
        <v>839.40081141751716</v>
      </c>
    </row>
    <row r="8" spans="1:51" x14ac:dyDescent="0.2">
      <c r="A8" t="s">
        <v>2</v>
      </c>
      <c r="B8" t="s">
        <v>0</v>
      </c>
      <c r="C8">
        <v>839.32383804837434</v>
      </c>
      <c r="D8">
        <v>274.97290008698809</v>
      </c>
      <c r="E8">
        <v>-4.6825850084624392</v>
      </c>
      <c r="F8">
        <v>232.32662359975916</v>
      </c>
      <c r="G8">
        <v>313.4188814439658</v>
      </c>
      <c r="H8">
        <v>827.23710395216426</v>
      </c>
      <c r="I8">
        <v>652.38368726491512</v>
      </c>
      <c r="J8">
        <v>984.07269387713279</v>
      </c>
      <c r="K8">
        <v>1042.9524664399414</v>
      </c>
      <c r="L8">
        <v>967.51985620142636</v>
      </c>
      <c r="M8">
        <v>937.1020463650168</v>
      </c>
      <c r="N8">
        <v>535.9908113624175</v>
      </c>
      <c r="O8">
        <v>523.17817544527963</v>
      </c>
      <c r="P8">
        <v>373.15838893853515</v>
      </c>
      <c r="Q8">
        <v>341.91804683779867</v>
      </c>
      <c r="R8">
        <v>456.07980374440359</v>
      </c>
      <c r="S8">
        <v>537.1087369902807</v>
      </c>
      <c r="T8">
        <v>828.19010182060606</v>
      </c>
      <c r="U8">
        <v>894.90977389368118</v>
      </c>
      <c r="V8">
        <v>1025.9175785304078</v>
      </c>
      <c r="W8">
        <v>985.22666329048423</v>
      </c>
      <c r="X8">
        <v>890.21686785352495</v>
      </c>
      <c r="Y8">
        <v>784.50478237104767</v>
      </c>
      <c r="Z8">
        <v>576.66751310269046</v>
      </c>
      <c r="AA8">
        <v>491.879100675666</v>
      </c>
      <c r="AB8">
        <v>454.13208958396899</v>
      </c>
      <c r="AC8">
        <v>476.33476818325721</v>
      </c>
      <c r="AD8">
        <v>583.04876622127551</v>
      </c>
      <c r="AE8">
        <v>697.9036448880986</v>
      </c>
      <c r="AF8">
        <v>880.35685904281331</v>
      </c>
      <c r="AG8">
        <v>895.2775465541381</v>
      </c>
      <c r="AH8">
        <v>944.12569089685417</v>
      </c>
      <c r="AI8">
        <v>874.73575023074295</v>
      </c>
      <c r="AJ8">
        <v>806.08685787746208</v>
      </c>
      <c r="AK8">
        <v>671.64468299772921</v>
      </c>
      <c r="AL8">
        <v>570.8728691099185</v>
      </c>
      <c r="AM8">
        <v>530.83581262254961</v>
      </c>
      <c r="AN8">
        <v>533.69872010582526</v>
      </c>
      <c r="AO8">
        <v>615.27740743983065</v>
      </c>
      <c r="AP8">
        <v>689.97807791123012</v>
      </c>
      <c r="AQ8">
        <v>794.87414202963146</v>
      </c>
      <c r="AR8">
        <v>851.53625340021836</v>
      </c>
      <c r="AS8">
        <v>856.71298557591194</v>
      </c>
      <c r="AT8">
        <v>857.77989784807369</v>
      </c>
      <c r="AU8">
        <v>808.88941854054769</v>
      </c>
      <c r="AV8">
        <v>734.92235499537207</v>
      </c>
      <c r="AW8">
        <v>621.39849038587317</v>
      </c>
      <c r="AX8">
        <v>610.87763304562782</v>
      </c>
      <c r="AY8">
        <v>603.44413550657123</v>
      </c>
    </row>
    <row r="9" spans="1:51" x14ac:dyDescent="0.2">
      <c r="A9" t="s">
        <v>1</v>
      </c>
      <c r="B9" t="s">
        <v>0</v>
      </c>
      <c r="C9">
        <v>514.16917880127903</v>
      </c>
      <c r="D9">
        <v>132.98080094157416</v>
      </c>
      <c r="E9">
        <v>-65.828582483144388</v>
      </c>
      <c r="F9">
        <v>142.01873904521952</v>
      </c>
      <c r="G9">
        <v>35.462449439857629</v>
      </c>
      <c r="H9">
        <v>370.28185535918902</v>
      </c>
      <c r="I9">
        <v>263.95938629982544</v>
      </c>
      <c r="J9">
        <v>454.68078290059145</v>
      </c>
      <c r="K9">
        <v>566.04117021615684</v>
      </c>
      <c r="L9">
        <v>499.6960184647001</v>
      </c>
      <c r="M9">
        <v>531.44878218251745</v>
      </c>
      <c r="N9">
        <v>281.1567489142538</v>
      </c>
      <c r="O9">
        <v>299.71899269400183</v>
      </c>
      <c r="P9">
        <v>227.67508105696984</v>
      </c>
      <c r="Q9">
        <v>156.50347398379213</v>
      </c>
      <c r="R9">
        <v>249.6319742979988</v>
      </c>
      <c r="S9">
        <v>247.0392153902965</v>
      </c>
      <c r="T9">
        <v>405.59906856550771</v>
      </c>
      <c r="U9">
        <v>461.1262695828778</v>
      </c>
      <c r="V9">
        <v>556.93686415527077</v>
      </c>
      <c r="W9">
        <v>567.54348546532151</v>
      </c>
      <c r="X9">
        <v>524.67464798731328</v>
      </c>
      <c r="Y9">
        <v>489.98182862926791</v>
      </c>
      <c r="Z9">
        <v>362.46157771990909</v>
      </c>
      <c r="AA9">
        <v>320.12749034126591</v>
      </c>
      <c r="AB9">
        <v>294.38724923065763</v>
      </c>
      <c r="AC9">
        <v>293.18873745332553</v>
      </c>
      <c r="AD9">
        <v>335.53695989483856</v>
      </c>
      <c r="AE9">
        <v>379.34376580942319</v>
      </c>
      <c r="AF9">
        <v>498.89863522394978</v>
      </c>
      <c r="AG9">
        <v>520.53909215751344</v>
      </c>
      <c r="AH9">
        <v>560.06959116618873</v>
      </c>
      <c r="AI9">
        <v>548.14760051737369</v>
      </c>
      <c r="AJ9">
        <v>511.96830405041715</v>
      </c>
      <c r="AK9">
        <v>462.60166674155573</v>
      </c>
      <c r="AL9">
        <v>395.23380251002629</v>
      </c>
      <c r="AM9">
        <v>366.92012360203029</v>
      </c>
      <c r="AN9">
        <v>359.49670598507981</v>
      </c>
      <c r="AO9">
        <v>396.74120731605268</v>
      </c>
      <c r="AP9">
        <v>417.33970717571248</v>
      </c>
      <c r="AQ9">
        <v>475.31109147648999</v>
      </c>
      <c r="AR9">
        <v>515.49385494087176</v>
      </c>
      <c r="AS9">
        <v>531.26495467567838</v>
      </c>
      <c r="AT9">
        <v>556.70713393998403</v>
      </c>
      <c r="AU9">
        <v>530.18171040553011</v>
      </c>
      <c r="AV9">
        <v>502.93876803088745</v>
      </c>
      <c r="AW9">
        <v>441.16361730407596</v>
      </c>
      <c r="AX9">
        <v>426.77915659391749</v>
      </c>
      <c r="AY9">
        <v>423.84040357090299</v>
      </c>
    </row>
    <row r="11" spans="1:51" x14ac:dyDescent="0.2"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  <c r="N11">
        <v>11</v>
      </c>
      <c r="O11">
        <v>12</v>
      </c>
      <c r="P11">
        <v>13</v>
      </c>
      <c r="Q11">
        <v>14</v>
      </c>
      <c r="R11">
        <v>15</v>
      </c>
      <c r="S11">
        <v>16</v>
      </c>
      <c r="T11">
        <v>17</v>
      </c>
      <c r="U11">
        <v>18</v>
      </c>
      <c r="V11">
        <v>19</v>
      </c>
      <c r="W11">
        <v>20</v>
      </c>
      <c r="X11">
        <v>21</v>
      </c>
      <c r="Y11">
        <v>22</v>
      </c>
      <c r="Z11">
        <v>23</v>
      </c>
      <c r="AA11">
        <v>24</v>
      </c>
      <c r="AB11">
        <v>25</v>
      </c>
      <c r="AC11">
        <v>26</v>
      </c>
      <c r="AD11">
        <v>27</v>
      </c>
      <c r="AE11">
        <v>28</v>
      </c>
      <c r="AF11">
        <v>29</v>
      </c>
      <c r="AG11">
        <v>30</v>
      </c>
      <c r="AH11">
        <v>31</v>
      </c>
      <c r="AI11">
        <v>32</v>
      </c>
      <c r="AJ11">
        <v>33</v>
      </c>
      <c r="AK11">
        <v>34</v>
      </c>
      <c r="AL11">
        <v>35</v>
      </c>
      <c r="AM11">
        <v>36</v>
      </c>
      <c r="AN11">
        <v>37</v>
      </c>
      <c r="AO11">
        <v>38</v>
      </c>
      <c r="AP11">
        <v>39</v>
      </c>
      <c r="AQ11">
        <v>40</v>
      </c>
      <c r="AR11">
        <v>41</v>
      </c>
      <c r="AS11">
        <v>42</v>
      </c>
      <c r="AT11">
        <v>43</v>
      </c>
      <c r="AU11">
        <v>44</v>
      </c>
      <c r="AV11">
        <v>45</v>
      </c>
      <c r="AW11">
        <v>46</v>
      </c>
      <c r="AX11">
        <v>47</v>
      </c>
      <c r="AY11">
        <v>48</v>
      </c>
    </row>
    <row r="12" spans="1:51" x14ac:dyDescent="0.2">
      <c r="A12" t="s">
        <v>5</v>
      </c>
      <c r="B12" t="s">
        <v>9</v>
      </c>
      <c r="C12">
        <v>-52.555873468102639</v>
      </c>
      <c r="D12">
        <v>2.3779105336532904</v>
      </c>
      <c r="E12">
        <v>176.15512756923886</v>
      </c>
      <c r="F12">
        <v>-9.6508705324237933</v>
      </c>
      <c r="G12">
        <v>77.972825849949018</v>
      </c>
      <c r="H12">
        <v>100.36640983741252</v>
      </c>
      <c r="I12">
        <v>125.2087510686613</v>
      </c>
      <c r="J12">
        <v>128.53501510237166</v>
      </c>
      <c r="K12">
        <v>38.327414968622421</v>
      </c>
      <c r="L12">
        <v>143.10278494940658</v>
      </c>
      <c r="M12">
        <v>103.66569511169439</v>
      </c>
      <c r="N12">
        <v>106.82326348898427</v>
      </c>
      <c r="O12">
        <v>103.84802311903559</v>
      </c>
      <c r="P12">
        <v>81.954073055151483</v>
      </c>
      <c r="Q12">
        <v>140.17830004283198</v>
      </c>
      <c r="R12">
        <v>110.27921753541089</v>
      </c>
      <c r="S12">
        <v>141.241550114002</v>
      </c>
      <c r="T12">
        <v>144.38306548045026</v>
      </c>
      <c r="U12">
        <v>147.09366810007666</v>
      </c>
      <c r="V12">
        <v>161.42143175041241</v>
      </c>
      <c r="W12">
        <v>135.60423494089821</v>
      </c>
      <c r="X12">
        <v>155.36706813073226</v>
      </c>
      <c r="Y12">
        <v>136.62580784710815</v>
      </c>
      <c r="Z12">
        <v>141.49012294222152</v>
      </c>
      <c r="AA12">
        <v>142.25638897798666</v>
      </c>
      <c r="AB12">
        <v>143.11218674575736</v>
      </c>
      <c r="AC12">
        <v>155.25055096256654</v>
      </c>
      <c r="AD12">
        <v>154.49565109578302</v>
      </c>
      <c r="AE12">
        <v>168.51781917694427</v>
      </c>
      <c r="AF12">
        <v>166.92933052626714</v>
      </c>
      <c r="AG12">
        <v>172.60606054888638</v>
      </c>
      <c r="AH12">
        <v>173.06927111140104</v>
      </c>
      <c r="AI12">
        <v>168.70494482949331</v>
      </c>
      <c r="AJ12">
        <v>167.47583744269457</v>
      </c>
      <c r="AK12">
        <v>164.47996127033446</v>
      </c>
      <c r="AL12">
        <v>172.40177035963131</v>
      </c>
      <c r="AM12">
        <v>164.68700682863374</v>
      </c>
      <c r="AN12">
        <v>168.69905759475387</v>
      </c>
      <c r="AO12">
        <v>172.24298531640943</v>
      </c>
      <c r="AP12">
        <v>177.74306362433794</v>
      </c>
      <c r="AQ12">
        <v>181.79445306178451</v>
      </c>
      <c r="AR12">
        <v>181.29037159984665</v>
      </c>
      <c r="AS12">
        <v>186.95594826733188</v>
      </c>
      <c r="AT12">
        <v>179.87608067217485</v>
      </c>
      <c r="AU12">
        <v>182.00239589369932</v>
      </c>
      <c r="AV12">
        <v>183.77801117928178</v>
      </c>
      <c r="AW12">
        <v>179.65547691176528</v>
      </c>
      <c r="AX12">
        <v>183.19949810109193</v>
      </c>
      <c r="AY12">
        <v>178.63865792931057</v>
      </c>
    </row>
    <row r="13" spans="1:51" x14ac:dyDescent="0.2">
      <c r="A13" t="s">
        <v>4</v>
      </c>
      <c r="B13" t="s">
        <v>9</v>
      </c>
      <c r="C13">
        <v>-18.076344426421755</v>
      </c>
      <c r="D13">
        <v>-66.956420893715347</v>
      </c>
      <c r="E13">
        <v>147.28505582447687</v>
      </c>
      <c r="F13">
        <v>-74.188624544930121</v>
      </c>
      <c r="G13">
        <v>-1.8268616443108741</v>
      </c>
      <c r="H13">
        <v>143.233596063655</v>
      </c>
      <c r="I13">
        <v>146.26669629298283</v>
      </c>
      <c r="J13">
        <v>194.99111440115098</v>
      </c>
      <c r="K13">
        <v>60.696499792360903</v>
      </c>
      <c r="L13">
        <v>175.62115360942954</v>
      </c>
      <c r="M13">
        <v>168.10338375230165</v>
      </c>
      <c r="N13">
        <v>116.15322750594646</v>
      </c>
      <c r="O13">
        <v>131.21524150415402</v>
      </c>
      <c r="P13">
        <v>84.294652351119481</v>
      </c>
      <c r="Q13">
        <v>166.48467777019141</v>
      </c>
      <c r="R13">
        <v>141.87171243661248</v>
      </c>
      <c r="S13">
        <v>173.51647309598332</v>
      </c>
      <c r="T13">
        <v>214.25833757986112</v>
      </c>
      <c r="U13">
        <v>220.26454160591692</v>
      </c>
      <c r="V13">
        <v>257.82379321248163</v>
      </c>
      <c r="W13">
        <v>215.1884159665257</v>
      </c>
      <c r="X13">
        <v>236.87225492453476</v>
      </c>
      <c r="Y13">
        <v>215.92587731115231</v>
      </c>
      <c r="Z13">
        <v>203.32689891600776</v>
      </c>
      <c r="AA13">
        <v>205.3532804976445</v>
      </c>
      <c r="AB13">
        <v>197.20926290425655</v>
      </c>
      <c r="AC13">
        <v>223.40405524774775</v>
      </c>
      <c r="AD13">
        <v>226.40543479313243</v>
      </c>
      <c r="AE13">
        <v>259.26371345367613</v>
      </c>
      <c r="AF13">
        <v>265.69789183201732</v>
      </c>
      <c r="AG13">
        <v>276.64221550794031</v>
      </c>
      <c r="AH13">
        <v>292.95741165360619</v>
      </c>
      <c r="AI13">
        <v>273.78028054369258</v>
      </c>
      <c r="AJ13">
        <v>275.44037496367775</v>
      </c>
      <c r="AK13">
        <v>259.2395710544464</v>
      </c>
      <c r="AL13">
        <v>263.62561268361981</v>
      </c>
      <c r="AM13">
        <v>254.44203982316117</v>
      </c>
      <c r="AN13">
        <v>255.44876848313976</v>
      </c>
      <c r="AO13">
        <v>274.57943405651713</v>
      </c>
      <c r="AP13">
        <v>285.24610923960074</v>
      </c>
      <c r="AQ13">
        <v>301.15884532581049</v>
      </c>
      <c r="AR13">
        <v>303.22803041453187</v>
      </c>
      <c r="AS13">
        <v>308.4257356060765</v>
      </c>
      <c r="AT13">
        <v>307.52869288579996</v>
      </c>
      <c r="AU13">
        <v>297.01390017353765</v>
      </c>
      <c r="AV13">
        <v>305.99262210408631</v>
      </c>
      <c r="AW13">
        <v>298.00132961816411</v>
      </c>
      <c r="AX13">
        <v>296.69837359542657</v>
      </c>
      <c r="AY13">
        <v>293.56892621452835</v>
      </c>
    </row>
    <row r="14" spans="1:51" x14ac:dyDescent="0.2">
      <c r="A14" t="s">
        <v>3</v>
      </c>
      <c r="B14" t="s">
        <v>9</v>
      </c>
      <c r="C14">
        <v>-462.02155594647354</v>
      </c>
      <c r="D14">
        <v>79.563928244711676</v>
      </c>
      <c r="E14">
        <v>1228.5073188529554</v>
      </c>
      <c r="F14">
        <v>-259.54243693805336</v>
      </c>
      <c r="G14">
        <v>531.43793365332147</v>
      </c>
      <c r="H14">
        <v>645.98820554022416</v>
      </c>
      <c r="I14">
        <v>944.98120668490856</v>
      </c>
      <c r="J14">
        <v>933.69085063721559</v>
      </c>
      <c r="K14">
        <v>259.50123652505204</v>
      </c>
      <c r="L14">
        <v>1091.7771450870823</v>
      </c>
      <c r="M14">
        <v>739.82404231137036</v>
      </c>
      <c r="N14">
        <v>739.38199006366983</v>
      </c>
      <c r="O14">
        <v>615.51740614482082</v>
      </c>
      <c r="P14">
        <v>481.20187975518832</v>
      </c>
      <c r="Q14">
        <v>917.8730023289379</v>
      </c>
      <c r="R14">
        <v>638.78640650812599</v>
      </c>
      <c r="S14">
        <v>898.04244238360627</v>
      </c>
      <c r="T14">
        <v>948.13377091517964</v>
      </c>
      <c r="U14">
        <v>1015.9125899754283</v>
      </c>
      <c r="V14">
        <v>1107.9439419467367</v>
      </c>
      <c r="W14">
        <v>925.55920045595849</v>
      </c>
      <c r="X14">
        <v>1076.7082929508886</v>
      </c>
      <c r="Y14">
        <v>906.53982986599294</v>
      </c>
      <c r="Z14">
        <v>896.42252683851484</v>
      </c>
      <c r="AA14">
        <v>884.73035281003661</v>
      </c>
      <c r="AB14">
        <v>882.45996703721062</v>
      </c>
      <c r="AC14">
        <v>958.05798646400899</v>
      </c>
      <c r="AD14">
        <v>957.88561695034537</v>
      </c>
      <c r="AE14">
        <v>1087.2320148865388</v>
      </c>
      <c r="AF14">
        <v>1099.8490812923883</v>
      </c>
      <c r="AG14">
        <v>1161.1126480259923</v>
      </c>
      <c r="AH14">
        <v>1169.3097162478557</v>
      </c>
      <c r="AI14">
        <v>1111.777171753221</v>
      </c>
      <c r="AJ14">
        <v>1119.2683383418762</v>
      </c>
      <c r="AK14">
        <v>1044.772791385722</v>
      </c>
      <c r="AL14">
        <v>1087.2824158907956</v>
      </c>
      <c r="AM14">
        <v>1039.4494024168835</v>
      </c>
      <c r="AN14">
        <v>1071.1348644079587</v>
      </c>
      <c r="AO14">
        <v>1078.8336524448796</v>
      </c>
      <c r="AP14">
        <v>1137.8888821522939</v>
      </c>
      <c r="AQ14">
        <v>1207.4654891106213</v>
      </c>
      <c r="AR14">
        <v>1191.4727935114838</v>
      </c>
      <c r="AS14">
        <v>1237.2728283045822</v>
      </c>
      <c r="AT14">
        <v>1187.7636259510386</v>
      </c>
      <c r="AU14">
        <v>1168.2811623220909</v>
      </c>
      <c r="AV14">
        <v>1192.3610553085646</v>
      </c>
      <c r="AW14">
        <v>1166.9402999120898</v>
      </c>
      <c r="AX14">
        <v>1174.2310252544385</v>
      </c>
      <c r="AY14">
        <v>1131.7083900948189</v>
      </c>
    </row>
    <row r="15" spans="1:51" x14ac:dyDescent="0.2">
      <c r="A15" t="s">
        <v>2</v>
      </c>
      <c r="B15" t="s">
        <v>9</v>
      </c>
      <c r="C15">
        <v>-53.667978257073585</v>
      </c>
      <c r="D15">
        <v>91.751628735404594</v>
      </c>
      <c r="E15">
        <v>490.88953882732937</v>
      </c>
      <c r="F15">
        <v>-222.00622127032364</v>
      </c>
      <c r="G15">
        <v>365.23794109719427</v>
      </c>
      <c r="H15">
        <v>431.08378460847712</v>
      </c>
      <c r="I15">
        <v>543.68051043652895</v>
      </c>
      <c r="J15">
        <v>668.50810732946275</v>
      </c>
      <c r="K15">
        <v>385.33096322153415</v>
      </c>
      <c r="L15">
        <v>758.84893884931012</v>
      </c>
      <c r="M15">
        <v>501.69599494011987</v>
      </c>
      <c r="N15">
        <v>468.09555818788328</v>
      </c>
      <c r="O15">
        <v>391.05870115540017</v>
      </c>
      <c r="P15">
        <v>277.40531097571682</v>
      </c>
      <c r="Q15">
        <v>481.22049708159165</v>
      </c>
      <c r="R15">
        <v>363.36874417149113</v>
      </c>
      <c r="S15">
        <v>540.49259399351729</v>
      </c>
      <c r="T15">
        <v>616.3790862223666</v>
      </c>
      <c r="U15">
        <v>700.59502017991258</v>
      </c>
      <c r="V15">
        <v>780.19986811572687</v>
      </c>
      <c r="W15">
        <v>679.04152469843996</v>
      </c>
      <c r="X15">
        <v>740.85421408414061</v>
      </c>
      <c r="Y15">
        <v>610.93574981044344</v>
      </c>
      <c r="Z15">
        <v>559.23924116891772</v>
      </c>
      <c r="AA15">
        <v>524.50239472459236</v>
      </c>
      <c r="AB15">
        <v>515.06101575995262</v>
      </c>
      <c r="AC15">
        <v>559.10363415427241</v>
      </c>
      <c r="AD15">
        <v>567.52504894729759</v>
      </c>
      <c r="AE15">
        <v>694.3423728486157</v>
      </c>
      <c r="AF15">
        <v>709.88227531587199</v>
      </c>
      <c r="AG15">
        <v>788.62924470837515</v>
      </c>
      <c r="AH15">
        <v>800.74889999848608</v>
      </c>
      <c r="AI15">
        <v>750.24023792960088</v>
      </c>
      <c r="AJ15">
        <v>746.5918577820496</v>
      </c>
      <c r="AK15">
        <v>665.66726076285318</v>
      </c>
      <c r="AL15">
        <v>661.00474580044749</v>
      </c>
      <c r="AM15">
        <v>621.62073710933987</v>
      </c>
      <c r="AN15">
        <v>638.32849691148101</v>
      </c>
      <c r="AO15">
        <v>659.61461364810793</v>
      </c>
      <c r="AP15">
        <v>703.13548336661688</v>
      </c>
      <c r="AQ15">
        <v>785.62559182417101</v>
      </c>
      <c r="AR15">
        <v>781.50649515523173</v>
      </c>
      <c r="AS15">
        <v>819.08167818602601</v>
      </c>
      <c r="AT15">
        <v>795.28723409001179</v>
      </c>
      <c r="AU15">
        <v>771.69743519030021</v>
      </c>
      <c r="AV15">
        <v>767.5149193989555</v>
      </c>
      <c r="AW15">
        <v>714.79293447500459</v>
      </c>
      <c r="AX15">
        <v>718.44132542497255</v>
      </c>
      <c r="AY15">
        <v>690.20026308222918</v>
      </c>
    </row>
    <row r="16" spans="1:51" x14ac:dyDescent="0.2">
      <c r="A16" t="s">
        <v>1</v>
      </c>
      <c r="B16" t="s">
        <v>9</v>
      </c>
      <c r="C16">
        <v>-155.71985085114898</v>
      </c>
      <c r="D16">
        <v>77.451588498361929</v>
      </c>
      <c r="E16">
        <v>472.75360144866352</v>
      </c>
      <c r="F16">
        <v>-77.407406510552747</v>
      </c>
      <c r="G16">
        <v>191.16639872196754</v>
      </c>
      <c r="H16">
        <v>214.46577103021878</v>
      </c>
      <c r="I16">
        <v>324.20064203246466</v>
      </c>
      <c r="J16">
        <v>319.41623277761289</v>
      </c>
      <c r="K16">
        <v>86.983509659659447</v>
      </c>
      <c r="L16">
        <v>395.94473661514985</v>
      </c>
      <c r="M16">
        <v>269.68874704294535</v>
      </c>
      <c r="N16">
        <v>300.35042530040653</v>
      </c>
      <c r="O16">
        <v>251.0326537507876</v>
      </c>
      <c r="P16">
        <v>207.10462320433413</v>
      </c>
      <c r="Q16">
        <v>354.36324573518954</v>
      </c>
      <c r="R16">
        <v>259.26365016269455</v>
      </c>
      <c r="S16">
        <v>346.89057684118171</v>
      </c>
      <c r="T16">
        <v>360.42450766015816</v>
      </c>
      <c r="U16">
        <v>383.85648957949093</v>
      </c>
      <c r="V16">
        <v>417.53261351746494</v>
      </c>
      <c r="W16">
        <v>356.02340901017647</v>
      </c>
      <c r="X16">
        <v>423.1864744605781</v>
      </c>
      <c r="Y16">
        <v>365.89938253694277</v>
      </c>
      <c r="Z16">
        <v>379.04664560191895</v>
      </c>
      <c r="AA16">
        <v>373.97353302588635</v>
      </c>
      <c r="AB16">
        <v>379.28933246124694</v>
      </c>
      <c r="AC16">
        <v>402.01903389595094</v>
      </c>
      <c r="AD16">
        <v>402.60804486355283</v>
      </c>
      <c r="AE16">
        <v>442.49508752543602</v>
      </c>
      <c r="AF16">
        <v>440.29866352175856</v>
      </c>
      <c r="AG16">
        <v>463.95862754005663</v>
      </c>
      <c r="AH16">
        <v>468.2712433024343</v>
      </c>
      <c r="AI16">
        <v>464.50921030212703</v>
      </c>
      <c r="AJ16">
        <v>462.45181900796075</v>
      </c>
      <c r="AK16">
        <v>451.61477751124966</v>
      </c>
      <c r="AL16">
        <v>474.30650429698682</v>
      </c>
      <c r="AM16">
        <v>450.63685857111261</v>
      </c>
      <c r="AN16">
        <v>459.0687637536339</v>
      </c>
      <c r="AO16">
        <v>461.14481043421108</v>
      </c>
      <c r="AP16">
        <v>477.07767595085761</v>
      </c>
      <c r="AQ16">
        <v>493.31017864692672</v>
      </c>
      <c r="AR16">
        <v>498.11439945511688</v>
      </c>
      <c r="AS16">
        <v>513.54496432937356</v>
      </c>
      <c r="AT16">
        <v>499.73498112260933</v>
      </c>
      <c r="AU16">
        <v>503.69838782483339</v>
      </c>
      <c r="AV16">
        <v>509.7433539317791</v>
      </c>
      <c r="AW16">
        <v>499.02696274146695</v>
      </c>
      <c r="AX16">
        <v>506.57336013049485</v>
      </c>
      <c r="AY16">
        <v>497.02984907321348</v>
      </c>
    </row>
    <row r="18" spans="1:51" x14ac:dyDescent="0.2">
      <c r="A18" t="s">
        <v>5</v>
      </c>
      <c r="B18" t="s">
        <v>10</v>
      </c>
      <c r="C18">
        <f>C5-C12</f>
        <v>260.09851557331092</v>
      </c>
      <c r="D18">
        <f t="shared" ref="D18:AY22" si="0">D5-D12</f>
        <v>139.51576906166866</v>
      </c>
      <c r="E18">
        <f t="shared" si="0"/>
        <v>-84.595348293124573</v>
      </c>
      <c r="F18">
        <f t="shared" si="0"/>
        <v>116.78283521409175</v>
      </c>
      <c r="G18">
        <f t="shared" si="0"/>
        <v>-2.569993603421608</v>
      </c>
      <c r="H18">
        <f t="shared" si="0"/>
        <v>83.30715309959966</v>
      </c>
      <c r="I18">
        <f t="shared" si="0"/>
        <v>16.88581784921233</v>
      </c>
      <c r="J18">
        <f t="shared" si="0"/>
        <v>56.212975209894779</v>
      </c>
      <c r="K18">
        <f t="shared" si="0"/>
        <v>172.36950761686057</v>
      </c>
      <c r="L18">
        <f t="shared" si="0"/>
        <v>71.499942745832556</v>
      </c>
      <c r="M18">
        <f t="shared" si="0"/>
        <v>126.42743469197734</v>
      </c>
      <c r="N18">
        <f t="shared" si="0"/>
        <v>48.581189605827959</v>
      </c>
      <c r="O18">
        <f t="shared" si="0"/>
        <v>49.818199982256317</v>
      </c>
      <c r="P18">
        <f t="shared" si="0"/>
        <v>41.972174953439804</v>
      </c>
      <c r="Q18">
        <f t="shared" si="0"/>
        <v>-27.997907857505851</v>
      </c>
      <c r="R18">
        <f t="shared" si="0"/>
        <v>17.362576453065557</v>
      </c>
      <c r="S18">
        <f t="shared" si="0"/>
        <v>-17.849638027290112</v>
      </c>
      <c r="T18">
        <f t="shared" si="0"/>
        <v>23.431584812893362</v>
      </c>
      <c r="U18">
        <f t="shared" si="0"/>
        <v>31.485900710869174</v>
      </c>
      <c r="V18">
        <f t="shared" si="0"/>
        <v>44.289833743228456</v>
      </c>
      <c r="W18">
        <f t="shared" si="0"/>
        <v>70.175527086623333</v>
      </c>
      <c r="X18">
        <f t="shared" si="0"/>
        <v>41.750204543700221</v>
      </c>
      <c r="Y18">
        <f t="shared" si="0"/>
        <v>51.494378868321348</v>
      </c>
      <c r="Z18">
        <f t="shared" si="0"/>
        <v>16.914168148340195</v>
      </c>
      <c r="AA18">
        <f t="shared" si="0"/>
        <v>-1.7640130649094203</v>
      </c>
      <c r="AB18">
        <f t="shared" si="0"/>
        <v>-14.959142166325336</v>
      </c>
      <c r="AC18">
        <f t="shared" si="0"/>
        <v>-31.895269877218212</v>
      </c>
      <c r="AD18">
        <f t="shared" si="0"/>
        <v>-21.217103393659414</v>
      </c>
      <c r="AE18">
        <f t="shared" si="0"/>
        <v>-22.277759068373513</v>
      </c>
      <c r="AF18">
        <f t="shared" si="0"/>
        <v>5.4104812784995886</v>
      </c>
      <c r="AG18">
        <f t="shared" si="0"/>
        <v>8.4726530171126058</v>
      </c>
      <c r="AH18">
        <f t="shared" si="0"/>
        <v>18.362397218007885</v>
      </c>
      <c r="AI18">
        <f t="shared" si="0"/>
        <v>18.549026546039187</v>
      </c>
      <c r="AJ18">
        <f t="shared" si="0"/>
        <v>11.820218303615377</v>
      </c>
      <c r="AK18">
        <f t="shared" si="0"/>
        <v>0.98081269535006754</v>
      </c>
      <c r="AL18">
        <f t="shared" si="0"/>
        <v>-23.518372283327864</v>
      </c>
      <c r="AM18">
        <f t="shared" si="0"/>
        <v>-27.378061475752247</v>
      </c>
      <c r="AN18">
        <f t="shared" si="0"/>
        <v>-40.816409677345348</v>
      </c>
      <c r="AO18">
        <f t="shared" si="0"/>
        <v>-33.370607867281166</v>
      </c>
      <c r="AP18">
        <f t="shared" si="0"/>
        <v>-31.736304161845169</v>
      </c>
      <c r="AQ18">
        <f t="shared" si="0"/>
        <v>-23.43018537165517</v>
      </c>
      <c r="AR18">
        <f t="shared" si="0"/>
        <v>-11.412500998525019</v>
      </c>
      <c r="AS18">
        <f t="shared" si="0"/>
        <v>-12.792297043287107</v>
      </c>
      <c r="AT18">
        <f t="shared" si="0"/>
        <v>-1.4173934098213863</v>
      </c>
      <c r="AU18">
        <f t="shared" si="0"/>
        <v>-11.464829018026649</v>
      </c>
      <c r="AV18">
        <f t="shared" si="0"/>
        <v>-20.297784402762687</v>
      </c>
      <c r="AW18">
        <f t="shared" si="0"/>
        <v>-29.205406145343801</v>
      </c>
      <c r="AX18">
        <f t="shared" si="0"/>
        <v>-38.679964150497767</v>
      </c>
      <c r="AY18">
        <f t="shared" si="0"/>
        <v>-39.778282111295624</v>
      </c>
    </row>
    <row r="19" spans="1:51" x14ac:dyDescent="0.2">
      <c r="A19" t="s">
        <v>4</v>
      </c>
      <c r="B19" t="s">
        <v>10</v>
      </c>
      <c r="C19">
        <f t="shared" ref="C19:R22" si="1">C6-C13</f>
        <v>312.32906922891436</v>
      </c>
      <c r="D19">
        <f t="shared" si="1"/>
        <v>321.55693477353265</v>
      </c>
      <c r="E19">
        <f t="shared" si="1"/>
        <v>-40.441441334415373</v>
      </c>
      <c r="F19">
        <f t="shared" si="1"/>
        <v>316.08519984155203</v>
      </c>
      <c r="G19">
        <f t="shared" si="1"/>
        <v>217.89758265270106</v>
      </c>
      <c r="H19">
        <f t="shared" si="1"/>
        <v>168.39025349847623</v>
      </c>
      <c r="I19">
        <f t="shared" si="1"/>
        <v>123.58768624669062</v>
      </c>
      <c r="J19">
        <f t="shared" si="1"/>
        <v>112.47317152863411</v>
      </c>
      <c r="K19">
        <f t="shared" si="1"/>
        <v>340.00138839739924</v>
      </c>
      <c r="L19">
        <f t="shared" si="1"/>
        <v>211.94342979555955</v>
      </c>
      <c r="M19">
        <f t="shared" si="1"/>
        <v>214.9983176405851</v>
      </c>
      <c r="N19">
        <f t="shared" si="1"/>
        <v>174.10780850451596</v>
      </c>
      <c r="O19">
        <f t="shared" si="1"/>
        <v>136.17189406831582</v>
      </c>
      <c r="P19">
        <f t="shared" si="1"/>
        <v>159.52126947080234</v>
      </c>
      <c r="Q19">
        <f t="shared" si="1"/>
        <v>36.335672025789734</v>
      </c>
      <c r="R19">
        <f t="shared" si="1"/>
        <v>87.127681450603404</v>
      </c>
      <c r="S19">
        <f t="shared" si="0"/>
        <v>68.676388535128581</v>
      </c>
      <c r="T19">
        <f t="shared" si="0"/>
        <v>84.710600285645739</v>
      </c>
      <c r="U19">
        <f t="shared" si="0"/>
        <v>103.33889102817716</v>
      </c>
      <c r="V19">
        <f t="shared" si="0"/>
        <v>96.906995094505248</v>
      </c>
      <c r="W19">
        <f t="shared" si="0"/>
        <v>141.99234992816471</v>
      </c>
      <c r="X19">
        <f t="shared" si="0"/>
        <v>105.75213394811752</v>
      </c>
      <c r="Y19">
        <f t="shared" si="0"/>
        <v>109.94633630872505</v>
      </c>
      <c r="Z19">
        <f t="shared" si="0"/>
        <v>76.139527882485453</v>
      </c>
      <c r="AA19">
        <f t="shared" si="0"/>
        <v>41.478842962738184</v>
      </c>
      <c r="AB19">
        <f t="shared" si="0"/>
        <v>37.105364096555661</v>
      </c>
      <c r="AC19">
        <f t="shared" si="0"/>
        <v>6.297275834860443</v>
      </c>
      <c r="AD19">
        <f t="shared" si="0"/>
        <v>16.558623225753422</v>
      </c>
      <c r="AE19">
        <f t="shared" si="0"/>
        <v>5.7892724758625036</v>
      </c>
      <c r="AF19">
        <f t="shared" si="0"/>
        <v>37.924292633224525</v>
      </c>
      <c r="AG19">
        <f t="shared" si="0"/>
        <v>44.210127104106732</v>
      </c>
      <c r="AH19">
        <f t="shared" si="0"/>
        <v>36.126961442577453</v>
      </c>
      <c r="AI19">
        <f t="shared" si="0"/>
        <v>47.534617466081329</v>
      </c>
      <c r="AJ19">
        <f t="shared" si="0"/>
        <v>35.051509434432432</v>
      </c>
      <c r="AK19">
        <f t="shared" si="0"/>
        <v>28.195528907322966</v>
      </c>
      <c r="AL19">
        <f t="shared" si="0"/>
        <v>-4.3636327404287272</v>
      </c>
      <c r="AM19">
        <f t="shared" si="0"/>
        <v>-12.628213373136134</v>
      </c>
      <c r="AN19">
        <f t="shared" si="0"/>
        <v>-18.663912620080623</v>
      </c>
      <c r="AO19">
        <f t="shared" si="0"/>
        <v>-23.038741420735164</v>
      </c>
      <c r="AP19">
        <f t="shared" si="0"/>
        <v>-23.826905961272587</v>
      </c>
      <c r="AQ19">
        <f t="shared" si="0"/>
        <v>-18.226924457079349</v>
      </c>
      <c r="AR19">
        <f t="shared" si="0"/>
        <v>-6.4505890994425386</v>
      </c>
      <c r="AS19">
        <f t="shared" si="0"/>
        <v>-8.5116991394006618</v>
      </c>
      <c r="AT19">
        <f t="shared" si="0"/>
        <v>2.3307717091594213</v>
      </c>
      <c r="AU19">
        <f t="shared" si="0"/>
        <v>0.63472216019579264</v>
      </c>
      <c r="AV19">
        <f t="shared" si="0"/>
        <v>-18.819706858643258</v>
      </c>
      <c r="AW19">
        <f t="shared" si="0"/>
        <v>-34.627222365461478</v>
      </c>
      <c r="AX19">
        <f t="shared" si="0"/>
        <v>-42.490510647835208</v>
      </c>
      <c r="AY19">
        <f t="shared" si="0"/>
        <v>-44.146038544607535</v>
      </c>
    </row>
    <row r="20" spans="1:51" x14ac:dyDescent="0.2">
      <c r="A20" t="s">
        <v>3</v>
      </c>
      <c r="B20" t="s">
        <v>10</v>
      </c>
      <c r="C20">
        <f t="shared" si="1"/>
        <v>1664.769020620598</v>
      </c>
      <c r="D20">
        <f t="shared" si="0"/>
        <v>613.46180988921208</v>
      </c>
      <c r="E20">
        <f t="shared" si="0"/>
        <v>-1004.7122515644578</v>
      </c>
      <c r="F20">
        <f t="shared" si="0"/>
        <v>611.1346388612028</v>
      </c>
      <c r="G20">
        <f t="shared" si="0"/>
        <v>-147.55671489740166</v>
      </c>
      <c r="H20">
        <f t="shared" si="0"/>
        <v>385.44387401786128</v>
      </c>
      <c r="I20">
        <f t="shared" si="0"/>
        <v>-57.996951332764183</v>
      </c>
      <c r="J20">
        <f t="shared" si="0"/>
        <v>356.0072776066861</v>
      </c>
      <c r="K20">
        <f t="shared" si="0"/>
        <v>1271.9473341568084</v>
      </c>
      <c r="L20">
        <f t="shared" si="0"/>
        <v>545.45442521608129</v>
      </c>
      <c r="M20">
        <f t="shared" si="0"/>
        <v>838.41861475842018</v>
      </c>
      <c r="N20">
        <f t="shared" si="0"/>
        <v>336.03051123821763</v>
      </c>
      <c r="O20">
        <f t="shared" si="0"/>
        <v>379.02853556798914</v>
      </c>
      <c r="P20">
        <f t="shared" si="0"/>
        <v>222.50189737215851</v>
      </c>
      <c r="Q20">
        <f t="shared" si="0"/>
        <v>-363.62383922732215</v>
      </c>
      <c r="R20">
        <f t="shared" si="0"/>
        <v>-20.316150523778902</v>
      </c>
      <c r="S20">
        <f t="shared" si="0"/>
        <v>-225.72438650544166</v>
      </c>
      <c r="T20">
        <f t="shared" si="0"/>
        <v>95.820911266788016</v>
      </c>
      <c r="U20">
        <f t="shared" si="0"/>
        <v>200.58420081003555</v>
      </c>
      <c r="V20">
        <f t="shared" si="0"/>
        <v>364.63632485544485</v>
      </c>
      <c r="W20">
        <f t="shared" si="0"/>
        <v>541.53082222529065</v>
      </c>
      <c r="X20">
        <f t="shared" si="0"/>
        <v>357.94358859146428</v>
      </c>
      <c r="Y20">
        <f t="shared" si="0"/>
        <v>382.1529245838417</v>
      </c>
      <c r="Z20">
        <f t="shared" si="0"/>
        <v>117.68634106783202</v>
      </c>
      <c r="AA20">
        <f t="shared" si="0"/>
        <v>-52.235321248526475</v>
      </c>
      <c r="AB20">
        <f t="shared" si="0"/>
        <v>-184.99374802489876</v>
      </c>
      <c r="AC20">
        <f t="shared" si="0"/>
        <v>-297.99169188240126</v>
      </c>
      <c r="AD20">
        <f t="shared" si="0"/>
        <v>-214.84661834767837</v>
      </c>
      <c r="AE20">
        <f t="shared" si="0"/>
        <v>-197.30634684315385</v>
      </c>
      <c r="AF20">
        <f t="shared" si="0"/>
        <v>30.48236992931561</v>
      </c>
      <c r="AG20">
        <f t="shared" si="0"/>
        <v>98.9150464984466</v>
      </c>
      <c r="AH20">
        <f t="shared" si="0"/>
        <v>178.85948412610833</v>
      </c>
      <c r="AI20">
        <f t="shared" si="0"/>
        <v>196.37420204234263</v>
      </c>
      <c r="AJ20">
        <f t="shared" si="0"/>
        <v>123.11986672120474</v>
      </c>
      <c r="AK20">
        <f t="shared" si="0"/>
        <v>40.79905221871104</v>
      </c>
      <c r="AL20">
        <f t="shared" si="0"/>
        <v>-173.60179817366111</v>
      </c>
      <c r="AM20">
        <f t="shared" si="0"/>
        <v>-243.34959627606031</v>
      </c>
      <c r="AN20">
        <f t="shared" si="0"/>
        <v>-327.85639006608915</v>
      </c>
      <c r="AO20">
        <f t="shared" si="0"/>
        <v>-268.24738393261168</v>
      </c>
      <c r="AP20">
        <f t="shared" si="0"/>
        <v>-245.79543295672443</v>
      </c>
      <c r="AQ20">
        <f t="shared" si="0"/>
        <v>-161.97861390874596</v>
      </c>
      <c r="AR20">
        <f t="shared" si="0"/>
        <v>-58.96741798001085</v>
      </c>
      <c r="AS20">
        <f t="shared" si="0"/>
        <v>-36.842521921411162</v>
      </c>
      <c r="AT20">
        <f t="shared" si="0"/>
        <v>35.063490826289581</v>
      </c>
      <c r="AU20">
        <f t="shared" si="0"/>
        <v>8.348596007804872</v>
      </c>
      <c r="AV20">
        <f t="shared" si="0"/>
        <v>-90.293212027379013</v>
      </c>
      <c r="AW20">
        <f t="shared" si="0"/>
        <v>-220.10868311661341</v>
      </c>
      <c r="AX20">
        <f t="shared" si="0"/>
        <v>-288.44092692481377</v>
      </c>
      <c r="AY20">
        <f t="shared" si="0"/>
        <v>-292.30757867730176</v>
      </c>
    </row>
    <row r="21" spans="1:51" x14ac:dyDescent="0.2">
      <c r="A21" t="s">
        <v>2</v>
      </c>
      <c r="B21" t="s">
        <v>10</v>
      </c>
      <c r="C21">
        <f t="shared" si="1"/>
        <v>892.99181630544797</v>
      </c>
      <c r="D21">
        <f t="shared" si="0"/>
        <v>183.22127135158348</v>
      </c>
      <c r="E21">
        <f t="shared" si="0"/>
        <v>-495.57212383579179</v>
      </c>
      <c r="F21">
        <f t="shared" si="0"/>
        <v>454.33284487008279</v>
      </c>
      <c r="G21">
        <f t="shared" si="0"/>
        <v>-51.819059653228464</v>
      </c>
      <c r="H21">
        <f t="shared" si="0"/>
        <v>396.15331934368714</v>
      </c>
      <c r="I21">
        <f t="shared" si="0"/>
        <v>108.70317682838618</v>
      </c>
      <c r="J21">
        <f t="shared" si="0"/>
        <v>315.56458654767005</v>
      </c>
      <c r="K21">
        <f t="shared" si="0"/>
        <v>657.62150321840727</v>
      </c>
      <c r="L21">
        <f t="shared" si="0"/>
        <v>208.67091735211625</v>
      </c>
      <c r="M21">
        <f t="shared" si="0"/>
        <v>435.40605142489693</v>
      </c>
      <c r="N21">
        <f t="shared" si="0"/>
        <v>67.895253174534218</v>
      </c>
      <c r="O21">
        <f t="shared" si="0"/>
        <v>132.11947428987946</v>
      </c>
      <c r="P21">
        <f t="shared" si="0"/>
        <v>95.753077962818338</v>
      </c>
      <c r="Q21">
        <f t="shared" si="0"/>
        <v>-139.30245024379298</v>
      </c>
      <c r="R21">
        <f t="shared" si="0"/>
        <v>92.711059572912461</v>
      </c>
      <c r="S21">
        <f t="shared" si="0"/>
        <v>-3.3838570032365851</v>
      </c>
      <c r="T21">
        <f t="shared" si="0"/>
        <v>211.81101559823946</v>
      </c>
      <c r="U21">
        <f t="shared" si="0"/>
        <v>194.3147537137686</v>
      </c>
      <c r="V21">
        <f t="shared" si="0"/>
        <v>245.71771041468094</v>
      </c>
      <c r="W21">
        <f t="shared" si="0"/>
        <v>306.18513859204427</v>
      </c>
      <c r="X21">
        <f t="shared" si="0"/>
        <v>149.36265376938434</v>
      </c>
      <c r="Y21">
        <f t="shared" si="0"/>
        <v>173.56903256060423</v>
      </c>
      <c r="Z21">
        <f t="shared" si="0"/>
        <v>17.428271933772749</v>
      </c>
      <c r="AA21">
        <f t="shared" si="0"/>
        <v>-32.623294048926368</v>
      </c>
      <c r="AB21">
        <f t="shared" si="0"/>
        <v>-60.928926175983634</v>
      </c>
      <c r="AC21">
        <f t="shared" si="0"/>
        <v>-82.768865971015202</v>
      </c>
      <c r="AD21">
        <f t="shared" si="0"/>
        <v>15.523717273977923</v>
      </c>
      <c r="AE21">
        <f t="shared" si="0"/>
        <v>3.5612720394829012</v>
      </c>
      <c r="AF21">
        <f t="shared" si="0"/>
        <v>170.47458372694132</v>
      </c>
      <c r="AG21">
        <f t="shared" si="0"/>
        <v>106.64830184576294</v>
      </c>
      <c r="AH21">
        <f t="shared" si="0"/>
        <v>143.37679089836809</v>
      </c>
      <c r="AI21">
        <f t="shared" si="0"/>
        <v>124.49551230114207</v>
      </c>
      <c r="AJ21">
        <f t="shared" si="0"/>
        <v>59.495000095412479</v>
      </c>
      <c r="AK21">
        <f t="shared" si="0"/>
        <v>5.9774222348760304</v>
      </c>
      <c r="AL21">
        <f t="shared" si="0"/>
        <v>-90.131876690528998</v>
      </c>
      <c r="AM21">
        <f t="shared" si="0"/>
        <v>-90.78492448679026</v>
      </c>
      <c r="AN21">
        <f t="shared" si="0"/>
        <v>-104.62977680565575</v>
      </c>
      <c r="AO21">
        <f t="shared" si="0"/>
        <v>-44.33720620827728</v>
      </c>
      <c r="AP21">
        <f t="shared" si="0"/>
        <v>-13.157405455386765</v>
      </c>
      <c r="AQ21">
        <f t="shared" si="0"/>
        <v>9.2485502054604467</v>
      </c>
      <c r="AR21">
        <f t="shared" si="0"/>
        <v>70.029758244986624</v>
      </c>
      <c r="AS21">
        <f t="shared" si="0"/>
        <v>37.631307389885933</v>
      </c>
      <c r="AT21">
        <f t="shared" si="0"/>
        <v>62.492663758061894</v>
      </c>
      <c r="AU21">
        <f t="shared" si="0"/>
        <v>37.191983350247483</v>
      </c>
      <c r="AV21">
        <f t="shared" si="0"/>
        <v>-32.592564403583424</v>
      </c>
      <c r="AW21">
        <f t="shared" si="0"/>
        <v>-93.394444089131412</v>
      </c>
      <c r="AX21">
        <f t="shared" si="0"/>
        <v>-107.56369237934473</v>
      </c>
      <c r="AY21">
        <f t="shared" si="0"/>
        <v>-86.756127575657956</v>
      </c>
    </row>
    <row r="22" spans="1:51" x14ac:dyDescent="0.2">
      <c r="A22" t="s">
        <v>1</v>
      </c>
      <c r="B22" t="s">
        <v>10</v>
      </c>
      <c r="C22">
        <f t="shared" si="1"/>
        <v>669.88902965242801</v>
      </c>
      <c r="D22">
        <f t="shared" si="0"/>
        <v>55.529212443212231</v>
      </c>
      <c r="E22">
        <f t="shared" si="0"/>
        <v>-538.58218393180789</v>
      </c>
      <c r="F22">
        <f t="shared" si="0"/>
        <v>219.42614555577228</v>
      </c>
      <c r="G22">
        <f t="shared" si="0"/>
        <v>-155.7039492821099</v>
      </c>
      <c r="H22">
        <f t="shared" si="0"/>
        <v>155.81608432897025</v>
      </c>
      <c r="I22">
        <f t="shared" si="0"/>
        <v>-60.241255732639218</v>
      </c>
      <c r="J22">
        <f t="shared" si="0"/>
        <v>135.26455012297856</v>
      </c>
      <c r="K22">
        <f t="shared" si="0"/>
        <v>479.05766055649741</v>
      </c>
      <c r="L22">
        <f t="shared" si="0"/>
        <v>103.75128184955025</v>
      </c>
      <c r="M22">
        <f t="shared" si="0"/>
        <v>261.7600351395721</v>
      </c>
      <c r="N22">
        <f t="shared" si="0"/>
        <v>-19.193676386152731</v>
      </c>
      <c r="O22">
        <f t="shared" si="0"/>
        <v>48.686338943214224</v>
      </c>
      <c r="P22">
        <f t="shared" si="0"/>
        <v>20.570457852635712</v>
      </c>
      <c r="Q22">
        <f t="shared" si="0"/>
        <v>-197.8597717513974</v>
      </c>
      <c r="R22">
        <f t="shared" si="0"/>
        <v>-9.631675864695751</v>
      </c>
      <c r="S22">
        <f t="shared" si="0"/>
        <v>-99.851361450885207</v>
      </c>
      <c r="T22">
        <f t="shared" si="0"/>
        <v>45.174560905349551</v>
      </c>
      <c r="U22">
        <f t="shared" si="0"/>
        <v>77.26978000338687</v>
      </c>
      <c r="V22">
        <f t="shared" si="0"/>
        <v>139.40425063780583</v>
      </c>
      <c r="W22">
        <f t="shared" si="0"/>
        <v>211.52007645514504</v>
      </c>
      <c r="X22">
        <f t="shared" si="0"/>
        <v>101.48817352673518</v>
      </c>
      <c r="Y22">
        <f t="shared" si="0"/>
        <v>124.08244609232514</v>
      </c>
      <c r="Z22">
        <f t="shared" si="0"/>
        <v>-16.585067882009866</v>
      </c>
      <c r="AA22">
        <f t="shared" si="0"/>
        <v>-53.846042684620443</v>
      </c>
      <c r="AB22">
        <f t="shared" si="0"/>
        <v>-84.902083230589312</v>
      </c>
      <c r="AC22">
        <f t="shared" si="0"/>
        <v>-108.83029644262541</v>
      </c>
      <c r="AD22">
        <f t="shared" si="0"/>
        <v>-67.071084968714274</v>
      </c>
      <c r="AE22">
        <f t="shared" si="0"/>
        <v>-63.151321716012831</v>
      </c>
      <c r="AF22">
        <f t="shared" si="0"/>
        <v>58.599971702191226</v>
      </c>
      <c r="AG22">
        <f t="shared" si="0"/>
        <v>56.580464617456812</v>
      </c>
      <c r="AH22">
        <f t="shared" si="0"/>
        <v>91.798347863754429</v>
      </c>
      <c r="AI22">
        <f t="shared" si="0"/>
        <v>83.638390215246659</v>
      </c>
      <c r="AJ22">
        <f t="shared" si="0"/>
        <v>49.516485042456395</v>
      </c>
      <c r="AK22">
        <f t="shared" si="0"/>
        <v>10.986889230306076</v>
      </c>
      <c r="AL22">
        <f t="shared" si="0"/>
        <v>-79.072701786960522</v>
      </c>
      <c r="AM22">
        <f t="shared" si="0"/>
        <v>-83.716734969082324</v>
      </c>
      <c r="AN22">
        <f t="shared" si="0"/>
        <v>-99.572057768554089</v>
      </c>
      <c r="AO22">
        <f t="shared" si="0"/>
        <v>-64.403603118158401</v>
      </c>
      <c r="AP22">
        <f t="shared" si="0"/>
        <v>-59.737968775145134</v>
      </c>
      <c r="AQ22">
        <f t="shared" si="0"/>
        <v>-17.999087170436724</v>
      </c>
      <c r="AR22">
        <f t="shared" si="0"/>
        <v>17.379455485754875</v>
      </c>
      <c r="AS22">
        <f t="shared" si="0"/>
        <v>17.719990346304826</v>
      </c>
      <c r="AT22">
        <f t="shared" si="0"/>
        <v>56.972152817374706</v>
      </c>
      <c r="AU22">
        <f t="shared" si="0"/>
        <v>26.483322580696722</v>
      </c>
      <c r="AV22">
        <f t="shared" si="0"/>
        <v>-6.8045859008916523</v>
      </c>
      <c r="AW22">
        <f t="shared" si="0"/>
        <v>-57.86334543739099</v>
      </c>
      <c r="AX22">
        <f t="shared" si="0"/>
        <v>-79.794203536577356</v>
      </c>
      <c r="AY22">
        <f t="shared" si="0"/>
        <v>-73.189445502310491</v>
      </c>
    </row>
    <row r="24" spans="1:51" x14ac:dyDescent="0.2">
      <c r="A24" t="s">
        <v>5</v>
      </c>
      <c r="B24" t="s">
        <v>11</v>
      </c>
      <c r="C24">
        <f>C18</f>
        <v>260.09851557331092</v>
      </c>
      <c r="D24">
        <f>C24+D18</f>
        <v>399.61428463497958</v>
      </c>
      <c r="E24">
        <f t="shared" ref="E24:AY28" si="2">D24+E18</f>
        <v>315.01893634185501</v>
      </c>
      <c r="F24">
        <f t="shared" si="2"/>
        <v>431.80177155594674</v>
      </c>
      <c r="G24">
        <f t="shared" si="2"/>
        <v>429.23177795252514</v>
      </c>
      <c r="H24">
        <f t="shared" si="2"/>
        <v>512.53893105212478</v>
      </c>
      <c r="I24">
        <f t="shared" si="2"/>
        <v>529.42474890133713</v>
      </c>
      <c r="J24">
        <f t="shared" si="2"/>
        <v>585.63772411123193</v>
      </c>
      <c r="K24">
        <f t="shared" si="2"/>
        <v>758.00723172809251</v>
      </c>
      <c r="L24">
        <f t="shared" si="2"/>
        <v>829.50717447392503</v>
      </c>
      <c r="M24">
        <f t="shared" si="2"/>
        <v>955.93460916590243</v>
      </c>
      <c r="N24">
        <f t="shared" si="2"/>
        <v>1004.5157987717304</v>
      </c>
      <c r="O24">
        <f t="shared" si="2"/>
        <v>1054.3339987539866</v>
      </c>
      <c r="P24">
        <f t="shared" si="2"/>
        <v>1096.3061737074265</v>
      </c>
      <c r="Q24">
        <f t="shared" si="2"/>
        <v>1068.3082658499206</v>
      </c>
      <c r="R24">
        <f t="shared" si="2"/>
        <v>1085.6708423029861</v>
      </c>
      <c r="S24">
        <f t="shared" si="2"/>
        <v>1067.8212042756959</v>
      </c>
      <c r="T24">
        <f t="shared" si="2"/>
        <v>1091.2527890885892</v>
      </c>
      <c r="U24">
        <f t="shared" si="2"/>
        <v>1122.7386897994584</v>
      </c>
      <c r="V24">
        <f t="shared" si="2"/>
        <v>1167.0285235426868</v>
      </c>
      <c r="W24">
        <f t="shared" si="2"/>
        <v>1237.2040506293101</v>
      </c>
      <c r="X24">
        <f t="shared" si="2"/>
        <v>1278.9542551730103</v>
      </c>
      <c r="Y24">
        <f t="shared" si="2"/>
        <v>1330.4486340413316</v>
      </c>
      <c r="Z24">
        <f t="shared" si="2"/>
        <v>1347.3628021896718</v>
      </c>
      <c r="AA24">
        <f t="shared" si="2"/>
        <v>1345.5987891247623</v>
      </c>
      <c r="AB24">
        <f t="shared" si="2"/>
        <v>1330.639646958437</v>
      </c>
      <c r="AC24">
        <f t="shared" si="2"/>
        <v>1298.7443770812188</v>
      </c>
      <c r="AD24">
        <f t="shared" si="2"/>
        <v>1277.5272736875593</v>
      </c>
      <c r="AE24">
        <f t="shared" si="2"/>
        <v>1255.2495146191857</v>
      </c>
      <c r="AF24">
        <f t="shared" si="2"/>
        <v>1260.6599958976853</v>
      </c>
      <c r="AG24">
        <f t="shared" si="2"/>
        <v>1269.132648914798</v>
      </c>
      <c r="AH24">
        <f t="shared" si="2"/>
        <v>1287.4950461328058</v>
      </c>
      <c r="AI24">
        <f t="shared" si="2"/>
        <v>1306.0440726788449</v>
      </c>
      <c r="AJ24">
        <f t="shared" si="2"/>
        <v>1317.8642909824603</v>
      </c>
      <c r="AK24">
        <f t="shared" si="2"/>
        <v>1318.8451036778104</v>
      </c>
      <c r="AL24">
        <f t="shared" si="2"/>
        <v>1295.3267313944825</v>
      </c>
      <c r="AM24">
        <f t="shared" si="2"/>
        <v>1267.9486699187303</v>
      </c>
      <c r="AN24">
        <f t="shared" si="2"/>
        <v>1227.132260241385</v>
      </c>
      <c r="AO24">
        <f t="shared" si="2"/>
        <v>1193.7616523741037</v>
      </c>
      <c r="AP24">
        <f t="shared" si="2"/>
        <v>1162.0253482122585</v>
      </c>
      <c r="AQ24">
        <f t="shared" si="2"/>
        <v>1138.5951628406033</v>
      </c>
      <c r="AR24">
        <f t="shared" si="2"/>
        <v>1127.1826618420782</v>
      </c>
      <c r="AS24">
        <f t="shared" si="2"/>
        <v>1114.3903647987911</v>
      </c>
      <c r="AT24">
        <f t="shared" si="2"/>
        <v>1112.9729713889697</v>
      </c>
      <c r="AU24">
        <f t="shared" si="2"/>
        <v>1101.508142370943</v>
      </c>
      <c r="AV24">
        <f t="shared" si="2"/>
        <v>1081.2103579681802</v>
      </c>
      <c r="AW24">
        <f t="shared" si="2"/>
        <v>1052.0049518228363</v>
      </c>
      <c r="AX24">
        <f t="shared" si="2"/>
        <v>1013.3249876723386</v>
      </c>
      <c r="AY24">
        <f t="shared" si="2"/>
        <v>973.54670556104293</v>
      </c>
    </row>
    <row r="25" spans="1:51" x14ac:dyDescent="0.2">
      <c r="A25" t="s">
        <v>4</v>
      </c>
      <c r="B25" t="s">
        <v>11</v>
      </c>
      <c r="C25">
        <f t="shared" ref="C25:C28" si="3">C19</f>
        <v>312.32906922891436</v>
      </c>
      <c r="D25">
        <f t="shared" ref="D25:S28" si="4">C25+D19</f>
        <v>633.88600400244695</v>
      </c>
      <c r="E25">
        <f t="shared" si="4"/>
        <v>593.44456266803161</v>
      </c>
      <c r="F25">
        <f t="shared" si="4"/>
        <v>909.52976250958363</v>
      </c>
      <c r="G25">
        <f t="shared" si="4"/>
        <v>1127.4273451622846</v>
      </c>
      <c r="H25">
        <f t="shared" si="4"/>
        <v>1295.8175986607607</v>
      </c>
      <c r="I25">
        <f t="shared" si="4"/>
        <v>1419.4052849074515</v>
      </c>
      <c r="J25">
        <f t="shared" si="4"/>
        <v>1531.8784564360856</v>
      </c>
      <c r="K25">
        <f t="shared" si="4"/>
        <v>1871.8798448334849</v>
      </c>
      <c r="L25">
        <f t="shared" si="4"/>
        <v>2083.8232746290446</v>
      </c>
      <c r="M25">
        <f t="shared" si="4"/>
        <v>2298.8215922696295</v>
      </c>
      <c r="N25">
        <f t="shared" si="4"/>
        <v>2472.9294007741455</v>
      </c>
      <c r="O25">
        <f t="shared" si="4"/>
        <v>2609.1012948424614</v>
      </c>
      <c r="P25">
        <f t="shared" si="4"/>
        <v>2768.6225643132639</v>
      </c>
      <c r="Q25">
        <f t="shared" si="4"/>
        <v>2804.9582363390537</v>
      </c>
      <c r="R25">
        <f t="shared" si="4"/>
        <v>2892.0859177896573</v>
      </c>
      <c r="S25">
        <f t="shared" si="4"/>
        <v>2960.7623063247856</v>
      </c>
      <c r="T25">
        <f t="shared" si="2"/>
        <v>3045.4729066104314</v>
      </c>
      <c r="U25">
        <f t="shared" si="2"/>
        <v>3148.8117976386084</v>
      </c>
      <c r="V25">
        <f t="shared" si="2"/>
        <v>3245.7187927331138</v>
      </c>
      <c r="W25">
        <f t="shared" si="2"/>
        <v>3387.7111426612787</v>
      </c>
      <c r="X25">
        <f t="shared" si="2"/>
        <v>3493.4632766093964</v>
      </c>
      <c r="Y25">
        <f t="shared" si="2"/>
        <v>3603.4096129181216</v>
      </c>
      <c r="Z25">
        <f t="shared" si="2"/>
        <v>3679.5491408006069</v>
      </c>
      <c r="AA25">
        <f t="shared" si="2"/>
        <v>3721.0279837633452</v>
      </c>
      <c r="AB25">
        <f t="shared" si="2"/>
        <v>3758.1333478599008</v>
      </c>
      <c r="AC25">
        <f t="shared" si="2"/>
        <v>3764.4306236947614</v>
      </c>
      <c r="AD25">
        <f t="shared" si="2"/>
        <v>3780.9892469205147</v>
      </c>
      <c r="AE25">
        <f t="shared" si="2"/>
        <v>3786.7785193963773</v>
      </c>
      <c r="AF25">
        <f t="shared" si="2"/>
        <v>3824.7028120296018</v>
      </c>
      <c r="AG25">
        <f t="shared" si="2"/>
        <v>3868.9129391337083</v>
      </c>
      <c r="AH25">
        <f t="shared" si="2"/>
        <v>3905.0399005762856</v>
      </c>
      <c r="AI25">
        <f t="shared" si="2"/>
        <v>3952.5745180423669</v>
      </c>
      <c r="AJ25">
        <f t="shared" si="2"/>
        <v>3987.6260274767992</v>
      </c>
      <c r="AK25">
        <f t="shared" si="2"/>
        <v>4015.8215563841222</v>
      </c>
      <c r="AL25">
        <f t="shared" si="2"/>
        <v>4011.4579236436934</v>
      </c>
      <c r="AM25">
        <f t="shared" si="2"/>
        <v>3998.8297102705574</v>
      </c>
      <c r="AN25">
        <f t="shared" si="2"/>
        <v>3980.1657976504766</v>
      </c>
      <c r="AO25">
        <f t="shared" si="2"/>
        <v>3957.1270562297414</v>
      </c>
      <c r="AP25">
        <f t="shared" si="2"/>
        <v>3933.3001502684688</v>
      </c>
      <c r="AQ25">
        <f t="shared" si="2"/>
        <v>3915.0732258113894</v>
      </c>
      <c r="AR25">
        <f t="shared" si="2"/>
        <v>3908.6226367119471</v>
      </c>
      <c r="AS25">
        <f t="shared" si="2"/>
        <v>3900.1109375725464</v>
      </c>
      <c r="AT25">
        <f t="shared" si="2"/>
        <v>3902.4417092817057</v>
      </c>
      <c r="AU25">
        <f t="shared" si="2"/>
        <v>3903.0764314419016</v>
      </c>
      <c r="AV25">
        <f t="shared" si="2"/>
        <v>3884.2567245832583</v>
      </c>
      <c r="AW25">
        <f t="shared" si="2"/>
        <v>3849.6295022177969</v>
      </c>
      <c r="AX25">
        <f t="shared" si="2"/>
        <v>3807.1389915699619</v>
      </c>
      <c r="AY25">
        <f t="shared" si="2"/>
        <v>3762.9929530253544</v>
      </c>
    </row>
    <row r="26" spans="1:51" x14ac:dyDescent="0.2">
      <c r="A26" t="s">
        <v>3</v>
      </c>
      <c r="B26" t="s">
        <v>11</v>
      </c>
      <c r="C26">
        <f t="shared" si="3"/>
        <v>1664.769020620598</v>
      </c>
      <c r="D26">
        <f t="shared" si="4"/>
        <v>2278.2308305098099</v>
      </c>
      <c r="E26">
        <f t="shared" si="2"/>
        <v>1273.5185789453521</v>
      </c>
      <c r="F26">
        <f t="shared" si="2"/>
        <v>1884.6532178065549</v>
      </c>
      <c r="G26">
        <f t="shared" si="2"/>
        <v>1737.0965029091533</v>
      </c>
      <c r="H26">
        <f t="shared" si="2"/>
        <v>2122.5403769270147</v>
      </c>
      <c r="I26">
        <f t="shared" si="2"/>
        <v>2064.5434255942505</v>
      </c>
      <c r="J26">
        <f t="shared" si="2"/>
        <v>2420.5507032009364</v>
      </c>
      <c r="K26">
        <f t="shared" si="2"/>
        <v>3692.4980373577446</v>
      </c>
      <c r="L26">
        <f t="shared" si="2"/>
        <v>4237.9524625738259</v>
      </c>
      <c r="M26">
        <f t="shared" si="2"/>
        <v>5076.3710773322464</v>
      </c>
      <c r="N26">
        <f t="shared" si="2"/>
        <v>5412.4015885704639</v>
      </c>
      <c r="O26">
        <f t="shared" si="2"/>
        <v>5791.4301241384528</v>
      </c>
      <c r="P26">
        <f t="shared" si="2"/>
        <v>6013.9320215106109</v>
      </c>
      <c r="Q26">
        <f t="shared" si="2"/>
        <v>5650.3081822832883</v>
      </c>
      <c r="R26">
        <f t="shared" si="2"/>
        <v>5629.9920317595097</v>
      </c>
      <c r="S26">
        <f t="shared" si="2"/>
        <v>5404.2676452540682</v>
      </c>
      <c r="T26">
        <f t="shared" si="2"/>
        <v>5500.0885565208564</v>
      </c>
      <c r="U26">
        <f t="shared" si="2"/>
        <v>5700.6727573308917</v>
      </c>
      <c r="V26">
        <f t="shared" si="2"/>
        <v>6065.309082186337</v>
      </c>
      <c r="W26">
        <f t="shared" si="2"/>
        <v>6606.8399044116277</v>
      </c>
      <c r="X26">
        <f t="shared" si="2"/>
        <v>6964.7834930030922</v>
      </c>
      <c r="Y26">
        <f t="shared" si="2"/>
        <v>7346.9364175869341</v>
      </c>
      <c r="Z26">
        <f t="shared" si="2"/>
        <v>7464.6227586547666</v>
      </c>
      <c r="AA26">
        <f t="shared" si="2"/>
        <v>7412.3874374062398</v>
      </c>
      <c r="AB26">
        <f t="shared" si="2"/>
        <v>7227.3936893813407</v>
      </c>
      <c r="AC26">
        <f t="shared" si="2"/>
        <v>6929.4019974989396</v>
      </c>
      <c r="AD26">
        <f t="shared" si="2"/>
        <v>6714.5553791512611</v>
      </c>
      <c r="AE26">
        <f t="shared" si="2"/>
        <v>6517.2490323081074</v>
      </c>
      <c r="AF26">
        <f t="shared" si="2"/>
        <v>6547.731402237423</v>
      </c>
      <c r="AG26">
        <f t="shared" si="2"/>
        <v>6646.6464487358699</v>
      </c>
      <c r="AH26">
        <f t="shared" si="2"/>
        <v>6825.5059328619782</v>
      </c>
      <c r="AI26">
        <f t="shared" si="2"/>
        <v>7021.8801349043206</v>
      </c>
      <c r="AJ26">
        <f t="shared" si="2"/>
        <v>7145.0000016255253</v>
      </c>
      <c r="AK26">
        <f t="shared" si="2"/>
        <v>7185.7990538442364</v>
      </c>
      <c r="AL26">
        <f t="shared" si="2"/>
        <v>7012.197255670575</v>
      </c>
      <c r="AM26">
        <f t="shared" si="2"/>
        <v>6768.8476593945143</v>
      </c>
      <c r="AN26">
        <f t="shared" si="2"/>
        <v>6440.991269328425</v>
      </c>
      <c r="AO26">
        <f t="shared" si="2"/>
        <v>6172.7438853958138</v>
      </c>
      <c r="AP26">
        <f t="shared" si="2"/>
        <v>5926.9484524390891</v>
      </c>
      <c r="AQ26">
        <f t="shared" si="2"/>
        <v>5764.9698385303436</v>
      </c>
      <c r="AR26">
        <f t="shared" si="2"/>
        <v>5706.0024205503323</v>
      </c>
      <c r="AS26">
        <f t="shared" si="2"/>
        <v>5669.1598986289209</v>
      </c>
      <c r="AT26">
        <f t="shared" si="2"/>
        <v>5704.2233894552101</v>
      </c>
      <c r="AU26">
        <f t="shared" si="2"/>
        <v>5712.5719854630152</v>
      </c>
      <c r="AV26">
        <f t="shared" si="2"/>
        <v>5622.2787734356361</v>
      </c>
      <c r="AW26">
        <f t="shared" si="2"/>
        <v>5402.1700903190231</v>
      </c>
      <c r="AX26">
        <f t="shared" si="2"/>
        <v>5113.7291633942095</v>
      </c>
      <c r="AY26">
        <f t="shared" si="2"/>
        <v>4821.421584716908</v>
      </c>
    </row>
    <row r="27" spans="1:51" x14ac:dyDescent="0.2">
      <c r="A27" t="s">
        <v>2</v>
      </c>
      <c r="B27" t="s">
        <v>11</v>
      </c>
      <c r="C27">
        <f t="shared" si="3"/>
        <v>892.99181630544797</v>
      </c>
      <c r="D27">
        <f t="shared" si="4"/>
        <v>1076.2130876570313</v>
      </c>
      <c r="E27">
        <f t="shared" si="2"/>
        <v>580.64096382123955</v>
      </c>
      <c r="F27">
        <f t="shared" si="2"/>
        <v>1034.9738086913223</v>
      </c>
      <c r="G27">
        <f t="shared" si="2"/>
        <v>983.15474903809388</v>
      </c>
      <c r="H27">
        <f t="shared" si="2"/>
        <v>1379.3080683817811</v>
      </c>
      <c r="I27">
        <f t="shared" si="2"/>
        <v>1488.0112452101673</v>
      </c>
      <c r="J27">
        <f t="shared" si="2"/>
        <v>1803.5758317578375</v>
      </c>
      <c r="K27">
        <f t="shared" si="2"/>
        <v>2461.1973349762447</v>
      </c>
      <c r="L27">
        <f t="shared" si="2"/>
        <v>2669.868252328361</v>
      </c>
      <c r="M27">
        <f t="shared" si="2"/>
        <v>3105.2743037532578</v>
      </c>
      <c r="N27">
        <f t="shared" si="2"/>
        <v>3173.1695569277917</v>
      </c>
      <c r="O27">
        <f t="shared" si="2"/>
        <v>3305.2890312176714</v>
      </c>
      <c r="P27">
        <f t="shared" si="2"/>
        <v>3401.0421091804897</v>
      </c>
      <c r="Q27">
        <f t="shared" si="2"/>
        <v>3261.7396589366967</v>
      </c>
      <c r="R27">
        <f t="shared" si="2"/>
        <v>3354.450718509609</v>
      </c>
      <c r="S27">
        <f t="shared" si="2"/>
        <v>3351.0668615063723</v>
      </c>
      <c r="T27">
        <f t="shared" si="2"/>
        <v>3562.8778771046118</v>
      </c>
      <c r="U27">
        <f t="shared" si="2"/>
        <v>3757.1926308183802</v>
      </c>
      <c r="V27">
        <f t="shared" si="2"/>
        <v>4002.910341233061</v>
      </c>
      <c r="W27">
        <f t="shared" si="2"/>
        <v>4309.095479825105</v>
      </c>
      <c r="X27">
        <f t="shared" si="2"/>
        <v>4458.4581335944895</v>
      </c>
      <c r="Y27">
        <f t="shared" si="2"/>
        <v>4632.0271661550942</v>
      </c>
      <c r="Z27">
        <f t="shared" si="2"/>
        <v>4649.4554380888667</v>
      </c>
      <c r="AA27">
        <f t="shared" si="2"/>
        <v>4616.8321440399404</v>
      </c>
      <c r="AB27">
        <f t="shared" si="2"/>
        <v>4555.9032178639573</v>
      </c>
      <c r="AC27">
        <f t="shared" si="2"/>
        <v>4473.1343518929425</v>
      </c>
      <c r="AD27">
        <f t="shared" si="2"/>
        <v>4488.6580691669205</v>
      </c>
      <c r="AE27">
        <f t="shared" si="2"/>
        <v>4492.2193412064034</v>
      </c>
      <c r="AF27">
        <f t="shared" si="2"/>
        <v>4662.6939249333445</v>
      </c>
      <c r="AG27">
        <f t="shared" si="2"/>
        <v>4769.3422267791075</v>
      </c>
      <c r="AH27">
        <f t="shared" si="2"/>
        <v>4912.7190176774757</v>
      </c>
      <c r="AI27">
        <f t="shared" si="2"/>
        <v>5037.214529978618</v>
      </c>
      <c r="AJ27">
        <f t="shared" si="2"/>
        <v>5096.7095300740302</v>
      </c>
      <c r="AK27">
        <f t="shared" si="2"/>
        <v>5102.6869523089063</v>
      </c>
      <c r="AL27">
        <f t="shared" si="2"/>
        <v>5012.5550756183775</v>
      </c>
      <c r="AM27">
        <f t="shared" si="2"/>
        <v>4921.7701511315872</v>
      </c>
      <c r="AN27">
        <f t="shared" si="2"/>
        <v>4817.1403743259316</v>
      </c>
      <c r="AO27">
        <f t="shared" si="2"/>
        <v>4772.8031681176544</v>
      </c>
      <c r="AP27">
        <f t="shared" si="2"/>
        <v>4759.6457626622678</v>
      </c>
      <c r="AQ27">
        <f t="shared" si="2"/>
        <v>4768.8943128677283</v>
      </c>
      <c r="AR27">
        <f t="shared" si="2"/>
        <v>4838.924071112715</v>
      </c>
      <c r="AS27">
        <f t="shared" si="2"/>
        <v>4876.5553785026004</v>
      </c>
      <c r="AT27">
        <f t="shared" si="2"/>
        <v>4939.0480422606624</v>
      </c>
      <c r="AU27">
        <f t="shared" si="2"/>
        <v>4976.2400256109104</v>
      </c>
      <c r="AV27">
        <f t="shared" si="2"/>
        <v>4943.6474612073271</v>
      </c>
      <c r="AW27">
        <f t="shared" si="2"/>
        <v>4850.2530171181952</v>
      </c>
      <c r="AX27">
        <f t="shared" si="2"/>
        <v>4742.6893247388507</v>
      </c>
      <c r="AY27">
        <f t="shared" si="2"/>
        <v>4655.9331971631927</v>
      </c>
    </row>
    <row r="28" spans="1:51" x14ac:dyDescent="0.2">
      <c r="A28" t="s">
        <v>1</v>
      </c>
      <c r="B28" t="s">
        <v>11</v>
      </c>
      <c r="C28">
        <f t="shared" si="3"/>
        <v>669.88902965242801</v>
      </c>
      <c r="D28">
        <f t="shared" si="4"/>
        <v>725.41824209564027</v>
      </c>
      <c r="E28">
        <f t="shared" si="2"/>
        <v>186.83605816383238</v>
      </c>
      <c r="F28">
        <f t="shared" si="2"/>
        <v>406.26220371960466</v>
      </c>
      <c r="G28">
        <f t="shared" si="2"/>
        <v>250.55825443749475</v>
      </c>
      <c r="H28">
        <f t="shared" si="2"/>
        <v>406.37433876646503</v>
      </c>
      <c r="I28">
        <f t="shared" si="2"/>
        <v>346.13308303382581</v>
      </c>
      <c r="J28">
        <f t="shared" si="2"/>
        <v>481.39763315680437</v>
      </c>
      <c r="K28">
        <f t="shared" si="2"/>
        <v>960.45529371330178</v>
      </c>
      <c r="L28">
        <f t="shared" si="2"/>
        <v>1064.2065755628521</v>
      </c>
      <c r="M28">
        <f t="shared" si="2"/>
        <v>1325.9666107024241</v>
      </c>
      <c r="N28">
        <f t="shared" si="2"/>
        <v>1306.7729343162714</v>
      </c>
      <c r="O28">
        <f t="shared" si="2"/>
        <v>1355.4592732594856</v>
      </c>
      <c r="P28">
        <f t="shared" si="2"/>
        <v>1376.0297311121212</v>
      </c>
      <c r="Q28">
        <f t="shared" si="2"/>
        <v>1178.1699593607239</v>
      </c>
      <c r="R28">
        <f t="shared" si="2"/>
        <v>1168.538283496028</v>
      </c>
      <c r="S28">
        <f t="shared" si="2"/>
        <v>1068.6869220451429</v>
      </c>
      <c r="T28">
        <f t="shared" si="2"/>
        <v>1113.8614829504925</v>
      </c>
      <c r="U28">
        <f t="shared" si="2"/>
        <v>1191.1312629538793</v>
      </c>
      <c r="V28">
        <f t="shared" si="2"/>
        <v>1330.5355135916852</v>
      </c>
      <c r="W28">
        <f t="shared" si="2"/>
        <v>1542.0555900468303</v>
      </c>
      <c r="X28">
        <f t="shared" si="2"/>
        <v>1643.5437635735655</v>
      </c>
      <c r="Y28">
        <f t="shared" si="2"/>
        <v>1767.6262096658907</v>
      </c>
      <c r="Z28">
        <f t="shared" si="2"/>
        <v>1751.0411417838809</v>
      </c>
      <c r="AA28">
        <f t="shared" si="2"/>
        <v>1697.1950990992605</v>
      </c>
      <c r="AB28">
        <f t="shared" si="2"/>
        <v>1612.2930158686711</v>
      </c>
      <c r="AC28">
        <f t="shared" si="2"/>
        <v>1503.4627194260456</v>
      </c>
      <c r="AD28">
        <f t="shared" si="2"/>
        <v>1436.3916344573313</v>
      </c>
      <c r="AE28">
        <f t="shared" si="2"/>
        <v>1373.2403127413186</v>
      </c>
      <c r="AF28">
        <f t="shared" si="2"/>
        <v>1431.8402844435097</v>
      </c>
      <c r="AG28">
        <f t="shared" si="2"/>
        <v>1488.4207490609665</v>
      </c>
      <c r="AH28">
        <f t="shared" si="2"/>
        <v>1580.2190969247208</v>
      </c>
      <c r="AI28">
        <f t="shared" si="2"/>
        <v>1663.8574871399674</v>
      </c>
      <c r="AJ28">
        <f t="shared" si="2"/>
        <v>1713.3739721824238</v>
      </c>
      <c r="AK28">
        <f t="shared" si="2"/>
        <v>1724.3608614127299</v>
      </c>
      <c r="AL28">
        <f t="shared" si="2"/>
        <v>1645.2881596257694</v>
      </c>
      <c r="AM28">
        <f t="shared" si="2"/>
        <v>1561.571424656687</v>
      </c>
      <c r="AN28">
        <f t="shared" si="2"/>
        <v>1461.999366888133</v>
      </c>
      <c r="AO28">
        <f t="shared" si="2"/>
        <v>1397.5957637699746</v>
      </c>
      <c r="AP28">
        <f t="shared" si="2"/>
        <v>1337.8577949948294</v>
      </c>
      <c r="AQ28">
        <f t="shared" si="2"/>
        <v>1319.8587078243927</v>
      </c>
      <c r="AR28">
        <f t="shared" si="2"/>
        <v>1337.2381633101477</v>
      </c>
      <c r="AS28">
        <f t="shared" si="2"/>
        <v>1354.9581536564524</v>
      </c>
      <c r="AT28">
        <f t="shared" si="2"/>
        <v>1411.9303064738272</v>
      </c>
      <c r="AU28">
        <f t="shared" si="2"/>
        <v>1438.4136290545239</v>
      </c>
      <c r="AV28">
        <f t="shared" si="2"/>
        <v>1431.6090431536322</v>
      </c>
      <c r="AW28">
        <f t="shared" si="2"/>
        <v>1373.7456977162412</v>
      </c>
      <c r="AX28">
        <f t="shared" si="2"/>
        <v>1293.9514941796638</v>
      </c>
      <c r="AY28">
        <f t="shared" si="2"/>
        <v>1220.7620486773533</v>
      </c>
    </row>
  </sheetData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Median Estimates (2)</vt:lpstr>
      <vt:lpstr>Median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2017-03-02T17:29:18Z</dcterms:created>
  <dcterms:modified xsi:type="dcterms:W3CDTF">2017-03-02T17:37:10Z</dcterms:modified>
</cp:coreProperties>
</file>