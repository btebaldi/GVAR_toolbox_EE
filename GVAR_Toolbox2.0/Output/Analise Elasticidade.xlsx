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/>
  </bookViews>
  <sheets>
    <sheet name="Point Estimates Grandes Regioes" sheetId="8" r:id="rId1"/>
    <sheet name="Adm e Desl Grandes Regioes" sheetId="7" r:id="rId2"/>
    <sheet name="Planilha6" sheetId="6" r:id="rId3"/>
  </sheets>
  <externalReferences>
    <externalReference r:id="rId4"/>
    <externalReference r:id="rId5"/>
  </externalReferences>
  <definedNames>
    <definedName name="B">#REF!</definedName>
    <definedName name="bootstrap_flag">#REF!</definedName>
    <definedName name="cb_blockdiag">#REF!</definedName>
    <definedName name="cb_blockdiagexc">#REF!</definedName>
    <definedName name="cb_exccountry">#REF!</definedName>
    <definedName name="cb_lambda">#REF!</definedName>
    <definedName name="cb_samplecov">#REF!</definedName>
    <definedName name="ccodes">#REF!</definedName>
    <definedName name="chow_cut">#REF!</definedName>
    <definedName name="cnames">#REF!</definedName>
    <definedName name="cnames_long">#REF!</definedName>
    <definedName name="criterion">#REF!</definedName>
    <definedName name="dvflag">#REF!</definedName>
    <definedName name="estcase">#REF!</definedName>
    <definedName name="first_trdyear">#REF!</definedName>
    <definedName name="firstcountries">#REF!</definedName>
    <definedName name="firstobs">#REF!</definedName>
    <definedName name="fvflag">#REF!</definedName>
    <definedName name="fvflag_we">#REF!</definedName>
    <definedName name="graphsflag">#REF!</definedName>
    <definedName name="gvflag">#REF!</definedName>
    <definedName name="gvflag_we">#REF!</definedName>
    <definedName name="gvnames">#REF!</definedName>
    <definedName name="gvnames_long">#REF!</definedName>
    <definedName name="gvshockmtrx">#REF!</definedName>
    <definedName name="importbuild_wmat_flag">#REF!</definedName>
    <definedName name="last_trdyear">#REF!</definedName>
    <definedName name="lastobs">#REF!</definedName>
    <definedName name="maxlag">#REF!</definedName>
    <definedName name="N">#REF!</definedName>
    <definedName name="newordervars">#REF!</definedName>
    <definedName name="outdir">#REF!</definedName>
    <definedName name="overid_flag">#REF!</definedName>
    <definedName name="pauseflag">#REF!</definedName>
    <definedName name="pe_blockdiag">#REF!</definedName>
    <definedName name="pe_blockdiagexc">#REF!</definedName>
    <definedName name="pe_exccountry">#REF!</definedName>
    <definedName name="pe_lambda">#REF!</definedName>
    <definedName name="pe_samplecov">#REF!</definedName>
    <definedName name="rank">#REF!</definedName>
    <definedName name="regcountries">#REF!</definedName>
    <definedName name="regcountriesx">#REF!</definedName>
    <definedName name="rnames">#REF!</definedName>
    <definedName name="rnames_long">#REF!</definedName>
    <definedName name="rnamesx">#REF!</definedName>
    <definedName name="rnamesx_long">#REF!</definedName>
    <definedName name="ss_B">#REF!</definedName>
    <definedName name="ss_bootstrap_flag">#REF!</definedName>
    <definedName name="ss_flag">#REF!</definedName>
    <definedName name="trade_window">#REF!</definedName>
    <definedName name="tvw_solution">#REF!</definedName>
    <definedName name="tvw_solution_modeflag">#REF!</definedName>
    <definedName name="urt_criterion">#REF!</definedName>
    <definedName name="urt_maxlag">#REF!</definedName>
    <definedName name="urtflag">#REF!</definedName>
    <definedName name="varxlag">#REF!</definedName>
    <definedName name="varxlag_we">#REF!</definedName>
    <definedName name="vnames">#REF!</definedName>
    <definedName name="vnames_long">#REF!</definedName>
    <definedName name="vshockmtrx">#REF!</definedName>
    <definedName name="we_flag">#REF!</definedName>
    <definedName name="weightstype_flag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8" l="1"/>
  <c r="L35" i="8"/>
  <c r="M35" i="8"/>
  <c r="N35" i="8"/>
  <c r="O35" i="8"/>
  <c r="K35" i="8"/>
  <c r="L34" i="8"/>
  <c r="M34" i="8"/>
  <c r="N34" i="8"/>
  <c r="O34" i="8"/>
  <c r="K34" i="8"/>
  <c r="D28" i="8"/>
  <c r="D36" i="8" s="1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3" i="7"/>
  <c r="D42" i="8" l="1"/>
  <c r="C28" i="8"/>
  <c r="C36" i="8" s="1"/>
  <c r="C26" i="8"/>
  <c r="C34" i="8" s="1"/>
  <c r="C40" i="8" s="1"/>
  <c r="D27" i="8"/>
  <c r="D35" i="8" s="1"/>
  <c r="D41" i="8" s="1"/>
  <c r="C25" i="8"/>
  <c r="C33" i="8" s="1"/>
  <c r="C39" i="8" s="1"/>
  <c r="D26" i="8"/>
  <c r="D34" i="8" s="1"/>
  <c r="D25" i="8"/>
  <c r="D33" i="8" s="1"/>
  <c r="D39" i="8" s="1"/>
  <c r="C29" i="8"/>
  <c r="C37" i="8" s="1"/>
  <c r="C43" i="8" s="1"/>
  <c r="D29" i="8"/>
  <c r="D37" i="8" s="1"/>
  <c r="D43" i="8" s="1"/>
  <c r="C27" i="8"/>
  <c r="C35" i="8" s="1"/>
  <c r="C41" i="8" s="1"/>
  <c r="E28" i="8" l="1"/>
  <c r="D40" i="8"/>
  <c r="C42" i="8"/>
  <c r="E27" i="8"/>
  <c r="E25" i="8"/>
  <c r="E26" i="8"/>
  <c r="E29" i="8"/>
  <c r="E31" i="8" l="1"/>
</calcChain>
</file>

<file path=xl/sharedStrings.xml><?xml version="1.0" encoding="utf-8"?>
<sst xmlns="http://schemas.openxmlformats.org/spreadsheetml/2006/main" count="505" uniqueCount="312">
  <si>
    <t>Generalized Impulse Response Functions</t>
  </si>
  <si>
    <t>One s.e. Positive Shock to DOMINANT UNIT MODEL ProducaoIndustrial_BR</t>
  </si>
  <si>
    <t>Point Estimates</t>
  </si>
  <si>
    <t>desl</t>
  </si>
  <si>
    <t>adm</t>
  </si>
  <si>
    <t>DOMINANT UNIT MODEL</t>
  </si>
  <si>
    <t>lpim_BR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</si>
  <si>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</si>
  <si>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</si>
  <si>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</si>
  <si>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</si>
  <si>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</si>
  <si>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</si>
  <si>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</si>
  <si>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</si>
  <si>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</si>
  <si>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</si>
  <si>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</si>
  <si>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</si>
  <si>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</si>
  <si>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</si>
  <si>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</si>
  <si>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</si>
  <si>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</si>
  <si>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</si>
  <si>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</si>
  <si>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</si>
  <si>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</si>
  <si>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</si>
  <si>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</si>
  <si>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</si>
  <si>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</si>
  <si>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</si>
  <si>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</si>
  <si>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</si>
  <si>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</si>
  <si>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</si>
  <si>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</si>
  <si>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</si>
  <si>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</si>
  <si>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</si>
  <si>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</si>
  <si>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</si>
  <si>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</si>
  <si>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</si>
  <si>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</si>
  <si>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</si>
  <si>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</si>
  <si>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</si>
  <si>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</si>
  <si>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</si>
  <si>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</si>
  <si>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</si>
  <si>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</si>
  <si>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</si>
  <si>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</si>
  <si>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</si>
  <si>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</si>
  <si>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</si>
  <si>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</si>
  <si>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</si>
  <si>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</si>
  <si>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</si>
  <si>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</si>
  <si>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</si>
  <si>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</si>
  <si>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</si>
  <si>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</si>
  <si>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</si>
  <si>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</si>
  <si>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</si>
  <si>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</si>
  <si>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</si>
  <si>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</si>
  <si>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</si>
  <si>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</si>
  <si>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</si>
  <si>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</si>
  <si>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</si>
  <si>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</si>
  <si>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</si>
  <si>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</si>
  <si>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</si>
  <si>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</si>
  <si>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</si>
  <si>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</si>
  <si>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</si>
  <si>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</si>
  <si>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</si>
  <si>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</si>
  <si>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</si>
  <si>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</si>
  <si>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</si>
  <si>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</si>
  <si>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</si>
  <si>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</si>
  <si>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</si>
  <si>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</si>
  <si>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</si>
  <si>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</si>
  <si>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</si>
  <si>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</si>
  <si>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</si>
  <si>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</si>
  <si>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</si>
  <si>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</si>
  <si>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</si>
  <si>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</si>
  <si>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</si>
  <si>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</si>
  <si>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</si>
  <si>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</si>
  <si>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</si>
  <si>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</si>
  <si>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</si>
  <si>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</si>
  <si>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</si>
  <si>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</si>
  <si>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</si>
  <si>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</si>
  <si>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</si>
  <si>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</si>
  <si>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</si>
  <si>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</si>
  <si>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</si>
  <si>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</si>
  <si>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</si>
  <si>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</si>
  <si>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</si>
  <si>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</si>
  <si>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</si>
  <si>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</si>
  <si>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</si>
  <si>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</si>
  <si>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</si>
  <si>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</si>
  <si>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</si>
  <si>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</si>
  <si>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</si>
  <si>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</si>
  <si>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</si>
  <si>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</si>
  <si>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</si>
  <si>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</si>
  <si>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</si>
  <si>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</si>
  <si>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</si>
  <si>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</si>
  <si>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</si>
  <si>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</si>
  <si>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</si>
  <si>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</si>
  <si>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</si>
  <si>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</si>
  <si>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</si>
  <si>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</si>
  <si>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</si>
  <si>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</si>
  <si>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</si>
  <si>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</si>
  <si>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</si>
  <si>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</si>
  <si>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</si>
  <si>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Go5301</t>
  </si>
  <si>
    <t>Go5205</t>
  </si>
  <si>
    <t>Go5204</t>
  </si>
  <si>
    <t>Go5203</t>
  </si>
  <si>
    <t>Go5202</t>
  </si>
  <si>
    <t>Go5201</t>
  </si>
  <si>
    <t>Mt5105</t>
  </si>
  <si>
    <t>Mt5104</t>
  </si>
  <si>
    <t>Mt5103</t>
  </si>
  <si>
    <t>Mt5102</t>
  </si>
  <si>
    <t>Mt5101</t>
  </si>
  <si>
    <t>Ms5004</t>
  </si>
  <si>
    <t>Ms5003</t>
  </si>
  <si>
    <t>Ms5002</t>
  </si>
  <si>
    <t>Ms5001</t>
  </si>
  <si>
    <t>Rs4307</t>
  </si>
  <si>
    <t>Rs4306</t>
  </si>
  <si>
    <t>Rs4305</t>
  </si>
  <si>
    <t>Rs4304</t>
  </si>
  <si>
    <t>Rs4303</t>
  </si>
  <si>
    <t>Rs4302</t>
  </si>
  <si>
    <t>Rs4301</t>
  </si>
  <si>
    <t>Sc4206</t>
  </si>
  <si>
    <t>Sc4205</t>
  </si>
  <si>
    <t>Sc4204</t>
  </si>
  <si>
    <t>Sc4203</t>
  </si>
  <si>
    <t>Sc4202</t>
  </si>
  <si>
    <t>Sc4201</t>
  </si>
  <si>
    <t>Pr4110</t>
  </si>
  <si>
    <t>Pr4109</t>
  </si>
  <si>
    <t>Pr4108</t>
  </si>
  <si>
    <t>Pr4107</t>
  </si>
  <si>
    <t>Pr4106</t>
  </si>
  <si>
    <t>Pr4105</t>
  </si>
  <si>
    <t>Pr4104</t>
  </si>
  <si>
    <t>Pr4103</t>
  </si>
  <si>
    <t>Pr4102</t>
  </si>
  <si>
    <t>Pr4101</t>
  </si>
  <si>
    <t>Sp3515</t>
  </si>
  <si>
    <t>Sp3514</t>
  </si>
  <si>
    <t>Sp3513</t>
  </si>
  <si>
    <t>Sp3512</t>
  </si>
  <si>
    <t>Sp3511</t>
  </si>
  <si>
    <t>Sp3510</t>
  </si>
  <si>
    <t>Sp3509</t>
  </si>
  <si>
    <t>Sp3508</t>
  </si>
  <si>
    <t>Sp3507</t>
  </si>
  <si>
    <t>Sp3506</t>
  </si>
  <si>
    <t>Sp3505</t>
  </si>
  <si>
    <t>Sp3504</t>
  </si>
  <si>
    <t>Sp3503</t>
  </si>
  <si>
    <t>Sp3502</t>
  </si>
  <si>
    <t>Sp3501</t>
  </si>
  <si>
    <t>Rj3306</t>
  </si>
  <si>
    <t>Rj3305</t>
  </si>
  <si>
    <t>Rj3304</t>
  </si>
  <si>
    <t>Rj3303</t>
  </si>
  <si>
    <t>Rj3302</t>
  </si>
  <si>
    <t>Rj3301</t>
  </si>
  <si>
    <t>Es3204</t>
  </si>
  <si>
    <t>Es3203</t>
  </si>
  <si>
    <t>Es3202</t>
  </si>
  <si>
    <t>Es3201</t>
  </si>
  <si>
    <t>Mg3112</t>
  </si>
  <si>
    <t>Mg3111</t>
  </si>
  <si>
    <t>Mg3110</t>
  </si>
  <si>
    <t>Mg3109</t>
  </si>
  <si>
    <t>Mg3108</t>
  </si>
  <si>
    <t>Mg3107</t>
  </si>
  <si>
    <t>Mg3106</t>
  </si>
  <si>
    <t>Mg3105</t>
  </si>
  <si>
    <t>Mg3104</t>
  </si>
  <si>
    <t>Mg3103</t>
  </si>
  <si>
    <t>Mg3102</t>
  </si>
  <si>
    <t>Mg3101</t>
  </si>
  <si>
    <t>Ba2907</t>
  </si>
  <si>
    <t>Ba2906</t>
  </si>
  <si>
    <t>Ba2905</t>
  </si>
  <si>
    <t>Ba2904</t>
  </si>
  <si>
    <t>Ba2903</t>
  </si>
  <si>
    <t>Ba2902</t>
  </si>
  <si>
    <t>Ba2901</t>
  </si>
  <si>
    <t>Se2803</t>
  </si>
  <si>
    <t>Se2802</t>
  </si>
  <si>
    <t>Se2801</t>
  </si>
  <si>
    <t>Al2703</t>
  </si>
  <si>
    <t>Al2702</t>
  </si>
  <si>
    <t>Al2701</t>
  </si>
  <si>
    <t>Pe2605</t>
  </si>
  <si>
    <t>Pe2604</t>
  </si>
  <si>
    <t>Pe2603</t>
  </si>
  <si>
    <t>Pe2602</t>
  </si>
  <si>
    <t>Pe2601</t>
  </si>
  <si>
    <t>Pb2504</t>
  </si>
  <si>
    <t>Pb2503</t>
  </si>
  <si>
    <t>Pb2502</t>
  </si>
  <si>
    <t>Pb2501</t>
  </si>
  <si>
    <t>Rn2404</t>
  </si>
  <si>
    <t>Rn2403</t>
  </si>
  <si>
    <t>Rn2402</t>
  </si>
  <si>
    <t>Rn2401</t>
  </si>
  <si>
    <t>Ce2307</t>
  </si>
  <si>
    <t>Ce2306</t>
  </si>
  <si>
    <t>Ce2305</t>
  </si>
  <si>
    <t>Ce2304</t>
  </si>
  <si>
    <t>Ce2303</t>
  </si>
  <si>
    <t>Ce2302</t>
  </si>
  <si>
    <t>Ce2301</t>
  </si>
  <si>
    <t>Pi2204</t>
  </si>
  <si>
    <t>Pi2203</t>
  </si>
  <si>
    <t>Pi2202</t>
  </si>
  <si>
    <t>Pi2201</t>
  </si>
  <si>
    <t>Ma2105</t>
  </si>
  <si>
    <t>Ma2104</t>
  </si>
  <si>
    <t>Ma2103</t>
  </si>
  <si>
    <t>Ma2102</t>
  </si>
  <si>
    <t>Ma2101</t>
  </si>
  <si>
    <t>To1702</t>
  </si>
  <si>
    <t>To1701</t>
  </si>
  <si>
    <t>Ap1602</t>
  </si>
  <si>
    <t>Ap1601</t>
  </si>
  <si>
    <t>Pa1506</t>
  </si>
  <si>
    <t>Pa1505</t>
  </si>
  <si>
    <t>Pa1504</t>
  </si>
  <si>
    <t>Pa1503</t>
  </si>
  <si>
    <t>Pa1502</t>
  </si>
  <si>
    <t>Pa1501</t>
  </si>
  <si>
    <t>Rr1402</t>
  </si>
  <si>
    <t>Rr1401</t>
  </si>
  <si>
    <t>Am1304</t>
  </si>
  <si>
    <t>Am1303</t>
  </si>
  <si>
    <t>Am1302</t>
  </si>
  <si>
    <t>Am1301</t>
  </si>
  <si>
    <t>Ac1202</t>
  </si>
  <si>
    <t>Ac1201</t>
  </si>
  <si>
    <t>Ro1102</t>
  </si>
  <si>
    <t>Ro1101</t>
  </si>
  <si>
    <t>date</t>
  </si>
  <si>
    <t>norte</t>
  </si>
  <si>
    <t>nordeste</t>
  </si>
  <si>
    <t>sudeste</t>
  </si>
  <si>
    <t>sul</t>
  </si>
  <si>
    <t>centro</t>
  </si>
  <si>
    <t>Total</t>
  </si>
  <si>
    <t>ADM</t>
  </si>
  <si>
    <t>DESL</t>
  </si>
  <si>
    <t>Var% PIM</t>
  </si>
  <si>
    <t>Liquido</t>
  </si>
  <si>
    <t>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</si>
</sst>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2" borderId="1" applyNumberFormat="0" applyAlignment="0" applyProtection="0"/>
    <xf numFmtId="0" fontId="1" fillId="0" borderId="0"/>
    <xf numFmtId="0" fontId="4" fillId="0" borderId="0"/>
  </cellStyleXfs>
  <cellXfs count="5">
    <xf numFmtId="0" fontId="0" fillId="0" borderId="0" xfId="0"/>
    <xf numFmtId="0" fontId="1" fillId="0" borderId="0" xfId="3"/>
    <xf numFmtId="43" fontId="0" fillId="0" borderId="0" xfId="1" applyFont="1"/>
    <xf numFmtId="0" fontId="1" fillId="0" borderId="0" xfId="3" applyFill="1"/>
    <xf numFmtId="0" fontId="3" fillId="2" borderId="1" xfId="2"/>
  </cellXfs>
  <cellStyles count="5">
    <cellStyle name="Entrada" xfId="2" builtinId="20"/>
    <cellStyle name="Normal" xfId="0" builtinId="0"/>
    <cellStyle name="Normal 2" xfId="4"/>
    <cellStyle name="Normal 2 2" xfId="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baldi/Dropbox/bruno-tebaldi/GVAR_Toolbox2.0/gvar_ol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vs21/Desktop/GVAR%20Data%20Revision%202013/FinalFinalDataFromRodrigo/gvarFile2011Q2_E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OMINANT UNIT"/>
      <sheetName val="wmat1"/>
      <sheetName val="weights_aggr"/>
      <sheetName val="v01"/>
      <sheetName val="v02"/>
      <sheetName val="v03"/>
      <sheetName val="v04"/>
      <sheetName val="v05"/>
      <sheetName val="v06"/>
      <sheetName val="v07"/>
      <sheetName val="v08"/>
      <sheetName val="v09"/>
      <sheetName val="v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weightmatrix_est"/>
      <sheetName val="weights_aggr"/>
      <sheetName val="y"/>
      <sheetName val="Dp"/>
      <sheetName val="eq"/>
      <sheetName val="ep"/>
      <sheetName val="r"/>
      <sheetName val="lr"/>
      <sheetName val="po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3"/>
  <sheetViews>
    <sheetView tabSelected="1" topLeftCell="A9" workbookViewId="0">
      <selection activeCell="P27" sqref="P27"/>
    </sheetView>
  </sheetViews>
  <sheetFormatPr defaultRowHeight="12.75" x14ac:dyDescent="0.2"/>
  <sheetData>
    <row r="1" spans="1:51" x14ac:dyDescent="0.2">
      <c r="A1" t="s">
        <v>0</v>
      </c>
    </row>
    <row r="2" spans="1:51" x14ac:dyDescent="0.2">
      <c r="A2" t="s">
        <v>1</v>
      </c>
    </row>
    <row r="3" spans="1:51" x14ac:dyDescent="0.2">
      <c r="A3" t="s">
        <v>2</v>
      </c>
    </row>
    <row r="4" spans="1:51" x14ac:dyDescent="0.2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</row>
    <row r="5" spans="1:51" x14ac:dyDescent="0.2">
      <c r="A5" t="s">
        <v>301</v>
      </c>
      <c r="B5" t="s">
        <v>3</v>
      </c>
      <c r="C5">
        <v>10.757598074230105</v>
      </c>
      <c r="D5">
        <v>41.677713870665727</v>
      </c>
      <c r="E5">
        <v>155.90531630065811</v>
      </c>
      <c r="F5">
        <v>78.254330258089979</v>
      </c>
      <c r="G5">
        <v>128.70892086080096</v>
      </c>
      <c r="H5">
        <v>126.87100543891628</v>
      </c>
      <c r="I5">
        <v>142.73853829331051</v>
      </c>
      <c r="J5">
        <v>160.02193714684523</v>
      </c>
      <c r="K5">
        <v>142.527639913017</v>
      </c>
      <c r="L5">
        <v>163.79709149806646</v>
      </c>
      <c r="M5">
        <v>157.1649691080689</v>
      </c>
      <c r="N5">
        <v>164.51103201425857</v>
      </c>
      <c r="O5">
        <v>165.43515625148819</v>
      </c>
      <c r="P5">
        <v>163.83314714700157</v>
      </c>
      <c r="Q5">
        <v>171.42732199576449</v>
      </c>
      <c r="R5">
        <v>172.4006490439958</v>
      </c>
      <c r="S5">
        <v>180.53733920898304</v>
      </c>
      <c r="T5">
        <v>185.0829941624464</v>
      </c>
      <c r="U5">
        <v>190.29058857513894</v>
      </c>
      <c r="V5">
        <v>195.36901014490314</v>
      </c>
      <c r="W5">
        <v>197.6232554817351</v>
      </c>
      <c r="X5">
        <v>200.79236650061307</v>
      </c>
      <c r="Y5">
        <v>202.00232061267963</v>
      </c>
      <c r="Z5">
        <v>203.98880402579957</v>
      </c>
      <c r="AA5">
        <v>205.95065499190963</v>
      </c>
      <c r="AB5">
        <v>208.03807354672068</v>
      </c>
      <c r="AC5">
        <v>210.78930925563688</v>
      </c>
      <c r="AD5">
        <v>213.27859143807723</v>
      </c>
      <c r="AE5">
        <v>216.12802690573938</v>
      </c>
      <c r="AF5">
        <v>218.6966910860944</v>
      </c>
      <c r="AG5">
        <v>221.14000259650078</v>
      </c>
      <c r="AH5">
        <v>223.4013417913701</v>
      </c>
      <c r="AI5">
        <v>225.33646517013693</v>
      </c>
      <c r="AJ5">
        <v>227.15254610084145</v>
      </c>
      <c r="AK5">
        <v>228.72232041381986</v>
      </c>
      <c r="AL5">
        <v>230.22573237283922</v>
      </c>
      <c r="AM5">
        <v>231.6743580036171</v>
      </c>
      <c r="AN5">
        <v>233.12309141952463</v>
      </c>
      <c r="AO5">
        <v>234.63049645515392</v>
      </c>
      <c r="AP5">
        <v>236.15080897381355</v>
      </c>
      <c r="AQ5">
        <v>237.69550040727279</v>
      </c>
      <c r="AR5">
        <v>239.19744729018799</v>
      </c>
      <c r="AS5">
        <v>240.63015813318475</v>
      </c>
      <c r="AT5">
        <v>241.96796097195454</v>
      </c>
      <c r="AU5">
        <v>243.196751276979</v>
      </c>
      <c r="AV5">
        <v>244.33667891132933</v>
      </c>
      <c r="AW5">
        <v>245.40005976441114</v>
      </c>
      <c r="AX5">
        <v>246.41720914584741</v>
      </c>
      <c r="AY5">
        <v>247.40587683700818</v>
      </c>
    </row>
    <row r="6" spans="1:51" x14ac:dyDescent="0.2">
      <c r="A6" t="s">
        <v>302</v>
      </c>
      <c r="B6" t="s">
        <v>3</v>
      </c>
      <c r="C6">
        <v>83.701453814738727</v>
      </c>
      <c r="D6">
        <v>-7.4467913875324392</v>
      </c>
      <c r="E6">
        <v>118.93449765269114</v>
      </c>
      <c r="F6">
        <v>10.683860620570393</v>
      </c>
      <c r="G6">
        <v>78.139765941066827</v>
      </c>
      <c r="H6">
        <v>154.76542524652416</v>
      </c>
      <c r="I6">
        <v>166.12768870844968</v>
      </c>
      <c r="J6">
        <v>209.39359375095788</v>
      </c>
      <c r="K6">
        <v>179.85534387159834</v>
      </c>
      <c r="L6">
        <v>210.60242037703415</v>
      </c>
      <c r="M6">
        <v>213.34909839709729</v>
      </c>
      <c r="N6">
        <v>214.67273668306547</v>
      </c>
      <c r="O6">
        <v>221.39513328145949</v>
      </c>
      <c r="P6">
        <v>215.82580978458373</v>
      </c>
      <c r="Q6">
        <v>230.28329394313232</v>
      </c>
      <c r="R6">
        <v>235.97421230071026</v>
      </c>
      <c r="S6">
        <v>249.27793909824547</v>
      </c>
      <c r="T6">
        <v>262.01890774588645</v>
      </c>
      <c r="U6">
        <v>272.53335402109445</v>
      </c>
      <c r="V6">
        <v>285.05466024880053</v>
      </c>
      <c r="W6">
        <v>291.64577048978697</v>
      </c>
      <c r="X6">
        <v>298.58980403768879</v>
      </c>
      <c r="Y6">
        <v>302.64658860833458</v>
      </c>
      <c r="Z6">
        <v>306.41079035207451</v>
      </c>
      <c r="AA6">
        <v>310.77585081582629</v>
      </c>
      <c r="AB6">
        <v>314.88046216728799</v>
      </c>
      <c r="AC6">
        <v>320.50381053418153</v>
      </c>
      <c r="AD6">
        <v>326.15371251764748</v>
      </c>
      <c r="AE6">
        <v>332.47458107507134</v>
      </c>
      <c r="AF6">
        <v>338.75002043567792</v>
      </c>
      <c r="AG6">
        <v>344.62668682561724</v>
      </c>
      <c r="AH6">
        <v>350.19527097559171</v>
      </c>
      <c r="AI6">
        <v>354.99097893208727</v>
      </c>
      <c r="AJ6">
        <v>359.34688153418216</v>
      </c>
      <c r="AK6">
        <v>363.15834584338381</v>
      </c>
      <c r="AL6">
        <v>366.67016257639762</v>
      </c>
      <c r="AM6">
        <v>370.07089552294798</v>
      </c>
      <c r="AN6">
        <v>373.43801736858723</v>
      </c>
      <c r="AO6">
        <v>376.94110519363528</v>
      </c>
      <c r="AP6">
        <v>380.51935741292232</v>
      </c>
      <c r="AQ6">
        <v>384.16899309993823</v>
      </c>
      <c r="AR6">
        <v>387.78270305191188</v>
      </c>
      <c r="AS6">
        <v>391.26206335811196</v>
      </c>
      <c r="AT6">
        <v>394.54909065021667</v>
      </c>
      <c r="AU6">
        <v>397.58879665114546</v>
      </c>
      <c r="AV6">
        <v>400.40337740417056</v>
      </c>
      <c r="AW6">
        <v>403.01974998346805</v>
      </c>
      <c r="AX6">
        <v>405.49575925926194</v>
      </c>
      <c r="AY6">
        <v>407.88555373449901</v>
      </c>
    </row>
    <row r="7" spans="1:51" x14ac:dyDescent="0.2">
      <c r="A7" t="s">
        <v>303</v>
      </c>
      <c r="B7" t="s">
        <v>3</v>
      </c>
      <c r="C7">
        <v>11.187861078915773</v>
      </c>
      <c r="D7">
        <v>365.01387186155466</v>
      </c>
      <c r="E7">
        <v>1094.5223645417718</v>
      </c>
      <c r="F7">
        <v>443.77264124553915</v>
      </c>
      <c r="G7">
        <v>854.98574626775314</v>
      </c>
      <c r="H7">
        <v>814.69902046176753</v>
      </c>
      <c r="I7">
        <v>986.21476245235829</v>
      </c>
      <c r="J7">
        <v>1079.9703430809459</v>
      </c>
      <c r="K7">
        <v>955.29797802912503</v>
      </c>
      <c r="L7">
        <v>1115.572921410575</v>
      </c>
      <c r="M7">
        <v>1055.6901249398695</v>
      </c>
      <c r="N7">
        <v>1111.8315217292429</v>
      </c>
      <c r="O7">
        <v>1093.7468133883945</v>
      </c>
      <c r="P7">
        <v>1072.9085297234717</v>
      </c>
      <c r="Q7">
        <v>1115.091384929558</v>
      </c>
      <c r="R7">
        <v>1114.4114229944635</v>
      </c>
      <c r="S7">
        <v>1173.4500771604744</v>
      </c>
      <c r="T7">
        <v>1204.2129055469418</v>
      </c>
      <c r="U7">
        <v>1246.1231865306543</v>
      </c>
      <c r="V7">
        <v>1282.91842282126</v>
      </c>
      <c r="W7">
        <v>1298.8107339449571</v>
      </c>
      <c r="X7">
        <v>1318.9215174441854</v>
      </c>
      <c r="Y7">
        <v>1322.4232397277869</v>
      </c>
      <c r="Z7">
        <v>1332.2682378591765</v>
      </c>
      <c r="AA7">
        <v>1341.1295963800148</v>
      </c>
      <c r="AB7">
        <v>1352.5171483184181</v>
      </c>
      <c r="AC7">
        <v>1369.338877600911</v>
      </c>
      <c r="AD7">
        <v>1385.2113623619211</v>
      </c>
      <c r="AE7">
        <v>1404.6123982334352</v>
      </c>
      <c r="AF7">
        <v>1422.1609753515395</v>
      </c>
      <c r="AG7">
        <v>1439.2822253998565</v>
      </c>
      <c r="AH7">
        <v>1454.9168578920567</v>
      </c>
      <c r="AI7">
        <v>1468.1114628631549</v>
      </c>
      <c r="AJ7">
        <v>1480.1672602197561</v>
      </c>
      <c r="AK7">
        <v>1490.0918090316411</v>
      </c>
      <c r="AL7">
        <v>1499.3693927822037</v>
      </c>
      <c r="AM7">
        <v>1508.1063897663973</v>
      </c>
      <c r="AN7">
        <v>1516.9752029742056</v>
      </c>
      <c r="AO7">
        <v>1526.4873944113397</v>
      </c>
      <c r="AP7">
        <v>1536.406409542451</v>
      </c>
      <c r="AQ7">
        <v>1546.8160050242805</v>
      </c>
      <c r="AR7">
        <v>1557.1247699180115</v>
      </c>
      <c r="AS7">
        <v>1567.055094669154</v>
      </c>
      <c r="AT7">
        <v>1576.2897272840128</v>
      </c>
      <c r="AU7">
        <v>1584.6666522810492</v>
      </c>
      <c r="AV7">
        <v>1592.3016574345477</v>
      </c>
      <c r="AW7">
        <v>1599.2976762359399</v>
      </c>
      <c r="AX7">
        <v>1605.9224599350107</v>
      </c>
      <c r="AY7">
        <v>1612.3478235870396</v>
      </c>
    </row>
    <row r="8" spans="1:51" x14ac:dyDescent="0.2">
      <c r="A8" t="s">
        <v>304</v>
      </c>
      <c r="B8" t="s">
        <v>3</v>
      </c>
      <c r="C8">
        <v>196.72386237440008</v>
      </c>
      <c r="D8">
        <v>250.8505383960275</v>
      </c>
      <c r="E8">
        <v>552.06317562016193</v>
      </c>
      <c r="F8">
        <v>180.13050146902418</v>
      </c>
      <c r="G8">
        <v>522.0014655523828</v>
      </c>
      <c r="H8">
        <v>537.68821339558485</v>
      </c>
      <c r="I8">
        <v>643.39478099121038</v>
      </c>
      <c r="J8">
        <v>729.20896597464991</v>
      </c>
      <c r="K8">
        <v>674.14924112261428</v>
      </c>
      <c r="L8">
        <v>765.95429858486079</v>
      </c>
      <c r="M8">
        <v>713.65472649295293</v>
      </c>
      <c r="N8">
        <v>726.01571572229807</v>
      </c>
      <c r="O8">
        <v>703.34357231164768</v>
      </c>
      <c r="P8">
        <v>683.45758677260483</v>
      </c>
      <c r="Q8">
        <v>707.83270411829858</v>
      </c>
      <c r="R8">
        <v>710.3585538008906</v>
      </c>
      <c r="S8">
        <v>751.73507916861513</v>
      </c>
      <c r="T8">
        <v>778.73292553015551</v>
      </c>
      <c r="U8">
        <v>811.12058558950673</v>
      </c>
      <c r="V8">
        <v>838.75720726422742</v>
      </c>
      <c r="W8">
        <v>850.65680817034604</v>
      </c>
      <c r="X8">
        <v>862.2949478678031</v>
      </c>
      <c r="Y8">
        <v>861.85511419926536</v>
      </c>
      <c r="Z8">
        <v>863.76235868581375</v>
      </c>
      <c r="AA8">
        <v>865.17777160973344</v>
      </c>
      <c r="AB8">
        <v>869.02330288024177</v>
      </c>
      <c r="AC8">
        <v>877.89473071444172</v>
      </c>
      <c r="AD8">
        <v>887.94306976701637</v>
      </c>
      <c r="AE8">
        <v>901.38738441621683</v>
      </c>
      <c r="AF8">
        <v>914.36032432255013</v>
      </c>
      <c r="AG8">
        <v>926.91061973565411</v>
      </c>
      <c r="AH8">
        <v>937.9271764958753</v>
      </c>
      <c r="AI8">
        <v>946.54035660723821</v>
      </c>
      <c r="AJ8">
        <v>953.58843348258927</v>
      </c>
      <c r="AK8">
        <v>958.7411769435962</v>
      </c>
      <c r="AL8">
        <v>963.22982726399573</v>
      </c>
      <c r="AM8">
        <v>967.47487186414048</v>
      </c>
      <c r="AN8">
        <v>972.10540582095155</v>
      </c>
      <c r="AO8">
        <v>977.55014620150473</v>
      </c>
      <c r="AP8">
        <v>983.65152935336312</v>
      </c>
      <c r="AQ8">
        <v>990.35250523612262</v>
      </c>
      <c r="AR8">
        <v>997.14540807628555</v>
      </c>
      <c r="AS8">
        <v>1003.697698108562</v>
      </c>
      <c r="AT8">
        <v>1009.6934881729114</v>
      </c>
      <c r="AU8">
        <v>1014.9606996378968</v>
      </c>
      <c r="AV8">
        <v>1019.560582741939</v>
      </c>
      <c r="AW8">
        <v>1023.6014043918774</v>
      </c>
      <c r="AX8">
        <v>1027.3240120143198</v>
      </c>
      <c r="AY8">
        <v>1030.9224107117868</v>
      </c>
    </row>
    <row r="9" spans="1:51" x14ac:dyDescent="0.2">
      <c r="A9" t="s">
        <v>305</v>
      </c>
      <c r="B9" t="s">
        <v>3</v>
      </c>
      <c r="C9">
        <v>-4.8582378167493587</v>
      </c>
      <c r="D9">
        <v>163.20371192317023</v>
      </c>
      <c r="E9">
        <v>436.59329984103823</v>
      </c>
      <c r="F9">
        <v>183.45493689833592</v>
      </c>
      <c r="G9">
        <v>309.57824275361071</v>
      </c>
      <c r="H9">
        <v>288.05722909770424</v>
      </c>
      <c r="I9">
        <v>366.43399267958108</v>
      </c>
      <c r="J9">
        <v>402.19666116380705</v>
      </c>
      <c r="K9">
        <v>359.26518755928248</v>
      </c>
      <c r="L9">
        <v>420.03768918319656</v>
      </c>
      <c r="M9">
        <v>405.3518764073599</v>
      </c>
      <c r="N9">
        <v>433.94347093673809</v>
      </c>
      <c r="O9">
        <v>430.32025132041127</v>
      </c>
      <c r="P9">
        <v>426.93954225946266</v>
      </c>
      <c r="Q9">
        <v>445.17280326301773</v>
      </c>
      <c r="R9">
        <v>447.56787214801875</v>
      </c>
      <c r="S9">
        <v>469.89431289041994</v>
      </c>
      <c r="T9">
        <v>480.64192254416611</v>
      </c>
      <c r="U9">
        <v>496.56543365017092</v>
      </c>
      <c r="V9">
        <v>511.43153081997178</v>
      </c>
      <c r="W9">
        <v>520.17495547584201</v>
      </c>
      <c r="X9">
        <v>530.96427480148452</v>
      </c>
      <c r="Y9">
        <v>535.90352083534935</v>
      </c>
      <c r="Z9">
        <v>542.98478966866696</v>
      </c>
      <c r="AA9">
        <v>548.97497536203798</v>
      </c>
      <c r="AB9">
        <v>555.26874180516302</v>
      </c>
      <c r="AC9">
        <v>562.88188638401311</v>
      </c>
      <c r="AD9">
        <v>569.8878756099615</v>
      </c>
      <c r="AE9">
        <v>578.13465490742988</v>
      </c>
      <c r="AF9">
        <v>585.78820983418109</v>
      </c>
      <c r="AG9">
        <v>593.4645150010482</v>
      </c>
      <c r="AH9">
        <v>600.71535087621919</v>
      </c>
      <c r="AI9">
        <v>607.1983462141061</v>
      </c>
      <c r="AJ9">
        <v>613.30713426299167</v>
      </c>
      <c r="AK9">
        <v>618.62929730916198</v>
      </c>
      <c r="AL9">
        <v>623.65516000175728</v>
      </c>
      <c r="AM9">
        <v>628.3671436063081</v>
      </c>
      <c r="AN9">
        <v>632.99197148228473</v>
      </c>
      <c r="AO9">
        <v>637.69687799181429</v>
      </c>
      <c r="AP9">
        <v>642.41830396582372</v>
      </c>
      <c r="AQ9">
        <v>647.22444322253466</v>
      </c>
      <c r="AR9">
        <v>651.94882832429687</v>
      </c>
      <c r="AS9">
        <v>656.53743289746853</v>
      </c>
      <c r="AT9">
        <v>660.89816278349588</v>
      </c>
      <c r="AU9">
        <v>664.97739390261586</v>
      </c>
      <c r="AV9">
        <v>668.79937074954955</v>
      </c>
      <c r="AW9">
        <v>672.37468197058502</v>
      </c>
      <c r="AX9">
        <v>675.7737663736084</v>
      </c>
      <c r="AY9">
        <v>679.03962912239308</v>
      </c>
    </row>
    <row r="12" spans="1:51" x14ac:dyDescent="0.2">
      <c r="C12">
        <v>0</v>
      </c>
      <c r="D12">
        <v>1</v>
      </c>
      <c r="E12">
        <v>2</v>
      </c>
      <c r="F12">
        <v>3</v>
      </c>
      <c r="G12">
        <v>4</v>
      </c>
      <c r="H12">
        <v>5</v>
      </c>
      <c r="I12">
        <v>6</v>
      </c>
      <c r="J12">
        <v>7</v>
      </c>
      <c r="K12">
        <v>8</v>
      </c>
      <c r="L12">
        <v>9</v>
      </c>
      <c r="M12">
        <v>10</v>
      </c>
      <c r="N12">
        <v>11</v>
      </c>
      <c r="O12">
        <v>12</v>
      </c>
      <c r="P12">
        <v>13</v>
      </c>
      <c r="Q12">
        <v>14</v>
      </c>
      <c r="R12">
        <v>15</v>
      </c>
      <c r="S12">
        <v>16</v>
      </c>
      <c r="T12">
        <v>17</v>
      </c>
      <c r="U12">
        <v>18</v>
      </c>
      <c r="V12">
        <v>19</v>
      </c>
      <c r="W12">
        <v>20</v>
      </c>
      <c r="X12">
        <v>21</v>
      </c>
      <c r="Y12">
        <v>22</v>
      </c>
      <c r="Z12">
        <v>23</v>
      </c>
      <c r="AA12">
        <v>24</v>
      </c>
      <c r="AB12">
        <v>25</v>
      </c>
      <c r="AC12">
        <v>26</v>
      </c>
      <c r="AD12">
        <v>27</v>
      </c>
      <c r="AE12">
        <v>28</v>
      </c>
      <c r="AF12">
        <v>29</v>
      </c>
      <c r="AG12">
        <v>30</v>
      </c>
      <c r="AH12">
        <v>31</v>
      </c>
      <c r="AI12">
        <v>32</v>
      </c>
      <c r="AJ12">
        <v>33</v>
      </c>
      <c r="AK12">
        <v>34</v>
      </c>
      <c r="AL12">
        <v>35</v>
      </c>
      <c r="AM12">
        <v>36</v>
      </c>
      <c r="AN12">
        <v>37</v>
      </c>
      <c r="AO12">
        <v>38</v>
      </c>
      <c r="AP12">
        <v>39</v>
      </c>
      <c r="AQ12">
        <v>40</v>
      </c>
      <c r="AR12">
        <v>41</v>
      </c>
      <c r="AS12">
        <v>42</v>
      </c>
      <c r="AT12">
        <v>43</v>
      </c>
      <c r="AU12">
        <v>44</v>
      </c>
      <c r="AV12">
        <v>45</v>
      </c>
      <c r="AW12">
        <v>46</v>
      </c>
      <c r="AX12">
        <v>47</v>
      </c>
      <c r="AY12">
        <v>48</v>
      </c>
    </row>
    <row r="13" spans="1:51" x14ac:dyDescent="0.2">
      <c r="A13" t="s">
        <v>301</v>
      </c>
      <c r="B13" t="s">
        <v>4</v>
      </c>
      <c r="C13">
        <v>271.23439402745487</v>
      </c>
      <c r="D13">
        <v>213.02649200688853</v>
      </c>
      <c r="E13">
        <v>197.75608230193825</v>
      </c>
      <c r="F13">
        <v>182.92091126223318</v>
      </c>
      <c r="G13">
        <v>163.696981755438</v>
      </c>
      <c r="H13">
        <v>222.1314087595099</v>
      </c>
      <c r="I13">
        <v>204.28163879702868</v>
      </c>
      <c r="J13">
        <v>229.16164873585592</v>
      </c>
      <c r="K13">
        <v>228.90226076387771</v>
      </c>
      <c r="L13">
        <v>232.39553695899119</v>
      </c>
      <c r="M13">
        <v>238.51694715377923</v>
      </c>
      <c r="N13">
        <v>223.24859478889539</v>
      </c>
      <c r="O13">
        <v>221.68110468705908</v>
      </c>
      <c r="P13">
        <v>211.38629738825455</v>
      </c>
      <c r="Q13">
        <v>210.3841800046601</v>
      </c>
      <c r="R13">
        <v>211.31600303607343</v>
      </c>
      <c r="S13">
        <v>212.42604231147129</v>
      </c>
      <c r="T13">
        <v>218.41817178635981</v>
      </c>
      <c r="U13">
        <v>221.13553268094012</v>
      </c>
      <c r="V13">
        <v>225.43464755941102</v>
      </c>
      <c r="W13">
        <v>226.85492744765281</v>
      </c>
      <c r="X13">
        <v>226.94735791397181</v>
      </c>
      <c r="Y13">
        <v>226.37659781339454</v>
      </c>
      <c r="Z13">
        <v>224.36934278612878</v>
      </c>
      <c r="AA13">
        <v>223.02408566369746</v>
      </c>
      <c r="AB13">
        <v>221.40345698790219</v>
      </c>
      <c r="AC13">
        <v>220.66791703879369</v>
      </c>
      <c r="AD13">
        <v>220.57687663570013</v>
      </c>
      <c r="AE13">
        <v>220.98174083079792</v>
      </c>
      <c r="AF13">
        <v>221.96533937670608</v>
      </c>
      <c r="AG13">
        <v>222.88772411584523</v>
      </c>
      <c r="AH13">
        <v>223.79907440085725</v>
      </c>
      <c r="AI13">
        <v>224.31566504999572</v>
      </c>
      <c r="AJ13">
        <v>224.43793572871527</v>
      </c>
      <c r="AK13">
        <v>224.22119812609174</v>
      </c>
      <c r="AL13">
        <v>223.72264741290559</v>
      </c>
      <c r="AM13">
        <v>223.190416973933</v>
      </c>
      <c r="AN13">
        <v>222.70505889903532</v>
      </c>
      <c r="AO13">
        <v>222.4113141911435</v>
      </c>
      <c r="AP13">
        <v>222.32513591307227</v>
      </c>
      <c r="AQ13">
        <v>222.41401772350758</v>
      </c>
      <c r="AR13">
        <v>222.62459684587068</v>
      </c>
      <c r="AS13">
        <v>222.85442717495988</v>
      </c>
      <c r="AT13">
        <v>223.04667596368017</v>
      </c>
      <c r="AU13">
        <v>223.14474011128968</v>
      </c>
      <c r="AV13">
        <v>223.13792767871206</v>
      </c>
      <c r="AW13">
        <v>223.04115229267168</v>
      </c>
      <c r="AX13">
        <v>222.88359288608186</v>
      </c>
      <c r="AY13">
        <v>222.70968692921886</v>
      </c>
    </row>
    <row r="14" spans="1:51" x14ac:dyDescent="0.2">
      <c r="A14" t="s">
        <v>302</v>
      </c>
      <c r="B14" t="s">
        <v>4</v>
      </c>
      <c r="C14">
        <v>344.29536144065855</v>
      </c>
      <c r="D14">
        <v>368.35478668666974</v>
      </c>
      <c r="E14">
        <v>339.08970631008606</v>
      </c>
      <c r="F14">
        <v>361.99020374442193</v>
      </c>
      <c r="G14">
        <v>341.82884235333347</v>
      </c>
      <c r="H14">
        <v>403.57960940780208</v>
      </c>
      <c r="I14">
        <v>381.97108890755106</v>
      </c>
      <c r="J14">
        <v>398.95828689253187</v>
      </c>
      <c r="K14">
        <v>413.57475374399098</v>
      </c>
      <c r="L14">
        <v>421.30436503673207</v>
      </c>
      <c r="M14">
        <v>430.45034353323717</v>
      </c>
      <c r="N14">
        <v>409.56008038109229</v>
      </c>
      <c r="O14">
        <v>401.8538073978321</v>
      </c>
      <c r="P14">
        <v>390.14646402435619</v>
      </c>
      <c r="Q14">
        <v>386.04426592377445</v>
      </c>
      <c r="R14">
        <v>386.92899000588505</v>
      </c>
      <c r="S14">
        <v>387.43265619766464</v>
      </c>
      <c r="T14">
        <v>394.59366874059458</v>
      </c>
      <c r="U14">
        <v>399.06067733823164</v>
      </c>
      <c r="V14">
        <v>404.16800383966125</v>
      </c>
      <c r="W14">
        <v>406.37580845870957</v>
      </c>
      <c r="X14">
        <v>406.08982219517759</v>
      </c>
      <c r="Y14">
        <v>405.06001928161146</v>
      </c>
      <c r="Z14">
        <v>402.15107626450606</v>
      </c>
      <c r="AA14">
        <v>399.73007472278186</v>
      </c>
      <c r="AB14">
        <v>397.23519577796077</v>
      </c>
      <c r="AC14">
        <v>395.7260507118836</v>
      </c>
      <c r="AD14">
        <v>395.32845871901873</v>
      </c>
      <c r="AE14">
        <v>395.66665475868058</v>
      </c>
      <c r="AF14">
        <v>396.84965268068788</v>
      </c>
      <c r="AG14">
        <v>398.09588519177998</v>
      </c>
      <c r="AH14">
        <v>399.29115871667989</v>
      </c>
      <c r="AI14">
        <v>400.01349336493291</v>
      </c>
      <c r="AJ14">
        <v>400.14482971631378</v>
      </c>
      <c r="AK14">
        <v>399.79242259331238</v>
      </c>
      <c r="AL14">
        <v>399.03897560502639</v>
      </c>
      <c r="AM14">
        <v>398.20975306149347</v>
      </c>
      <c r="AN14">
        <v>397.46362526755217</v>
      </c>
      <c r="AO14">
        <v>396.97919494263431</v>
      </c>
      <c r="AP14">
        <v>396.80713125298251</v>
      </c>
      <c r="AQ14">
        <v>396.89633644015936</v>
      </c>
      <c r="AR14">
        <v>397.17156474837162</v>
      </c>
      <c r="AS14">
        <v>397.49342342877975</v>
      </c>
      <c r="AT14">
        <v>397.76942669812547</v>
      </c>
      <c r="AU14">
        <v>397.92263834085509</v>
      </c>
      <c r="AV14">
        <v>397.92832709201559</v>
      </c>
      <c r="AW14">
        <v>397.80578194814171</v>
      </c>
      <c r="AX14">
        <v>397.59428351620625</v>
      </c>
      <c r="AY14">
        <v>397.35475147361177</v>
      </c>
    </row>
    <row r="15" spans="1:51" x14ac:dyDescent="0.2">
      <c r="A15" t="s">
        <v>303</v>
      </c>
      <c r="B15" t="s">
        <v>4</v>
      </c>
      <c r="C15">
        <v>1525.760039292195</v>
      </c>
      <c r="D15">
        <v>1071.8634379376417</v>
      </c>
      <c r="E15">
        <v>963.67914087279996</v>
      </c>
      <c r="F15">
        <v>894.60828066205124</v>
      </c>
      <c r="G15">
        <v>920.59406187047853</v>
      </c>
      <c r="H15">
        <v>1319.2708531784253</v>
      </c>
      <c r="I15">
        <v>1281.3024743621813</v>
      </c>
      <c r="J15">
        <v>1490.5201121758137</v>
      </c>
      <c r="K15">
        <v>1528.62216063753</v>
      </c>
      <c r="L15">
        <v>1579.9098533994406</v>
      </c>
      <c r="M15">
        <v>1590.1794981441171</v>
      </c>
      <c r="N15">
        <v>1468.2350876397529</v>
      </c>
      <c r="O15">
        <v>1415.4712746591208</v>
      </c>
      <c r="P15">
        <v>1318.6185037126247</v>
      </c>
      <c r="Q15">
        <v>1292.0957887819197</v>
      </c>
      <c r="R15">
        <v>1287.7018051960717</v>
      </c>
      <c r="S15">
        <v>1304.5603389756925</v>
      </c>
      <c r="T15">
        <v>1357.2828550976283</v>
      </c>
      <c r="U15">
        <v>1395.3508688269003</v>
      </c>
      <c r="V15">
        <v>1438.8833084485373</v>
      </c>
      <c r="W15">
        <v>1457.2309830510508</v>
      </c>
      <c r="X15">
        <v>1460.6156973662162</v>
      </c>
      <c r="Y15">
        <v>1452.0805786693272</v>
      </c>
      <c r="Z15">
        <v>1431.5987627726263</v>
      </c>
      <c r="AA15">
        <v>1413.5180300980323</v>
      </c>
      <c r="AB15">
        <v>1395.4732511649145</v>
      </c>
      <c r="AC15">
        <v>1386.2085068290896</v>
      </c>
      <c r="AD15">
        <v>1384.4496023232418</v>
      </c>
      <c r="AE15">
        <v>1389.3848751535447</v>
      </c>
      <c r="AF15">
        <v>1399.936038422313</v>
      </c>
      <c r="AG15">
        <v>1411.132276725961</v>
      </c>
      <c r="AH15">
        <v>1421.7734429026054</v>
      </c>
      <c r="AI15">
        <v>1428.5227814271389</v>
      </c>
      <c r="AJ15">
        <v>1430.9950152078293</v>
      </c>
      <c r="AK15">
        <v>1429.4942254905789</v>
      </c>
      <c r="AL15">
        <v>1425.0133514810882</v>
      </c>
      <c r="AM15">
        <v>1419.7604365561501</v>
      </c>
      <c r="AN15">
        <v>1415.0315063067892</v>
      </c>
      <c r="AO15">
        <v>1412.2789073927656</v>
      </c>
      <c r="AP15">
        <v>1411.8386885306768</v>
      </c>
      <c r="AQ15">
        <v>1413.4766194088165</v>
      </c>
      <c r="AR15">
        <v>1416.534457851516</v>
      </c>
      <c r="AS15">
        <v>1419.9812262788541</v>
      </c>
      <c r="AT15">
        <v>1423.0564064671801</v>
      </c>
      <c r="AU15">
        <v>1425.1264043211356</v>
      </c>
      <c r="AV15">
        <v>1426.0076470446629</v>
      </c>
      <c r="AW15">
        <v>1425.8224979149618</v>
      </c>
      <c r="AX15">
        <v>1424.9089427510455</v>
      </c>
      <c r="AY15">
        <v>1423.7418118603994</v>
      </c>
    </row>
    <row r="16" spans="1:51" x14ac:dyDescent="0.2">
      <c r="A16" t="s">
        <v>304</v>
      </c>
      <c r="B16" t="s">
        <v>4</v>
      </c>
      <c r="C16">
        <v>1069.7306577156407</v>
      </c>
      <c r="D16">
        <v>578.76185292037326</v>
      </c>
      <c r="E16">
        <v>523.53416977321319</v>
      </c>
      <c r="F16">
        <v>539.64025197512603</v>
      </c>
      <c r="G16">
        <v>641.94184510152604</v>
      </c>
      <c r="H16">
        <v>960.35351974873186</v>
      </c>
      <c r="I16">
        <v>891.33523099919432</v>
      </c>
      <c r="J16">
        <v>1031.2965856784399</v>
      </c>
      <c r="K16">
        <v>1011.6008294081334</v>
      </c>
      <c r="L16">
        <v>1022.0790947624641</v>
      </c>
      <c r="M16">
        <v>1008.9583993865112</v>
      </c>
      <c r="N16">
        <v>913.46830205767969</v>
      </c>
      <c r="O16">
        <v>892.82383195309876</v>
      </c>
      <c r="P16">
        <v>839.23626932619675</v>
      </c>
      <c r="Q16">
        <v>845.5418706043672</v>
      </c>
      <c r="R16">
        <v>860.48366711813856</v>
      </c>
      <c r="S16">
        <v>885.99638279562078</v>
      </c>
      <c r="T16">
        <v>931.43246755570135</v>
      </c>
      <c r="U16">
        <v>957.76743811270501</v>
      </c>
      <c r="V16">
        <v>985.56071171114627</v>
      </c>
      <c r="W16">
        <v>991.32840702605949</v>
      </c>
      <c r="X16">
        <v>987.71989665293029</v>
      </c>
      <c r="Y16">
        <v>977.74363651135855</v>
      </c>
      <c r="Z16">
        <v>962.45516450159539</v>
      </c>
      <c r="AA16">
        <v>952.96520533580883</v>
      </c>
      <c r="AB16">
        <v>945.71031973409208</v>
      </c>
      <c r="AC16">
        <v>946.43459812276228</v>
      </c>
      <c r="AD16">
        <v>952.04772677372819</v>
      </c>
      <c r="AE16">
        <v>961.00530100429432</v>
      </c>
      <c r="AF16">
        <v>971.9222409276731</v>
      </c>
      <c r="AG16">
        <v>981.10534881144736</v>
      </c>
      <c r="AH16">
        <v>988.49153365158031</v>
      </c>
      <c r="AI16">
        <v>992.30295143923865</v>
      </c>
      <c r="AJ16">
        <v>993.21356443534614</v>
      </c>
      <c r="AK16">
        <v>991.97238917108609</v>
      </c>
      <c r="AL16">
        <v>989.55859440603945</v>
      </c>
      <c r="AM16">
        <v>987.54952251488544</v>
      </c>
      <c r="AN16">
        <v>986.54277004316282</v>
      </c>
      <c r="AO16">
        <v>987.23846486990396</v>
      </c>
      <c r="AP16">
        <v>989.46482935782035</v>
      </c>
      <c r="AQ16">
        <v>992.78207038359972</v>
      </c>
      <c r="AR16">
        <v>996.57599562806706</v>
      </c>
      <c r="AS16">
        <v>1000.1021433875802</v>
      </c>
      <c r="AT16">
        <v>1002.9495510857972</v>
      </c>
      <c r="AU16">
        <v>1004.8425112392074</v>
      </c>
      <c r="AV16">
        <v>1005.856267599877</v>
      </c>
      <c r="AW16">
        <v>1006.2360685383223</v>
      </c>
      <c r="AX16">
        <v>1006.3136816554719</v>
      </c>
      <c r="AY16">
        <v>1006.441367016467</v>
      </c>
    </row>
    <row r="17" spans="1:51" x14ac:dyDescent="0.2">
      <c r="A17" t="s">
        <v>305</v>
      </c>
      <c r="B17" t="s">
        <v>4</v>
      </c>
      <c r="C17">
        <v>642.77341819224125</v>
      </c>
      <c r="D17">
        <v>312.40477077301779</v>
      </c>
      <c r="E17">
        <v>210.77877163714734</v>
      </c>
      <c r="F17">
        <v>271.84705173914057</v>
      </c>
      <c r="G17">
        <v>238.05971684953533</v>
      </c>
      <c r="H17">
        <v>446.76463604382457</v>
      </c>
      <c r="I17">
        <v>389.54389568954275</v>
      </c>
      <c r="J17">
        <v>486.47288973075212</v>
      </c>
      <c r="K17">
        <v>514.46963619865005</v>
      </c>
      <c r="L17">
        <v>521.75051538745038</v>
      </c>
      <c r="M17">
        <v>541.63692257877176</v>
      </c>
      <c r="N17">
        <v>488.04391063400857</v>
      </c>
      <c r="O17">
        <v>488.3738429838769</v>
      </c>
      <c r="P17">
        <v>462.0432258612301</v>
      </c>
      <c r="Q17">
        <v>461.26511989808193</v>
      </c>
      <c r="R17">
        <v>470.98271896476524</v>
      </c>
      <c r="S17">
        <v>480.71447072397405</v>
      </c>
      <c r="T17">
        <v>509.95310901972368</v>
      </c>
      <c r="U17">
        <v>527.88025699160426</v>
      </c>
      <c r="V17">
        <v>549.76672045634359</v>
      </c>
      <c r="W17">
        <v>561.80364602883151</v>
      </c>
      <c r="X17">
        <v>567.37834571750295</v>
      </c>
      <c r="Y17">
        <v>570.14550594878961</v>
      </c>
      <c r="Z17">
        <v>566.84502726458436</v>
      </c>
      <c r="AA17">
        <v>565.60920823659205</v>
      </c>
      <c r="AB17">
        <v>563.97583108613026</v>
      </c>
      <c r="AC17">
        <v>565.80896390279463</v>
      </c>
      <c r="AD17">
        <v>570.60171302308663</v>
      </c>
      <c r="AE17">
        <v>577.23601837741307</v>
      </c>
      <c r="AF17">
        <v>585.90122856349797</v>
      </c>
      <c r="AG17">
        <v>594.099704325164</v>
      </c>
      <c r="AH17">
        <v>601.82754680689322</v>
      </c>
      <c r="AI17">
        <v>607.82400323893023</v>
      </c>
      <c r="AJ17">
        <v>612.05596232697383</v>
      </c>
      <c r="AK17">
        <v>614.89234659383885</v>
      </c>
      <c r="AL17">
        <v>616.58461225773317</v>
      </c>
      <c r="AM17">
        <v>618.07553086288362</v>
      </c>
      <c r="AN17">
        <v>619.7024946120689</v>
      </c>
      <c r="AO17">
        <v>621.97316511075769</v>
      </c>
      <c r="AP17">
        <v>624.97205136668003</v>
      </c>
      <c r="AQ17">
        <v>628.55459320016382</v>
      </c>
      <c r="AR17">
        <v>632.51253052651168</v>
      </c>
      <c r="AS17">
        <v>636.44586752453165</v>
      </c>
      <c r="AT17">
        <v>640.11494912022431</v>
      </c>
      <c r="AU17">
        <v>643.30186201763331</v>
      </c>
      <c r="AV17">
        <v>645.95842192505972</v>
      </c>
      <c r="AW17">
        <v>648.1552574140087</v>
      </c>
      <c r="AX17">
        <v>650.02106678509256</v>
      </c>
      <c r="AY17">
        <v>651.74449795468809</v>
      </c>
    </row>
    <row r="19" spans="1:51" x14ac:dyDescent="0.2">
      <c r="C19">
        <v>0</v>
      </c>
      <c r="D19">
        <v>1</v>
      </c>
      <c r="E19">
        <v>2</v>
      </c>
      <c r="F19">
        <v>3</v>
      </c>
      <c r="G19">
        <v>4</v>
      </c>
      <c r="H19">
        <v>5</v>
      </c>
      <c r="I19">
        <v>6</v>
      </c>
      <c r="J19">
        <v>7</v>
      </c>
      <c r="K19">
        <v>8</v>
      </c>
      <c r="L19">
        <v>9</v>
      </c>
      <c r="M19">
        <v>10</v>
      </c>
      <c r="N19">
        <v>11</v>
      </c>
      <c r="O19">
        <v>12</v>
      </c>
      <c r="P19">
        <v>13</v>
      </c>
      <c r="Q19">
        <v>14</v>
      </c>
      <c r="R19">
        <v>15</v>
      </c>
      <c r="S19">
        <v>16</v>
      </c>
      <c r="T19">
        <v>17</v>
      </c>
      <c r="U19">
        <v>18</v>
      </c>
      <c r="V19">
        <v>19</v>
      </c>
      <c r="W19">
        <v>20</v>
      </c>
      <c r="X19">
        <v>21</v>
      </c>
      <c r="Y19">
        <v>22</v>
      </c>
      <c r="Z19">
        <v>23</v>
      </c>
      <c r="AA19">
        <v>24</v>
      </c>
      <c r="AB19">
        <v>25</v>
      </c>
      <c r="AC19">
        <v>26</v>
      </c>
      <c r="AD19">
        <v>27</v>
      </c>
      <c r="AE19">
        <v>28</v>
      </c>
      <c r="AF19">
        <v>29</v>
      </c>
      <c r="AG19">
        <v>30</v>
      </c>
      <c r="AH19">
        <v>31</v>
      </c>
      <c r="AI19">
        <v>32</v>
      </c>
      <c r="AJ19">
        <v>33</v>
      </c>
      <c r="AK19">
        <v>34</v>
      </c>
      <c r="AL19">
        <v>35</v>
      </c>
      <c r="AM19">
        <v>36</v>
      </c>
      <c r="AN19">
        <v>37</v>
      </c>
      <c r="AO19">
        <v>38</v>
      </c>
      <c r="AP19">
        <v>39</v>
      </c>
      <c r="AQ19">
        <v>40</v>
      </c>
      <c r="AR19">
        <v>41</v>
      </c>
      <c r="AS19">
        <v>42</v>
      </c>
      <c r="AT19">
        <v>43</v>
      </c>
      <c r="AU19">
        <v>44</v>
      </c>
      <c r="AV19">
        <v>45</v>
      </c>
      <c r="AW19">
        <v>46</v>
      </c>
      <c r="AX19">
        <v>47</v>
      </c>
      <c r="AY19">
        <v>48</v>
      </c>
    </row>
    <row r="20" spans="1:51" x14ac:dyDescent="0.2">
      <c r="A20" t="s">
        <v>5</v>
      </c>
      <c r="B20" t="s">
        <v>6</v>
      </c>
      <c r="C20">
        <v>4.980393002018782E-2</v>
      </c>
      <c r="D20">
        <v>4.3801491041817228E-2</v>
      </c>
      <c r="E20">
        <v>5.5602693185374613E-2</v>
      </c>
      <c r="F20">
        <v>3.2137477364900836E-2</v>
      </c>
      <c r="G20">
        <v>3.5616477587850498E-2</v>
      </c>
      <c r="H20">
        <v>3.930816678517797E-2</v>
      </c>
      <c r="I20">
        <v>3.3749086145790808E-2</v>
      </c>
      <c r="J20">
        <v>3.7112628351568963E-2</v>
      </c>
      <c r="K20">
        <v>3.2148759723826706E-2</v>
      </c>
      <c r="L20">
        <v>3.5888024550590522E-2</v>
      </c>
      <c r="M20">
        <v>3.5103620511878965E-2</v>
      </c>
      <c r="N20">
        <v>3.3942348769995259E-2</v>
      </c>
      <c r="O20">
        <v>3.3829779210029033E-2</v>
      </c>
      <c r="P20">
        <v>3.1546213853065046E-2</v>
      </c>
      <c r="Q20">
        <v>3.175286792903774E-2</v>
      </c>
      <c r="R20">
        <v>3.0307806686752155E-2</v>
      </c>
      <c r="S20">
        <v>2.9762645432392265E-2</v>
      </c>
      <c r="T20">
        <v>2.9175242766906868E-2</v>
      </c>
      <c r="U20">
        <v>2.8396834938798091E-2</v>
      </c>
      <c r="V20">
        <v>2.8256296209779225E-2</v>
      </c>
      <c r="W20">
        <v>2.7638506934933207E-2</v>
      </c>
      <c r="X20">
        <v>2.7430408339906402E-2</v>
      </c>
      <c r="Y20">
        <v>2.7034245301736079E-2</v>
      </c>
      <c r="Z20">
        <v>2.6647408752853045E-2</v>
      </c>
      <c r="AA20">
        <v>2.6285589498518516E-2</v>
      </c>
      <c r="AB20">
        <v>2.5744066222928526E-2</v>
      </c>
      <c r="AC20">
        <v>2.5291613721762182E-2</v>
      </c>
      <c r="AD20">
        <v>2.4757974144603515E-2</v>
      </c>
      <c r="AE20">
        <v>2.4305990473325649E-2</v>
      </c>
      <c r="AF20">
        <v>2.3902175162050131E-2</v>
      </c>
      <c r="AG20">
        <v>2.3537362680054484E-2</v>
      </c>
      <c r="AH20">
        <v>2.3247047388295489E-2</v>
      </c>
      <c r="AI20">
        <v>2.2957002519908232E-2</v>
      </c>
      <c r="AJ20">
        <v>2.2695661018350702E-2</v>
      </c>
      <c r="AK20">
        <v>2.2420153176822947E-2</v>
      </c>
      <c r="AL20">
        <v>2.2136652210540571E-2</v>
      </c>
      <c r="AM20">
        <v>2.1849504145013837E-2</v>
      </c>
      <c r="AN20">
        <v>2.1553497377017523E-2</v>
      </c>
      <c r="AO20">
        <v>2.1268084857494131E-2</v>
      </c>
      <c r="AP20">
        <v>2.0988515916603074E-2</v>
      </c>
      <c r="AQ20">
        <v>2.0725801047201637E-2</v>
      </c>
      <c r="AR20">
        <v>2.0479581100778001E-2</v>
      </c>
      <c r="AS20">
        <v>2.0249269457592176E-2</v>
      </c>
      <c r="AT20">
        <v>2.0035664212653893E-2</v>
      </c>
      <c r="AU20">
        <v>1.983291830068595E-2</v>
      </c>
      <c r="AV20">
        <v>1.9639971635698788E-2</v>
      </c>
      <c r="AW20">
        <v>1.9451979950589313E-2</v>
      </c>
      <c r="AX20">
        <v>1.9267084276632439E-2</v>
      </c>
      <c r="AY20">
        <v>1.9084387841427658E-2</v>
      </c>
    </row>
    <row r="22" spans="1:51" x14ac:dyDescent="0.2">
      <c r="B22" t="s">
        <v>309</v>
      </c>
      <c r="C22">
        <f>SUMIF(C19:AY19,A24,C20:AY20)/K30</f>
        <v>5.0270354487713057E-3</v>
      </c>
    </row>
    <row r="24" spans="1:51" ht="15" x14ac:dyDescent="0.25">
      <c r="A24" s="4">
        <v>36</v>
      </c>
      <c r="C24" t="s">
        <v>4</v>
      </c>
      <c r="D24" t="s">
        <v>3</v>
      </c>
      <c r="E24" t="s">
        <v>310</v>
      </c>
    </row>
    <row r="25" spans="1:51" x14ac:dyDescent="0.2">
      <c r="B25" t="s">
        <v>301</v>
      </c>
      <c r="C25">
        <f>SUMIF($C$12:$AY$12,$A$24,C13:AY13)</f>
        <v>223.190416973933</v>
      </c>
      <c r="D25">
        <f>SUMIF($C$4:$AY$4,$A$24,C5:AY5)</f>
        <v>231.6743580036171</v>
      </c>
      <c r="E25">
        <f>C25-D25</f>
        <v>-8.4839410296841038</v>
      </c>
    </row>
    <row r="26" spans="1:51" x14ac:dyDescent="0.2">
      <c r="B26" t="s">
        <v>302</v>
      </c>
      <c r="C26">
        <f>SUMIF($C$12:$AY$12,$A$24,C14:AY14)</f>
        <v>398.20975306149347</v>
      </c>
      <c r="D26">
        <f>SUMIF($C$4:$AY$4,$A$24,C6:AY6)</f>
        <v>370.07089552294798</v>
      </c>
      <c r="E26">
        <f t="shared" ref="E26:E29" si="0">C26-D26</f>
        <v>28.138857538545494</v>
      </c>
    </row>
    <row r="27" spans="1:51" x14ac:dyDescent="0.2">
      <c r="B27" t="s">
        <v>303</v>
      </c>
      <c r="C27">
        <f>SUMIF($C$12:$AY$12,$A$24,C15:AY15)</f>
        <v>1419.7604365561501</v>
      </c>
      <c r="D27">
        <f>SUMIF($C$4:$AY$4,$A$24,C7:AY7)</f>
        <v>1508.1063897663973</v>
      </c>
      <c r="E27">
        <f t="shared" si="0"/>
        <v>-88.345953210247217</v>
      </c>
    </row>
    <row r="28" spans="1:51" x14ac:dyDescent="0.2">
      <c r="B28" t="s">
        <v>304</v>
      </c>
      <c r="C28">
        <f>SUMIF($C$12:$AY$12,$A$24,C16:AY16)</f>
        <v>987.54952251488544</v>
      </c>
      <c r="D28">
        <f>SUMIF($C$4:$AY$4,$A$24,C8:AY8)</f>
        <v>967.47487186414048</v>
      </c>
      <c r="E28">
        <f t="shared" si="0"/>
        <v>20.074650650744957</v>
      </c>
    </row>
    <row r="29" spans="1:51" x14ac:dyDescent="0.2">
      <c r="B29" t="s">
        <v>305</v>
      </c>
      <c r="C29">
        <f>SUMIF($C$12:$AY$12,$A$24,C17:AY17)</f>
        <v>618.07553086288362</v>
      </c>
      <c r="D29">
        <f>SUMIF($C$4:$AY$4,$A$24,C9:AY9)</f>
        <v>628.3671436063081</v>
      </c>
      <c r="E29">
        <f t="shared" si="0"/>
        <v>-10.29161274342448</v>
      </c>
    </row>
    <row r="30" spans="1:51" x14ac:dyDescent="0.2">
      <c r="J30" t="s">
        <v>311</v>
      </c>
      <c r="K30">
        <v>4.3463994570307305</v>
      </c>
    </row>
    <row r="31" spans="1:51" x14ac:dyDescent="0.2">
      <c r="E31">
        <f>SUM(E25:E29)</f>
        <v>-58.90799879406535</v>
      </c>
    </row>
    <row r="33" spans="2:15" x14ac:dyDescent="0.2">
      <c r="B33" t="s">
        <v>301</v>
      </c>
      <c r="C33">
        <f>C25/K34</f>
        <v>6.3311042173413044E-3</v>
      </c>
      <c r="D33">
        <f>D25/K35</f>
        <v>4.1339416509692216E-3</v>
      </c>
      <c r="K33" t="s">
        <v>301</v>
      </c>
      <c r="L33" t="s">
        <v>302</v>
      </c>
      <c r="M33" t="s">
        <v>303</v>
      </c>
      <c r="N33" t="s">
        <v>304</v>
      </c>
      <c r="O33" t="s">
        <v>305</v>
      </c>
    </row>
    <row r="34" spans="2:15" x14ac:dyDescent="0.2">
      <c r="B34" t="s">
        <v>302</v>
      </c>
      <c r="C34">
        <f>C26/L34</f>
        <v>3.2462928037230647E-3</v>
      </c>
      <c r="D34">
        <f>D26/L35</f>
        <v>2.0666616156128598E-3</v>
      </c>
      <c r="J34" t="s">
        <v>307</v>
      </c>
      <c r="K34">
        <f>'Adm e Desl Grandes Regioes'!B158</f>
        <v>35253</v>
      </c>
      <c r="L34">
        <f>'Adm e Desl Grandes Regioes'!C158</f>
        <v>122666</v>
      </c>
      <c r="M34">
        <f>'Adm e Desl Grandes Regioes'!D158</f>
        <v>454540</v>
      </c>
      <c r="N34">
        <f>'Adm e Desl Grandes Regioes'!E158</f>
        <v>177890</v>
      </c>
      <c r="O34">
        <f>'Adm e Desl Grandes Regioes'!F158</f>
        <v>79090</v>
      </c>
    </row>
    <row r="35" spans="2:15" x14ac:dyDescent="0.2">
      <c r="B35" t="s">
        <v>303</v>
      </c>
      <c r="C35">
        <f>C27/M34</f>
        <v>3.1235104425488408E-3</v>
      </c>
      <c r="D35">
        <f>D27/M35</f>
        <v>2.1153372024344261E-3</v>
      </c>
      <c r="J35" t="s">
        <v>308</v>
      </c>
      <c r="K35">
        <f>'Adm e Desl Grandes Regioes'!K158</f>
        <v>56042</v>
      </c>
      <c r="L35">
        <f>'Adm e Desl Grandes Regioes'!L158</f>
        <v>179067</v>
      </c>
      <c r="M35">
        <f>'Adm e Desl Grandes Regioes'!M158</f>
        <v>712939</v>
      </c>
      <c r="N35">
        <f>'Adm e Desl Grandes Regioes'!N158</f>
        <v>263419</v>
      </c>
      <c r="O35">
        <f>'Adm e Desl Grandes Regioes'!O158</f>
        <v>120338</v>
      </c>
    </row>
    <row r="36" spans="2:15" x14ac:dyDescent="0.2">
      <c r="B36" t="s">
        <v>304</v>
      </c>
      <c r="C36">
        <f>C28/N34</f>
        <v>5.5514617039456151E-3</v>
      </c>
      <c r="D36">
        <f>D28/N35</f>
        <v>3.6727604002146407E-3</v>
      </c>
    </row>
    <row r="37" spans="2:15" x14ac:dyDescent="0.2">
      <c r="B37" t="s">
        <v>305</v>
      </c>
      <c r="C37">
        <f>C29/O34</f>
        <v>7.8148379170929778E-3</v>
      </c>
      <c r="D37">
        <f>D29/O35</f>
        <v>5.2216851169730938E-3</v>
      </c>
    </row>
    <row r="39" spans="2:15" x14ac:dyDescent="0.2">
      <c r="B39" t="s">
        <v>301</v>
      </c>
      <c r="C39" s="2">
        <f>C33/$C$22</f>
        <v>1.2594110946420192</v>
      </c>
      <c r="D39" s="2">
        <f>D33/$C$22</f>
        <v>0.82234185398068527</v>
      </c>
    </row>
    <row r="40" spans="2:15" x14ac:dyDescent="0.2">
      <c r="B40" t="s">
        <v>302</v>
      </c>
      <c r="C40" s="2">
        <f>C34/$C$22</f>
        <v>0.64576684147244567</v>
      </c>
      <c r="D40" s="2">
        <f>D34/$C$22</f>
        <v>0.41110941760277175</v>
      </c>
    </row>
    <row r="41" spans="2:15" x14ac:dyDescent="0.2">
      <c r="B41" t="s">
        <v>303</v>
      </c>
      <c r="C41" s="2">
        <f>C35/$C$22</f>
        <v>0.62134243419991808</v>
      </c>
      <c r="D41" s="2">
        <f>D35/$C$22</f>
        <v>0.42079217940495151</v>
      </c>
    </row>
    <row r="42" spans="2:15" x14ac:dyDescent="0.2">
      <c r="B42" t="s">
        <v>304</v>
      </c>
      <c r="C42" s="2">
        <f>C36/$C$22</f>
        <v>1.1043211770671895</v>
      </c>
      <c r="D42" s="2">
        <f>D36/$C$22</f>
        <v>0.73060165133952393</v>
      </c>
    </row>
    <row r="43" spans="2:15" x14ac:dyDescent="0.2">
      <c r="B43" t="s">
        <v>305</v>
      </c>
      <c r="C43" s="2">
        <f>C37/$C$22</f>
        <v>1.5545619275477875</v>
      </c>
      <c r="D43" s="2">
        <f>D37/$C$22</f>
        <v>1.0387205680535561</v>
      </c>
    </row>
  </sheetData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8"/>
  <sheetViews>
    <sheetView workbookViewId="0">
      <selection activeCell="N1" sqref="N1"/>
    </sheetView>
  </sheetViews>
  <sheetFormatPr defaultRowHeight="12.75" x14ac:dyDescent="0.2"/>
  <cols>
    <col min="10" max="10" width="13.28515625" bestFit="1" customWidth="1"/>
  </cols>
  <sheetData>
    <row r="1" spans="1:17" x14ac:dyDescent="0.2">
      <c r="B1" t="s">
        <v>307</v>
      </c>
      <c r="C1" t="s">
        <v>307</v>
      </c>
      <c r="D1" t="s">
        <v>307</v>
      </c>
      <c r="E1" t="s">
        <v>307</v>
      </c>
      <c r="F1" t="s">
        <v>307</v>
      </c>
      <c r="K1" t="s">
        <v>308</v>
      </c>
      <c r="L1" t="s">
        <v>308</v>
      </c>
      <c r="M1" t="s">
        <v>308</v>
      </c>
      <c r="N1" t="s">
        <v>308</v>
      </c>
      <c r="O1" t="s">
        <v>308</v>
      </c>
    </row>
    <row r="2" spans="1:17" ht="15" x14ac:dyDescent="0.25">
      <c r="A2" s="1" t="s">
        <v>300</v>
      </c>
      <c r="B2" s="1" t="s">
        <v>301</v>
      </c>
      <c r="C2" s="1" t="s">
        <v>302</v>
      </c>
      <c r="D2" s="1" t="s">
        <v>303</v>
      </c>
      <c r="E2" s="1" t="s">
        <v>304</v>
      </c>
      <c r="F2" s="1" t="s">
        <v>305</v>
      </c>
      <c r="H2" s="3" t="s">
        <v>306</v>
      </c>
      <c r="K2" s="1" t="s">
        <v>301</v>
      </c>
      <c r="L2" s="1" t="s">
        <v>302</v>
      </c>
      <c r="M2" s="1" t="s">
        <v>303</v>
      </c>
      <c r="N2" s="1" t="s">
        <v>304</v>
      </c>
      <c r="O2" s="1" t="s">
        <v>305</v>
      </c>
      <c r="Q2" s="3" t="s">
        <v>306</v>
      </c>
    </row>
    <row r="3" spans="1:17" ht="15" x14ac:dyDescent="0.25">
      <c r="A3" s="1" t="s">
        <v>162</v>
      </c>
      <c r="B3">
        <v>33812</v>
      </c>
      <c r="C3">
        <v>103186</v>
      </c>
      <c r="D3">
        <v>447161</v>
      </c>
      <c r="E3">
        <v>191862</v>
      </c>
      <c r="F3">
        <v>74177</v>
      </c>
      <c r="H3">
        <f>SUM(B3:F3)</f>
        <v>850198</v>
      </c>
      <c r="K3">
        <v>30472</v>
      </c>
      <c r="L3">
        <v>105354</v>
      </c>
      <c r="M3">
        <v>397221</v>
      </c>
      <c r="N3">
        <v>156687</v>
      </c>
      <c r="O3">
        <v>60358</v>
      </c>
      <c r="Q3">
        <f>SUM(K3:O3)</f>
        <v>750092</v>
      </c>
    </row>
    <row r="4" spans="1:17" ht="15" x14ac:dyDescent="0.25">
      <c r="A4" s="1" t="s">
        <v>161</v>
      </c>
      <c r="B4">
        <v>32185</v>
      </c>
      <c r="C4">
        <v>90842</v>
      </c>
      <c r="D4">
        <v>464979</v>
      </c>
      <c r="E4">
        <v>210645</v>
      </c>
      <c r="F4">
        <v>73395</v>
      </c>
      <c r="H4">
        <f t="shared" ref="H4:H67" si="0">SUM(B4:F4)</f>
        <v>872046</v>
      </c>
      <c r="K4">
        <v>26504</v>
      </c>
      <c r="L4">
        <v>95260</v>
      </c>
      <c r="M4">
        <v>386082</v>
      </c>
      <c r="N4">
        <v>167219</v>
      </c>
      <c r="O4">
        <v>57907</v>
      </c>
      <c r="Q4">
        <f t="shared" ref="Q4:Q67" si="1">SUM(K4:O4)</f>
        <v>732972</v>
      </c>
    </row>
    <row r="5" spans="1:17" ht="15" x14ac:dyDescent="0.25">
      <c r="A5" s="1" t="s">
        <v>160</v>
      </c>
      <c r="B5">
        <v>38482</v>
      </c>
      <c r="C5">
        <v>104931</v>
      </c>
      <c r="D5">
        <v>523187</v>
      </c>
      <c r="E5">
        <v>241882</v>
      </c>
      <c r="F5">
        <v>89610</v>
      </c>
      <c r="H5">
        <f t="shared" si="0"/>
        <v>998092</v>
      </c>
      <c r="K5">
        <v>33565</v>
      </c>
      <c r="L5">
        <v>128302</v>
      </c>
      <c r="M5">
        <v>454287</v>
      </c>
      <c r="N5">
        <v>203000</v>
      </c>
      <c r="O5">
        <v>70726</v>
      </c>
      <c r="Q5">
        <f t="shared" si="1"/>
        <v>889880</v>
      </c>
    </row>
    <row r="6" spans="1:17" x14ac:dyDescent="0.2">
      <c r="A6" t="s">
        <v>159</v>
      </c>
      <c r="B6">
        <v>36228</v>
      </c>
      <c r="C6">
        <v>107289</v>
      </c>
      <c r="D6">
        <v>526604</v>
      </c>
      <c r="E6">
        <v>209699</v>
      </c>
      <c r="F6">
        <v>81655</v>
      </c>
      <c r="H6">
        <f t="shared" si="0"/>
        <v>961475</v>
      </c>
      <c r="K6">
        <v>27629</v>
      </c>
      <c r="L6">
        <v>115815</v>
      </c>
      <c r="M6">
        <v>396941</v>
      </c>
      <c r="N6">
        <v>171083</v>
      </c>
      <c r="O6">
        <v>62460</v>
      </c>
      <c r="Q6">
        <f t="shared" si="1"/>
        <v>773928</v>
      </c>
    </row>
    <row r="7" spans="1:17" x14ac:dyDescent="0.2">
      <c r="A7" t="s">
        <v>158</v>
      </c>
      <c r="B7">
        <v>38443</v>
      </c>
      <c r="C7">
        <v>116372</v>
      </c>
      <c r="D7">
        <v>587932</v>
      </c>
      <c r="E7">
        <v>202534</v>
      </c>
      <c r="F7">
        <v>85946</v>
      </c>
      <c r="H7">
        <f t="shared" si="0"/>
        <v>1031227</v>
      </c>
      <c r="K7">
        <v>27494</v>
      </c>
      <c r="L7">
        <v>85378</v>
      </c>
      <c r="M7">
        <v>392577</v>
      </c>
      <c r="N7">
        <v>168988</v>
      </c>
      <c r="O7">
        <v>64968</v>
      </c>
      <c r="Q7">
        <f t="shared" si="1"/>
        <v>739405</v>
      </c>
    </row>
    <row r="8" spans="1:17" x14ac:dyDescent="0.2">
      <c r="A8" t="s">
        <v>157</v>
      </c>
      <c r="B8">
        <v>41002</v>
      </c>
      <c r="C8">
        <v>110607</v>
      </c>
      <c r="D8">
        <v>555179</v>
      </c>
      <c r="E8">
        <v>193168</v>
      </c>
      <c r="F8">
        <v>86538</v>
      </c>
      <c r="H8">
        <f t="shared" si="0"/>
        <v>986494</v>
      </c>
      <c r="K8">
        <v>31160</v>
      </c>
      <c r="L8">
        <v>88778</v>
      </c>
      <c r="M8">
        <v>420431</v>
      </c>
      <c r="N8">
        <v>170211</v>
      </c>
      <c r="O8">
        <v>68019</v>
      </c>
      <c r="Q8">
        <f t="shared" si="1"/>
        <v>778599</v>
      </c>
    </row>
    <row r="9" spans="1:17" x14ac:dyDescent="0.2">
      <c r="A9" t="s">
        <v>156</v>
      </c>
      <c r="B9">
        <v>43350</v>
      </c>
      <c r="C9">
        <v>122946</v>
      </c>
      <c r="D9">
        <v>539229</v>
      </c>
      <c r="E9">
        <v>194902</v>
      </c>
      <c r="F9">
        <v>82201</v>
      </c>
      <c r="H9">
        <f t="shared" si="0"/>
        <v>982628</v>
      </c>
      <c r="K9">
        <v>30089</v>
      </c>
      <c r="L9">
        <v>92847</v>
      </c>
      <c r="M9">
        <v>420600</v>
      </c>
      <c r="N9">
        <v>169767</v>
      </c>
      <c r="O9">
        <v>67292</v>
      </c>
      <c r="Q9">
        <f t="shared" si="1"/>
        <v>780595</v>
      </c>
    </row>
    <row r="10" spans="1:17" x14ac:dyDescent="0.2">
      <c r="A10" t="s">
        <v>155</v>
      </c>
      <c r="B10">
        <v>44829</v>
      </c>
      <c r="C10">
        <v>150787</v>
      </c>
      <c r="D10">
        <v>550157</v>
      </c>
      <c r="E10">
        <v>216442</v>
      </c>
      <c r="F10">
        <v>86382</v>
      </c>
      <c r="H10">
        <f t="shared" si="0"/>
        <v>1048597</v>
      </c>
      <c r="K10">
        <v>32554</v>
      </c>
      <c r="L10">
        <v>95502</v>
      </c>
      <c r="M10">
        <v>444504</v>
      </c>
      <c r="N10">
        <v>176134</v>
      </c>
      <c r="O10">
        <v>70146</v>
      </c>
      <c r="Q10">
        <f t="shared" si="1"/>
        <v>818840</v>
      </c>
    </row>
    <row r="11" spans="1:17" x14ac:dyDescent="0.2">
      <c r="A11" t="s">
        <v>154</v>
      </c>
      <c r="B11">
        <v>42253</v>
      </c>
      <c r="C11">
        <v>161645</v>
      </c>
      <c r="D11">
        <v>510382</v>
      </c>
      <c r="E11">
        <v>198114</v>
      </c>
      <c r="F11">
        <v>75337</v>
      </c>
      <c r="H11">
        <f t="shared" si="0"/>
        <v>987731</v>
      </c>
      <c r="K11">
        <v>31646</v>
      </c>
      <c r="L11">
        <v>86027</v>
      </c>
      <c r="M11">
        <v>441696</v>
      </c>
      <c r="N11">
        <v>161269</v>
      </c>
      <c r="O11">
        <v>67351</v>
      </c>
      <c r="Q11">
        <f t="shared" si="1"/>
        <v>787989</v>
      </c>
    </row>
    <row r="12" spans="1:17" x14ac:dyDescent="0.2">
      <c r="A12" t="s">
        <v>153</v>
      </c>
      <c r="B12">
        <v>39323</v>
      </c>
      <c r="C12">
        <v>118838</v>
      </c>
      <c r="D12">
        <v>478960</v>
      </c>
      <c r="E12">
        <v>207903</v>
      </c>
      <c r="F12">
        <v>76039</v>
      </c>
      <c r="H12">
        <f t="shared" si="0"/>
        <v>921063</v>
      </c>
      <c r="K12">
        <v>31132</v>
      </c>
      <c r="L12">
        <v>97001</v>
      </c>
      <c r="M12">
        <v>429461</v>
      </c>
      <c r="N12">
        <v>164396</v>
      </c>
      <c r="O12">
        <v>68914</v>
      </c>
      <c r="Q12">
        <f t="shared" si="1"/>
        <v>790904</v>
      </c>
    </row>
    <row r="13" spans="1:17" x14ac:dyDescent="0.2">
      <c r="A13" t="s">
        <v>152</v>
      </c>
      <c r="B13">
        <v>39131</v>
      </c>
      <c r="C13">
        <v>121337</v>
      </c>
      <c r="D13">
        <v>488499</v>
      </c>
      <c r="E13">
        <v>207639</v>
      </c>
      <c r="F13">
        <v>74520</v>
      </c>
      <c r="H13">
        <f t="shared" si="0"/>
        <v>931126</v>
      </c>
      <c r="K13">
        <v>34718</v>
      </c>
      <c r="L13">
        <v>103827</v>
      </c>
      <c r="M13">
        <v>458180</v>
      </c>
      <c r="N13">
        <v>175623</v>
      </c>
      <c r="O13">
        <v>79756</v>
      </c>
      <c r="Q13">
        <f t="shared" si="1"/>
        <v>852104</v>
      </c>
    </row>
    <row r="14" spans="1:17" x14ac:dyDescent="0.2">
      <c r="A14" t="s">
        <v>151</v>
      </c>
      <c r="B14">
        <v>29610</v>
      </c>
      <c r="C14">
        <v>91325</v>
      </c>
      <c r="D14">
        <v>392603</v>
      </c>
      <c r="E14">
        <v>155685</v>
      </c>
      <c r="F14">
        <v>56596</v>
      </c>
      <c r="H14">
        <f t="shared" si="0"/>
        <v>725819</v>
      </c>
      <c r="K14">
        <v>44272</v>
      </c>
      <c r="L14">
        <v>118417</v>
      </c>
      <c r="M14">
        <v>606149</v>
      </c>
      <c r="N14">
        <v>215877</v>
      </c>
      <c r="O14">
        <v>93197</v>
      </c>
      <c r="Q14">
        <f t="shared" si="1"/>
        <v>1077912</v>
      </c>
    </row>
    <row r="15" spans="1:17" x14ac:dyDescent="0.2">
      <c r="A15" t="s">
        <v>150</v>
      </c>
      <c r="B15">
        <v>37516</v>
      </c>
      <c r="C15">
        <v>117344</v>
      </c>
      <c r="D15">
        <v>523816</v>
      </c>
      <c r="E15">
        <v>221095</v>
      </c>
      <c r="F15">
        <v>80845</v>
      </c>
      <c r="H15">
        <f t="shared" si="0"/>
        <v>980616</v>
      </c>
      <c r="K15">
        <v>36123</v>
      </c>
      <c r="L15">
        <v>116134</v>
      </c>
      <c r="M15">
        <v>458217</v>
      </c>
      <c r="N15">
        <v>184313</v>
      </c>
      <c r="O15">
        <v>69843</v>
      </c>
      <c r="Q15">
        <f t="shared" si="1"/>
        <v>864630</v>
      </c>
    </row>
    <row r="16" spans="1:17" x14ac:dyDescent="0.2">
      <c r="A16" t="s">
        <v>149</v>
      </c>
      <c r="B16">
        <v>35739</v>
      </c>
      <c r="C16">
        <v>104413</v>
      </c>
      <c r="D16">
        <v>523328</v>
      </c>
      <c r="E16">
        <v>223068</v>
      </c>
      <c r="F16">
        <v>84738</v>
      </c>
      <c r="H16">
        <f t="shared" si="0"/>
        <v>971286</v>
      </c>
      <c r="K16">
        <v>33980</v>
      </c>
      <c r="L16">
        <v>140284</v>
      </c>
      <c r="M16">
        <v>452284</v>
      </c>
      <c r="N16">
        <v>199557</v>
      </c>
      <c r="O16">
        <v>71902</v>
      </c>
      <c r="Q16">
        <f t="shared" si="1"/>
        <v>898007</v>
      </c>
    </row>
    <row r="17" spans="1:17" x14ac:dyDescent="0.2">
      <c r="A17" t="s">
        <v>148</v>
      </c>
      <c r="B17">
        <v>40473</v>
      </c>
      <c r="C17">
        <v>119180</v>
      </c>
      <c r="D17">
        <v>582197</v>
      </c>
      <c r="E17">
        <v>246714</v>
      </c>
      <c r="F17">
        <v>93905</v>
      </c>
      <c r="H17">
        <f t="shared" si="0"/>
        <v>1082469</v>
      </c>
      <c r="K17">
        <v>37305</v>
      </c>
      <c r="L17">
        <v>139564</v>
      </c>
      <c r="M17">
        <v>500839</v>
      </c>
      <c r="N17">
        <v>222384</v>
      </c>
      <c r="O17">
        <v>79401</v>
      </c>
      <c r="Q17">
        <f t="shared" si="1"/>
        <v>979493</v>
      </c>
    </row>
    <row r="18" spans="1:17" x14ac:dyDescent="0.2">
      <c r="A18" t="s">
        <v>147</v>
      </c>
      <c r="B18">
        <v>41317</v>
      </c>
      <c r="C18">
        <v>123409</v>
      </c>
      <c r="D18">
        <v>627602</v>
      </c>
      <c r="E18">
        <v>226369</v>
      </c>
      <c r="F18">
        <v>91333</v>
      </c>
      <c r="H18">
        <f t="shared" si="0"/>
        <v>1110030</v>
      </c>
      <c r="K18">
        <v>32028</v>
      </c>
      <c r="L18">
        <v>102136</v>
      </c>
      <c r="M18">
        <v>448568</v>
      </c>
      <c r="N18">
        <v>189055</v>
      </c>
      <c r="O18">
        <v>72148</v>
      </c>
      <c r="Q18">
        <f t="shared" si="1"/>
        <v>843935</v>
      </c>
    </row>
    <row r="19" spans="1:17" x14ac:dyDescent="0.2">
      <c r="A19" t="s">
        <v>146</v>
      </c>
      <c r="B19">
        <v>42570</v>
      </c>
      <c r="C19">
        <v>131668</v>
      </c>
      <c r="D19">
        <v>625884</v>
      </c>
      <c r="E19">
        <v>211047</v>
      </c>
      <c r="F19">
        <v>90083</v>
      </c>
      <c r="H19">
        <f t="shared" si="0"/>
        <v>1101252</v>
      </c>
      <c r="K19">
        <v>35853</v>
      </c>
      <c r="L19">
        <v>103334</v>
      </c>
      <c r="M19">
        <v>469598</v>
      </c>
      <c r="N19">
        <v>199729</v>
      </c>
      <c r="O19">
        <v>80288</v>
      </c>
      <c r="Q19">
        <f t="shared" si="1"/>
        <v>888802</v>
      </c>
    </row>
    <row r="20" spans="1:17" x14ac:dyDescent="0.2">
      <c r="A20" t="s">
        <v>145</v>
      </c>
      <c r="B20">
        <v>47196</v>
      </c>
      <c r="C20">
        <v>129592</v>
      </c>
      <c r="D20">
        <v>627471</v>
      </c>
      <c r="E20">
        <v>199327</v>
      </c>
      <c r="F20">
        <v>86362</v>
      </c>
      <c r="H20">
        <f t="shared" si="0"/>
        <v>1089948</v>
      </c>
      <c r="K20">
        <v>37818</v>
      </c>
      <c r="L20">
        <v>102009</v>
      </c>
      <c r="M20">
        <v>485068</v>
      </c>
      <c r="N20">
        <v>192216</v>
      </c>
      <c r="O20">
        <v>77301</v>
      </c>
      <c r="Q20">
        <f t="shared" si="1"/>
        <v>894412</v>
      </c>
    </row>
    <row r="21" spans="1:17" x14ac:dyDescent="0.2">
      <c r="A21" t="s">
        <v>144</v>
      </c>
      <c r="B21">
        <v>41997</v>
      </c>
      <c r="C21">
        <v>125754</v>
      </c>
      <c r="D21">
        <v>571944</v>
      </c>
      <c r="E21">
        <v>185125</v>
      </c>
      <c r="F21">
        <v>79882</v>
      </c>
      <c r="H21">
        <f t="shared" si="0"/>
        <v>1004702</v>
      </c>
      <c r="K21">
        <v>38109</v>
      </c>
      <c r="L21">
        <v>104022</v>
      </c>
      <c r="M21">
        <v>483857</v>
      </c>
      <c r="N21">
        <v>187380</v>
      </c>
      <c r="O21">
        <v>73861</v>
      </c>
      <c r="Q21">
        <f t="shared" si="1"/>
        <v>887229</v>
      </c>
    </row>
    <row r="22" spans="1:17" x14ac:dyDescent="0.2">
      <c r="A22" t="s">
        <v>143</v>
      </c>
      <c r="B22">
        <v>47239</v>
      </c>
      <c r="C22">
        <v>138990</v>
      </c>
      <c r="D22">
        <v>596664</v>
      </c>
      <c r="E22">
        <v>204163</v>
      </c>
      <c r="F22">
        <v>84740</v>
      </c>
      <c r="H22">
        <f t="shared" si="0"/>
        <v>1071796</v>
      </c>
      <c r="K22">
        <v>36872</v>
      </c>
      <c r="L22">
        <v>108908</v>
      </c>
      <c r="M22">
        <v>523468</v>
      </c>
      <c r="N22">
        <v>190782</v>
      </c>
      <c r="O22">
        <v>76307</v>
      </c>
      <c r="Q22">
        <f t="shared" si="1"/>
        <v>936337</v>
      </c>
    </row>
    <row r="23" spans="1:17" x14ac:dyDescent="0.2">
      <c r="A23" t="s">
        <v>142</v>
      </c>
      <c r="B23">
        <v>46877</v>
      </c>
      <c r="C23">
        <v>194340</v>
      </c>
      <c r="D23">
        <v>548837</v>
      </c>
      <c r="E23">
        <v>189115</v>
      </c>
      <c r="F23">
        <v>79794</v>
      </c>
      <c r="H23">
        <f t="shared" si="0"/>
        <v>1058963</v>
      </c>
      <c r="K23">
        <v>36151</v>
      </c>
      <c r="L23">
        <v>102561</v>
      </c>
      <c r="M23">
        <v>483653</v>
      </c>
      <c r="N23">
        <v>173130</v>
      </c>
      <c r="O23">
        <v>74010</v>
      </c>
      <c r="Q23">
        <f t="shared" si="1"/>
        <v>869505</v>
      </c>
    </row>
    <row r="24" spans="1:17" x14ac:dyDescent="0.2">
      <c r="A24" t="s">
        <v>141</v>
      </c>
      <c r="B24">
        <v>40960</v>
      </c>
      <c r="C24">
        <v>139113</v>
      </c>
      <c r="D24">
        <v>521915</v>
      </c>
      <c r="E24">
        <v>193431</v>
      </c>
      <c r="F24">
        <v>76307</v>
      </c>
      <c r="H24">
        <f t="shared" si="0"/>
        <v>971726</v>
      </c>
      <c r="K24">
        <v>35561</v>
      </c>
      <c r="L24">
        <v>103686</v>
      </c>
      <c r="M24">
        <v>463452</v>
      </c>
      <c r="N24">
        <v>172423</v>
      </c>
      <c r="O24">
        <v>78427</v>
      </c>
      <c r="Q24">
        <f t="shared" si="1"/>
        <v>853549</v>
      </c>
    </row>
    <row r="25" spans="1:17" x14ac:dyDescent="0.2">
      <c r="A25" t="s">
        <v>140</v>
      </c>
      <c r="B25">
        <v>38965</v>
      </c>
      <c r="C25">
        <v>125881</v>
      </c>
      <c r="D25">
        <v>523753</v>
      </c>
      <c r="E25">
        <v>204319</v>
      </c>
      <c r="F25">
        <v>74845</v>
      </c>
      <c r="H25">
        <f t="shared" si="0"/>
        <v>967763</v>
      </c>
      <c r="K25">
        <v>36822</v>
      </c>
      <c r="L25">
        <v>107785</v>
      </c>
      <c r="M25">
        <v>542136</v>
      </c>
      <c r="N25">
        <v>179807</v>
      </c>
      <c r="O25">
        <v>87384</v>
      </c>
      <c r="Q25">
        <f t="shared" si="1"/>
        <v>953934</v>
      </c>
    </row>
    <row r="26" spans="1:17" x14ac:dyDescent="0.2">
      <c r="A26" t="s">
        <v>139</v>
      </c>
      <c r="B26">
        <v>29342</v>
      </c>
      <c r="C26">
        <v>98693</v>
      </c>
      <c r="D26">
        <v>426350</v>
      </c>
      <c r="E26">
        <v>156981</v>
      </c>
      <c r="F26">
        <v>57059</v>
      </c>
      <c r="H26">
        <f t="shared" si="0"/>
        <v>768425</v>
      </c>
      <c r="K26">
        <v>44840</v>
      </c>
      <c r="L26">
        <v>120927</v>
      </c>
      <c r="M26">
        <v>598501</v>
      </c>
      <c r="N26">
        <v>207720</v>
      </c>
      <c r="O26">
        <v>83156</v>
      </c>
      <c r="Q26">
        <f t="shared" si="1"/>
        <v>1055144</v>
      </c>
    </row>
    <row r="27" spans="1:17" x14ac:dyDescent="0.2">
      <c r="A27" t="s">
        <v>138</v>
      </c>
      <c r="B27">
        <v>41208</v>
      </c>
      <c r="C27">
        <v>127591</v>
      </c>
      <c r="D27">
        <v>577920</v>
      </c>
      <c r="E27">
        <v>216891</v>
      </c>
      <c r="F27">
        <v>85835</v>
      </c>
      <c r="H27">
        <f t="shared" si="0"/>
        <v>1049445</v>
      </c>
      <c r="K27">
        <v>41069</v>
      </c>
      <c r="L27">
        <v>144079</v>
      </c>
      <c r="M27">
        <v>515481</v>
      </c>
      <c r="N27">
        <v>190415</v>
      </c>
      <c r="O27">
        <v>71785</v>
      </c>
      <c r="Q27">
        <f t="shared" si="1"/>
        <v>962829</v>
      </c>
    </row>
    <row r="28" spans="1:17" x14ac:dyDescent="0.2">
      <c r="A28" t="s">
        <v>137</v>
      </c>
      <c r="B28">
        <v>39678</v>
      </c>
      <c r="C28">
        <v>111448</v>
      </c>
      <c r="D28">
        <v>586285</v>
      </c>
      <c r="E28">
        <v>236142</v>
      </c>
      <c r="F28">
        <v>89427</v>
      </c>
      <c r="H28">
        <f t="shared" si="0"/>
        <v>1062980</v>
      </c>
      <c r="K28">
        <v>34100</v>
      </c>
      <c r="L28">
        <v>138461</v>
      </c>
      <c r="M28">
        <v>457760</v>
      </c>
      <c r="N28">
        <v>187511</v>
      </c>
      <c r="O28">
        <v>68516</v>
      </c>
      <c r="Q28">
        <f t="shared" si="1"/>
        <v>886348</v>
      </c>
    </row>
    <row r="29" spans="1:17" x14ac:dyDescent="0.2">
      <c r="A29" t="s">
        <v>136</v>
      </c>
      <c r="B29">
        <v>43330</v>
      </c>
      <c r="C29">
        <v>121064</v>
      </c>
      <c r="D29">
        <v>623178</v>
      </c>
      <c r="E29">
        <v>251054</v>
      </c>
      <c r="F29">
        <v>91011</v>
      </c>
      <c r="H29">
        <f t="shared" si="0"/>
        <v>1129637</v>
      </c>
      <c r="K29">
        <v>41889</v>
      </c>
      <c r="L29">
        <v>139056</v>
      </c>
      <c r="M29">
        <v>552203</v>
      </c>
      <c r="N29">
        <v>239093</v>
      </c>
      <c r="O29">
        <v>80941</v>
      </c>
      <c r="Q29">
        <f t="shared" si="1"/>
        <v>1053182</v>
      </c>
    </row>
    <row r="30" spans="1:17" x14ac:dyDescent="0.2">
      <c r="A30" t="s">
        <v>135</v>
      </c>
      <c r="B30">
        <v>39458</v>
      </c>
      <c r="C30">
        <v>114794</v>
      </c>
      <c r="D30">
        <v>622046</v>
      </c>
      <c r="E30">
        <v>217690</v>
      </c>
      <c r="F30">
        <v>82114</v>
      </c>
      <c r="H30">
        <f t="shared" si="0"/>
        <v>1076102</v>
      </c>
      <c r="K30">
        <v>32951</v>
      </c>
      <c r="L30">
        <v>102073</v>
      </c>
      <c r="M30">
        <v>457750</v>
      </c>
      <c r="N30">
        <v>182767</v>
      </c>
      <c r="O30">
        <v>70758</v>
      </c>
      <c r="Q30">
        <f t="shared" si="1"/>
        <v>846299</v>
      </c>
    </row>
    <row r="31" spans="1:17" x14ac:dyDescent="0.2">
      <c r="A31" t="s">
        <v>134</v>
      </c>
      <c r="B31">
        <v>45269</v>
      </c>
      <c r="C31">
        <v>140904</v>
      </c>
      <c r="D31">
        <v>681078</v>
      </c>
      <c r="E31">
        <v>216487</v>
      </c>
      <c r="F31">
        <v>82039</v>
      </c>
      <c r="H31">
        <f t="shared" si="0"/>
        <v>1165777</v>
      </c>
      <c r="K31">
        <v>38352</v>
      </c>
      <c r="L31">
        <v>112315</v>
      </c>
      <c r="M31">
        <v>525521</v>
      </c>
      <c r="N31">
        <v>207253</v>
      </c>
      <c r="O31">
        <v>83499</v>
      </c>
      <c r="Q31">
        <f t="shared" si="1"/>
        <v>966940</v>
      </c>
    </row>
    <row r="32" spans="1:17" x14ac:dyDescent="0.2">
      <c r="A32" t="s">
        <v>133</v>
      </c>
      <c r="B32">
        <v>43506</v>
      </c>
      <c r="C32">
        <v>136765</v>
      </c>
      <c r="D32">
        <v>629717</v>
      </c>
      <c r="E32">
        <v>192004</v>
      </c>
      <c r="F32">
        <v>78420</v>
      </c>
      <c r="H32">
        <f t="shared" si="0"/>
        <v>1080412</v>
      </c>
      <c r="K32">
        <v>37891</v>
      </c>
      <c r="L32">
        <v>110089</v>
      </c>
      <c r="M32">
        <v>515159</v>
      </c>
      <c r="N32">
        <v>187372</v>
      </c>
      <c r="O32">
        <v>74446</v>
      </c>
      <c r="Q32">
        <f t="shared" si="1"/>
        <v>924957</v>
      </c>
    </row>
    <row r="33" spans="1:17" x14ac:dyDescent="0.2">
      <c r="A33" t="s">
        <v>132</v>
      </c>
      <c r="B33">
        <v>46768</v>
      </c>
      <c r="C33">
        <v>143406</v>
      </c>
      <c r="D33">
        <v>606176</v>
      </c>
      <c r="E33">
        <v>196881</v>
      </c>
      <c r="F33">
        <v>86515</v>
      </c>
      <c r="H33">
        <f t="shared" si="0"/>
        <v>1079746</v>
      </c>
      <c r="K33">
        <v>39430</v>
      </c>
      <c r="L33">
        <v>113453</v>
      </c>
      <c r="M33">
        <v>507558</v>
      </c>
      <c r="N33">
        <v>190973</v>
      </c>
      <c r="O33">
        <v>73975</v>
      </c>
      <c r="Q33">
        <f t="shared" si="1"/>
        <v>925389</v>
      </c>
    </row>
    <row r="34" spans="1:17" x14ac:dyDescent="0.2">
      <c r="A34" t="s">
        <v>131</v>
      </c>
      <c r="B34">
        <v>52615</v>
      </c>
      <c r="C34">
        <v>161303</v>
      </c>
      <c r="D34">
        <v>634143</v>
      </c>
      <c r="E34">
        <v>213308</v>
      </c>
      <c r="F34">
        <v>85353</v>
      </c>
      <c r="H34">
        <f t="shared" si="0"/>
        <v>1146722</v>
      </c>
      <c r="K34">
        <v>40548</v>
      </c>
      <c r="L34">
        <v>128649</v>
      </c>
      <c r="M34">
        <v>571122</v>
      </c>
      <c r="N34">
        <v>198552</v>
      </c>
      <c r="O34">
        <v>78936</v>
      </c>
      <c r="Q34">
        <f t="shared" si="1"/>
        <v>1017807</v>
      </c>
    </row>
    <row r="35" spans="1:17" x14ac:dyDescent="0.2">
      <c r="A35" t="s">
        <v>130</v>
      </c>
      <c r="B35">
        <v>47907</v>
      </c>
      <c r="C35">
        <v>190393</v>
      </c>
      <c r="D35">
        <v>576161</v>
      </c>
      <c r="E35">
        <v>197614</v>
      </c>
      <c r="F35">
        <v>80586</v>
      </c>
      <c r="H35">
        <f t="shared" si="0"/>
        <v>1092661</v>
      </c>
      <c r="K35">
        <v>38741</v>
      </c>
      <c r="L35">
        <v>109480</v>
      </c>
      <c r="M35">
        <v>518698</v>
      </c>
      <c r="N35">
        <v>176305</v>
      </c>
      <c r="O35">
        <v>72702</v>
      </c>
      <c r="Q35">
        <f t="shared" si="1"/>
        <v>915926</v>
      </c>
    </row>
    <row r="36" spans="1:17" x14ac:dyDescent="0.2">
      <c r="A36" t="s">
        <v>129</v>
      </c>
      <c r="B36">
        <v>45575</v>
      </c>
      <c r="C36">
        <v>148741</v>
      </c>
      <c r="D36">
        <v>582667</v>
      </c>
      <c r="E36">
        <v>219261</v>
      </c>
      <c r="F36">
        <v>84148</v>
      </c>
      <c r="H36">
        <f t="shared" si="0"/>
        <v>1080392</v>
      </c>
      <c r="K36">
        <v>39961</v>
      </c>
      <c r="L36">
        <v>120035</v>
      </c>
      <c r="M36">
        <v>530237</v>
      </c>
      <c r="N36">
        <v>182269</v>
      </c>
      <c r="O36">
        <v>78095</v>
      </c>
      <c r="Q36">
        <f t="shared" si="1"/>
        <v>950597</v>
      </c>
    </row>
    <row r="37" spans="1:17" x14ac:dyDescent="0.2">
      <c r="A37" t="s">
        <v>128</v>
      </c>
      <c r="B37">
        <v>42766</v>
      </c>
      <c r="C37">
        <v>138525</v>
      </c>
      <c r="D37">
        <v>565613</v>
      </c>
      <c r="E37">
        <v>223930</v>
      </c>
      <c r="F37">
        <v>77153</v>
      </c>
      <c r="H37">
        <f t="shared" si="0"/>
        <v>1047987</v>
      </c>
      <c r="K37">
        <v>40669</v>
      </c>
      <c r="L37">
        <v>121370</v>
      </c>
      <c r="M37">
        <v>575257</v>
      </c>
      <c r="N37">
        <v>189613</v>
      </c>
      <c r="O37">
        <v>88499</v>
      </c>
      <c r="Q37">
        <f t="shared" si="1"/>
        <v>1015408</v>
      </c>
    </row>
    <row r="38" spans="1:17" x14ac:dyDescent="0.2">
      <c r="A38" t="s">
        <v>127</v>
      </c>
      <c r="B38">
        <v>31303</v>
      </c>
      <c r="C38">
        <v>105014</v>
      </c>
      <c r="D38">
        <v>457463</v>
      </c>
      <c r="E38">
        <v>163731</v>
      </c>
      <c r="F38">
        <v>61777</v>
      </c>
      <c r="H38">
        <f t="shared" si="0"/>
        <v>819288</v>
      </c>
      <c r="K38">
        <v>49900</v>
      </c>
      <c r="L38">
        <v>134022</v>
      </c>
      <c r="M38">
        <v>642653</v>
      </c>
      <c r="N38">
        <v>213053</v>
      </c>
      <c r="O38">
        <v>97153</v>
      </c>
      <c r="Q38">
        <f t="shared" si="1"/>
        <v>1136781</v>
      </c>
    </row>
    <row r="39" spans="1:17" x14ac:dyDescent="0.2">
      <c r="A39" t="s">
        <v>126</v>
      </c>
      <c r="B39">
        <v>42989</v>
      </c>
      <c r="C39">
        <v>132851</v>
      </c>
      <c r="D39">
        <v>630609</v>
      </c>
      <c r="E39">
        <v>239098</v>
      </c>
      <c r="F39">
        <v>98496</v>
      </c>
      <c r="H39">
        <f t="shared" si="0"/>
        <v>1144043</v>
      </c>
      <c r="K39">
        <v>43860</v>
      </c>
      <c r="L39">
        <v>155116</v>
      </c>
      <c r="M39">
        <v>562184</v>
      </c>
      <c r="N39">
        <v>200925</v>
      </c>
      <c r="O39">
        <v>76490</v>
      </c>
      <c r="Q39">
        <f t="shared" si="1"/>
        <v>1038575</v>
      </c>
    </row>
    <row r="40" spans="1:17" x14ac:dyDescent="0.2">
      <c r="A40" t="s">
        <v>125</v>
      </c>
      <c r="B40">
        <v>43325</v>
      </c>
      <c r="C40">
        <v>116908</v>
      </c>
      <c r="D40">
        <v>635521</v>
      </c>
      <c r="E40">
        <v>248724</v>
      </c>
      <c r="F40">
        <v>93259</v>
      </c>
      <c r="H40">
        <f t="shared" si="0"/>
        <v>1137737</v>
      </c>
      <c r="K40">
        <v>38568</v>
      </c>
      <c r="L40">
        <v>143714</v>
      </c>
      <c r="M40">
        <v>525215</v>
      </c>
      <c r="N40">
        <v>206441</v>
      </c>
      <c r="O40">
        <v>75780</v>
      </c>
      <c r="Q40">
        <f t="shared" si="1"/>
        <v>989718</v>
      </c>
    </row>
    <row r="41" spans="1:17" x14ac:dyDescent="0.2">
      <c r="A41" t="s">
        <v>124</v>
      </c>
      <c r="B41">
        <v>46417</v>
      </c>
      <c r="C41">
        <v>133932</v>
      </c>
      <c r="D41">
        <v>696859</v>
      </c>
      <c r="E41">
        <v>275113</v>
      </c>
      <c r="F41">
        <v>103309</v>
      </c>
      <c r="H41">
        <f t="shared" si="0"/>
        <v>1255630</v>
      </c>
      <c r="K41">
        <v>41866</v>
      </c>
      <c r="L41">
        <v>145763</v>
      </c>
      <c r="M41">
        <v>589990</v>
      </c>
      <c r="N41">
        <v>241346</v>
      </c>
      <c r="O41">
        <v>90524</v>
      </c>
      <c r="Q41">
        <f t="shared" si="1"/>
        <v>1109489</v>
      </c>
    </row>
    <row r="42" spans="1:17" x14ac:dyDescent="0.2">
      <c r="A42" t="s">
        <v>123</v>
      </c>
      <c r="B42">
        <v>46452</v>
      </c>
      <c r="C42">
        <v>141080</v>
      </c>
      <c r="D42">
        <v>727491</v>
      </c>
      <c r="E42">
        <v>257998</v>
      </c>
      <c r="F42">
        <v>99930</v>
      </c>
      <c r="H42">
        <f t="shared" si="0"/>
        <v>1272951</v>
      </c>
      <c r="K42">
        <v>36479</v>
      </c>
      <c r="L42">
        <v>120654</v>
      </c>
      <c r="M42">
        <v>528919</v>
      </c>
      <c r="N42">
        <v>205753</v>
      </c>
      <c r="O42">
        <v>79155</v>
      </c>
      <c r="Q42">
        <f t="shared" si="1"/>
        <v>970960</v>
      </c>
    </row>
    <row r="43" spans="1:17" x14ac:dyDescent="0.2">
      <c r="A43" t="s">
        <v>122</v>
      </c>
      <c r="B43">
        <v>51705</v>
      </c>
      <c r="C43">
        <v>156093</v>
      </c>
      <c r="D43">
        <v>747078</v>
      </c>
      <c r="E43">
        <v>237538</v>
      </c>
      <c r="F43">
        <v>101083</v>
      </c>
      <c r="H43">
        <f t="shared" si="0"/>
        <v>1293497</v>
      </c>
      <c r="K43">
        <v>43796</v>
      </c>
      <c r="L43">
        <v>126180</v>
      </c>
      <c r="M43">
        <v>596266</v>
      </c>
      <c r="N43">
        <v>224680</v>
      </c>
      <c r="O43">
        <v>90358</v>
      </c>
      <c r="Q43">
        <f t="shared" si="1"/>
        <v>1081280</v>
      </c>
    </row>
    <row r="44" spans="1:17" x14ac:dyDescent="0.2">
      <c r="A44" t="s">
        <v>121</v>
      </c>
      <c r="B44">
        <v>50142</v>
      </c>
      <c r="C44">
        <v>147503</v>
      </c>
      <c r="D44">
        <v>689143</v>
      </c>
      <c r="E44">
        <v>215890</v>
      </c>
      <c r="F44">
        <v>94931</v>
      </c>
      <c r="H44">
        <f t="shared" si="0"/>
        <v>1197609</v>
      </c>
      <c r="K44">
        <v>42008</v>
      </c>
      <c r="L44">
        <v>120775</v>
      </c>
      <c r="M44">
        <v>567869</v>
      </c>
      <c r="N44">
        <v>205497</v>
      </c>
      <c r="O44">
        <v>79793</v>
      </c>
      <c r="Q44">
        <f t="shared" si="1"/>
        <v>1015942</v>
      </c>
    </row>
    <row r="45" spans="1:17" x14ac:dyDescent="0.2">
      <c r="A45" t="s">
        <v>120</v>
      </c>
      <c r="B45">
        <v>53968</v>
      </c>
      <c r="C45">
        <v>150040</v>
      </c>
      <c r="D45">
        <v>670030</v>
      </c>
      <c r="E45">
        <v>225703</v>
      </c>
      <c r="F45">
        <v>90794</v>
      </c>
      <c r="H45">
        <f t="shared" si="0"/>
        <v>1190535</v>
      </c>
      <c r="K45">
        <v>41920</v>
      </c>
      <c r="L45">
        <v>122474</v>
      </c>
      <c r="M45">
        <v>599520</v>
      </c>
      <c r="N45">
        <v>214010</v>
      </c>
      <c r="O45">
        <v>85619</v>
      </c>
      <c r="Q45">
        <f t="shared" si="1"/>
        <v>1063543</v>
      </c>
    </row>
    <row r="46" spans="1:17" x14ac:dyDescent="0.2">
      <c r="A46" t="s">
        <v>119</v>
      </c>
      <c r="B46">
        <v>54046</v>
      </c>
      <c r="C46">
        <v>172186</v>
      </c>
      <c r="D46">
        <v>688364</v>
      </c>
      <c r="E46">
        <v>242390</v>
      </c>
      <c r="F46">
        <v>96537</v>
      </c>
      <c r="H46">
        <f t="shared" si="0"/>
        <v>1253523</v>
      </c>
      <c r="K46">
        <v>43162</v>
      </c>
      <c r="L46">
        <v>132328</v>
      </c>
      <c r="M46">
        <v>635898</v>
      </c>
      <c r="N46">
        <v>222540</v>
      </c>
      <c r="O46">
        <v>86266</v>
      </c>
      <c r="Q46">
        <f t="shared" si="1"/>
        <v>1120194</v>
      </c>
    </row>
    <row r="47" spans="1:17" x14ac:dyDescent="0.2">
      <c r="A47" t="s">
        <v>118</v>
      </c>
      <c r="B47">
        <v>50668</v>
      </c>
      <c r="C47">
        <v>197693</v>
      </c>
      <c r="D47">
        <v>649408</v>
      </c>
      <c r="E47">
        <v>232472</v>
      </c>
      <c r="F47">
        <v>94046</v>
      </c>
      <c r="H47">
        <f t="shared" si="0"/>
        <v>1224287</v>
      </c>
      <c r="K47">
        <v>41081</v>
      </c>
      <c r="L47">
        <v>113206</v>
      </c>
      <c r="M47">
        <v>545747</v>
      </c>
      <c r="N47">
        <v>191573</v>
      </c>
      <c r="O47">
        <v>81512</v>
      </c>
      <c r="Q47">
        <f t="shared" si="1"/>
        <v>973119</v>
      </c>
    </row>
    <row r="48" spans="1:17" x14ac:dyDescent="0.2">
      <c r="A48" t="s">
        <v>117</v>
      </c>
      <c r="B48">
        <v>54820</v>
      </c>
      <c r="C48">
        <v>167612</v>
      </c>
      <c r="D48">
        <v>688037</v>
      </c>
      <c r="E48">
        <v>270546</v>
      </c>
      <c r="F48">
        <v>99686</v>
      </c>
      <c r="H48">
        <f t="shared" si="0"/>
        <v>1280701</v>
      </c>
      <c r="K48">
        <v>45661</v>
      </c>
      <c r="L48">
        <v>133852</v>
      </c>
      <c r="M48">
        <v>584503</v>
      </c>
      <c r="N48">
        <v>220870</v>
      </c>
      <c r="O48">
        <v>90555</v>
      </c>
      <c r="Q48">
        <f t="shared" si="1"/>
        <v>1075441</v>
      </c>
    </row>
    <row r="49" spans="1:17" x14ac:dyDescent="0.2">
      <c r="A49" t="s">
        <v>116</v>
      </c>
      <c r="B49">
        <v>49658</v>
      </c>
      <c r="C49">
        <v>149163</v>
      </c>
      <c r="D49">
        <v>638146</v>
      </c>
      <c r="E49">
        <v>254996</v>
      </c>
      <c r="F49">
        <v>90685</v>
      </c>
      <c r="H49">
        <f t="shared" si="0"/>
        <v>1182648</v>
      </c>
      <c r="K49">
        <v>41470</v>
      </c>
      <c r="L49">
        <v>131726</v>
      </c>
      <c r="M49">
        <v>573443</v>
      </c>
      <c r="N49">
        <v>212258</v>
      </c>
      <c r="O49">
        <v>99197</v>
      </c>
      <c r="Q49">
        <f t="shared" si="1"/>
        <v>1058094</v>
      </c>
    </row>
    <row r="50" spans="1:17" x14ac:dyDescent="0.2">
      <c r="A50" t="s">
        <v>115</v>
      </c>
      <c r="B50">
        <v>35893</v>
      </c>
      <c r="C50">
        <v>113805</v>
      </c>
      <c r="D50">
        <v>503512</v>
      </c>
      <c r="E50">
        <v>183273</v>
      </c>
      <c r="F50">
        <v>71645</v>
      </c>
      <c r="H50">
        <f t="shared" si="0"/>
        <v>908128</v>
      </c>
      <c r="K50">
        <v>51237</v>
      </c>
      <c r="L50">
        <v>128768</v>
      </c>
      <c r="M50">
        <v>704847</v>
      </c>
      <c r="N50">
        <v>237533</v>
      </c>
      <c r="O50">
        <v>105157</v>
      </c>
      <c r="Q50">
        <f t="shared" si="1"/>
        <v>1227542</v>
      </c>
    </row>
    <row r="51" spans="1:17" x14ac:dyDescent="0.2">
      <c r="A51" t="s">
        <v>114</v>
      </c>
      <c r="B51">
        <v>49611</v>
      </c>
      <c r="C51">
        <v>147674</v>
      </c>
      <c r="D51">
        <v>712019</v>
      </c>
      <c r="E51">
        <v>286056</v>
      </c>
      <c r="F51">
        <v>113562</v>
      </c>
      <c r="H51">
        <f t="shared" si="0"/>
        <v>1308922</v>
      </c>
      <c r="K51">
        <v>48405</v>
      </c>
      <c r="L51">
        <v>154687</v>
      </c>
      <c r="M51">
        <v>634868</v>
      </c>
      <c r="N51">
        <v>237158</v>
      </c>
      <c r="O51">
        <v>90883</v>
      </c>
      <c r="Q51">
        <f t="shared" si="1"/>
        <v>1166001</v>
      </c>
    </row>
    <row r="52" spans="1:17" x14ac:dyDescent="0.2">
      <c r="A52" t="s">
        <v>113</v>
      </c>
      <c r="B52">
        <v>51564</v>
      </c>
      <c r="C52">
        <v>141920</v>
      </c>
      <c r="D52">
        <v>761944</v>
      </c>
      <c r="E52">
        <v>303072</v>
      </c>
      <c r="F52">
        <v>118408</v>
      </c>
      <c r="H52">
        <f t="shared" si="0"/>
        <v>1376908</v>
      </c>
      <c r="K52">
        <v>48964</v>
      </c>
      <c r="L52">
        <v>156639</v>
      </c>
      <c r="M52">
        <v>620988</v>
      </c>
      <c r="N52">
        <v>255313</v>
      </c>
      <c r="O52">
        <v>90041</v>
      </c>
      <c r="Q52">
        <f t="shared" si="1"/>
        <v>1171945</v>
      </c>
    </row>
    <row r="53" spans="1:17" x14ac:dyDescent="0.2">
      <c r="A53" t="s">
        <v>112</v>
      </c>
      <c r="B53">
        <v>52746</v>
      </c>
      <c r="C53">
        <v>152456</v>
      </c>
      <c r="D53">
        <v>793680</v>
      </c>
      <c r="E53">
        <v>315937</v>
      </c>
      <c r="F53">
        <v>118321</v>
      </c>
      <c r="H53">
        <f t="shared" si="0"/>
        <v>1433140</v>
      </c>
      <c r="K53">
        <v>50526</v>
      </c>
      <c r="L53">
        <v>167089</v>
      </c>
      <c r="M53">
        <v>646543</v>
      </c>
      <c r="N53">
        <v>266474</v>
      </c>
      <c r="O53">
        <v>95952</v>
      </c>
      <c r="Q53">
        <f t="shared" si="1"/>
        <v>1226584</v>
      </c>
    </row>
    <row r="54" spans="1:17" x14ac:dyDescent="0.2">
      <c r="A54" t="s">
        <v>111</v>
      </c>
      <c r="B54">
        <v>53552</v>
      </c>
      <c r="C54">
        <v>157709</v>
      </c>
      <c r="D54">
        <v>860725</v>
      </c>
      <c r="E54">
        <v>304628</v>
      </c>
      <c r="F54">
        <v>126544</v>
      </c>
      <c r="H54">
        <f t="shared" si="0"/>
        <v>1503158</v>
      </c>
      <c r="K54">
        <v>46155</v>
      </c>
      <c r="L54">
        <v>153426</v>
      </c>
      <c r="M54">
        <v>651165</v>
      </c>
      <c r="N54">
        <v>257116</v>
      </c>
      <c r="O54">
        <v>100774</v>
      </c>
      <c r="Q54">
        <f t="shared" si="1"/>
        <v>1208636</v>
      </c>
    </row>
    <row r="55" spans="1:17" x14ac:dyDescent="0.2">
      <c r="A55" t="s">
        <v>110</v>
      </c>
      <c r="B55">
        <v>55482</v>
      </c>
      <c r="C55">
        <v>164527</v>
      </c>
      <c r="D55">
        <v>786338</v>
      </c>
      <c r="E55">
        <v>266838</v>
      </c>
      <c r="F55">
        <v>116404</v>
      </c>
      <c r="H55">
        <f t="shared" si="0"/>
        <v>1389589</v>
      </c>
      <c r="K55">
        <v>49196</v>
      </c>
      <c r="L55">
        <v>145410</v>
      </c>
      <c r="M55">
        <v>645437</v>
      </c>
      <c r="N55">
        <v>243620</v>
      </c>
      <c r="O55">
        <v>102942</v>
      </c>
      <c r="Q55">
        <f t="shared" si="1"/>
        <v>1186605</v>
      </c>
    </row>
    <row r="56" spans="1:17" x14ac:dyDescent="0.2">
      <c r="A56" t="s">
        <v>109</v>
      </c>
      <c r="B56">
        <v>61878</v>
      </c>
      <c r="C56">
        <v>173952</v>
      </c>
      <c r="D56">
        <v>855532</v>
      </c>
      <c r="E56">
        <v>275511</v>
      </c>
      <c r="F56">
        <v>125178</v>
      </c>
      <c r="H56">
        <f t="shared" si="0"/>
        <v>1492051</v>
      </c>
      <c r="K56">
        <v>46450</v>
      </c>
      <c r="L56">
        <v>133980</v>
      </c>
      <c r="M56">
        <v>660800</v>
      </c>
      <c r="N56">
        <v>244936</v>
      </c>
      <c r="O56">
        <v>96443</v>
      </c>
      <c r="Q56">
        <f t="shared" si="1"/>
        <v>1182609</v>
      </c>
    </row>
    <row r="57" spans="1:17" x14ac:dyDescent="0.2">
      <c r="A57" t="s">
        <v>108</v>
      </c>
      <c r="B57">
        <v>63618</v>
      </c>
      <c r="C57">
        <v>191143</v>
      </c>
      <c r="D57">
        <v>837194</v>
      </c>
      <c r="E57">
        <v>291113</v>
      </c>
      <c r="F57">
        <v>119740</v>
      </c>
      <c r="H57">
        <f t="shared" si="0"/>
        <v>1502808</v>
      </c>
      <c r="K57">
        <v>54875</v>
      </c>
      <c r="L57">
        <v>150327</v>
      </c>
      <c r="M57">
        <v>720418</v>
      </c>
      <c r="N57">
        <v>265371</v>
      </c>
      <c r="O57">
        <v>108599</v>
      </c>
      <c r="Q57">
        <f t="shared" si="1"/>
        <v>1299590</v>
      </c>
    </row>
    <row r="58" spans="1:17" x14ac:dyDescent="0.2">
      <c r="A58" t="s">
        <v>107</v>
      </c>
      <c r="B58">
        <v>65587</v>
      </c>
      <c r="C58">
        <v>200051</v>
      </c>
      <c r="D58">
        <v>812619</v>
      </c>
      <c r="E58">
        <v>285301</v>
      </c>
      <c r="F58">
        <v>120449</v>
      </c>
      <c r="H58">
        <f t="shared" si="0"/>
        <v>1484007</v>
      </c>
      <c r="K58">
        <v>52643</v>
      </c>
      <c r="L58">
        <v>145740</v>
      </c>
      <c r="M58">
        <v>688171</v>
      </c>
      <c r="N58">
        <v>253641</v>
      </c>
      <c r="O58">
        <v>104688</v>
      </c>
      <c r="Q58">
        <f t="shared" si="1"/>
        <v>1244883</v>
      </c>
    </row>
    <row r="59" spans="1:17" x14ac:dyDescent="0.2">
      <c r="A59" t="s">
        <v>106</v>
      </c>
      <c r="B59">
        <v>65425</v>
      </c>
      <c r="C59">
        <v>249677</v>
      </c>
      <c r="D59">
        <v>824411</v>
      </c>
      <c r="E59">
        <v>294335</v>
      </c>
      <c r="F59">
        <v>120723</v>
      </c>
      <c r="H59">
        <f t="shared" si="0"/>
        <v>1554571</v>
      </c>
      <c r="K59">
        <v>55219</v>
      </c>
      <c r="L59">
        <v>143866</v>
      </c>
      <c r="M59">
        <v>712445</v>
      </c>
      <c r="N59">
        <v>254017</v>
      </c>
      <c r="O59">
        <v>106183</v>
      </c>
      <c r="Q59">
        <f t="shared" si="1"/>
        <v>1271730</v>
      </c>
    </row>
    <row r="60" spans="1:17" x14ac:dyDescent="0.2">
      <c r="A60" t="s">
        <v>105</v>
      </c>
      <c r="B60">
        <v>62484</v>
      </c>
      <c r="C60">
        <v>190018</v>
      </c>
      <c r="D60">
        <v>779596</v>
      </c>
      <c r="E60">
        <v>299410</v>
      </c>
      <c r="F60">
        <v>119697</v>
      </c>
      <c r="H60">
        <f t="shared" si="0"/>
        <v>1451205</v>
      </c>
      <c r="K60">
        <v>62122</v>
      </c>
      <c r="L60">
        <v>173115</v>
      </c>
      <c r="M60">
        <v>759296</v>
      </c>
      <c r="N60">
        <v>275560</v>
      </c>
      <c r="O60">
        <v>119711</v>
      </c>
      <c r="Q60">
        <f t="shared" si="1"/>
        <v>1389804</v>
      </c>
    </row>
    <row r="61" spans="1:17" x14ac:dyDescent="0.2">
      <c r="A61" t="s">
        <v>104</v>
      </c>
      <c r="B61">
        <v>51474</v>
      </c>
      <c r="C61">
        <v>170557</v>
      </c>
      <c r="D61">
        <v>689538</v>
      </c>
      <c r="E61">
        <v>261356</v>
      </c>
      <c r="F61">
        <v>102749</v>
      </c>
      <c r="H61">
        <f t="shared" si="0"/>
        <v>1275674</v>
      </c>
      <c r="K61">
        <v>58850</v>
      </c>
      <c r="L61">
        <v>162270</v>
      </c>
      <c r="M61">
        <v>727935</v>
      </c>
      <c r="N61">
        <v>249645</v>
      </c>
      <c r="O61">
        <v>117795</v>
      </c>
      <c r="Q61">
        <f t="shared" si="1"/>
        <v>1316495</v>
      </c>
    </row>
    <row r="62" spans="1:17" x14ac:dyDescent="0.2">
      <c r="A62" t="s">
        <v>103</v>
      </c>
      <c r="B62">
        <v>34330</v>
      </c>
      <c r="C62">
        <v>116329</v>
      </c>
      <c r="D62">
        <v>487826</v>
      </c>
      <c r="E62">
        <v>178282</v>
      </c>
      <c r="F62">
        <v>70532</v>
      </c>
      <c r="H62">
        <f t="shared" si="0"/>
        <v>887299</v>
      </c>
      <c r="K62">
        <v>67772</v>
      </c>
      <c r="L62">
        <v>165847</v>
      </c>
      <c r="M62">
        <v>893056</v>
      </c>
      <c r="N62">
        <v>283625</v>
      </c>
      <c r="O62">
        <v>131945</v>
      </c>
      <c r="Q62">
        <f t="shared" si="1"/>
        <v>1542245</v>
      </c>
    </row>
    <row r="63" spans="1:17" x14ac:dyDescent="0.2">
      <c r="A63" t="s">
        <v>102</v>
      </c>
      <c r="B63">
        <v>47575</v>
      </c>
      <c r="C63">
        <v>152194</v>
      </c>
      <c r="D63">
        <v>639859</v>
      </c>
      <c r="E63">
        <v>265504</v>
      </c>
      <c r="F63">
        <v>111418</v>
      </c>
      <c r="H63">
        <f t="shared" si="0"/>
        <v>1216550</v>
      </c>
      <c r="K63">
        <v>57144</v>
      </c>
      <c r="L63">
        <v>176517</v>
      </c>
      <c r="M63">
        <v>725598</v>
      </c>
      <c r="N63">
        <v>254707</v>
      </c>
      <c r="O63">
        <v>104332</v>
      </c>
      <c r="Q63">
        <f t="shared" si="1"/>
        <v>1318298</v>
      </c>
    </row>
    <row r="64" spans="1:17" x14ac:dyDescent="0.2">
      <c r="A64" t="s">
        <v>101</v>
      </c>
      <c r="B64">
        <v>45491</v>
      </c>
      <c r="C64">
        <v>138235</v>
      </c>
      <c r="D64">
        <v>666846</v>
      </c>
      <c r="E64">
        <v>267581</v>
      </c>
      <c r="F64">
        <v>115401</v>
      </c>
      <c r="H64">
        <f t="shared" si="0"/>
        <v>1233554</v>
      </c>
      <c r="K64">
        <v>51720</v>
      </c>
      <c r="L64">
        <v>154927</v>
      </c>
      <c r="M64">
        <v>662700</v>
      </c>
      <c r="N64">
        <v>258666</v>
      </c>
      <c r="O64">
        <v>96362</v>
      </c>
      <c r="Q64">
        <f t="shared" si="1"/>
        <v>1224375</v>
      </c>
    </row>
    <row r="65" spans="1:17" x14ac:dyDescent="0.2">
      <c r="A65" t="s">
        <v>100</v>
      </c>
      <c r="B65">
        <v>47431</v>
      </c>
      <c r="C65">
        <v>157374</v>
      </c>
      <c r="D65">
        <v>781990</v>
      </c>
      <c r="E65">
        <v>306890</v>
      </c>
      <c r="F65">
        <v>125826</v>
      </c>
      <c r="H65">
        <f t="shared" si="0"/>
        <v>1419511</v>
      </c>
      <c r="K65">
        <v>53032</v>
      </c>
      <c r="L65">
        <v>197582</v>
      </c>
      <c r="M65">
        <v>731713</v>
      </c>
      <c r="N65">
        <v>291607</v>
      </c>
      <c r="O65">
        <v>110759</v>
      </c>
      <c r="Q65">
        <f t="shared" si="1"/>
        <v>1384693</v>
      </c>
    </row>
    <row r="66" spans="1:17" x14ac:dyDescent="0.2">
      <c r="A66" t="s">
        <v>99</v>
      </c>
      <c r="B66">
        <v>50999</v>
      </c>
      <c r="C66">
        <v>152896</v>
      </c>
      <c r="D66">
        <v>750566</v>
      </c>
      <c r="E66">
        <v>272128</v>
      </c>
      <c r="F66">
        <v>123857</v>
      </c>
      <c r="H66">
        <f t="shared" si="0"/>
        <v>1350446</v>
      </c>
      <c r="K66">
        <v>50347</v>
      </c>
      <c r="L66">
        <v>177518</v>
      </c>
      <c r="M66">
        <v>651501</v>
      </c>
      <c r="N66">
        <v>260420</v>
      </c>
      <c r="O66">
        <v>104455</v>
      </c>
      <c r="Q66">
        <f t="shared" si="1"/>
        <v>1244241</v>
      </c>
    </row>
    <row r="67" spans="1:17" x14ac:dyDescent="0.2">
      <c r="A67" t="s">
        <v>98</v>
      </c>
      <c r="B67">
        <v>54453</v>
      </c>
      <c r="C67">
        <v>162887</v>
      </c>
      <c r="D67">
        <v>759282</v>
      </c>
      <c r="E67">
        <v>256236</v>
      </c>
      <c r="F67">
        <v>115717</v>
      </c>
      <c r="H67">
        <f t="shared" si="0"/>
        <v>1348575</v>
      </c>
      <c r="K67">
        <v>49414</v>
      </c>
      <c r="L67">
        <v>149156</v>
      </c>
      <c r="M67">
        <v>659262</v>
      </c>
      <c r="N67">
        <v>250702</v>
      </c>
      <c r="O67">
        <v>108484</v>
      </c>
      <c r="Q67">
        <f t="shared" si="1"/>
        <v>1217018</v>
      </c>
    </row>
    <row r="68" spans="1:17" x14ac:dyDescent="0.2">
      <c r="A68" t="s">
        <v>97</v>
      </c>
      <c r="B68">
        <v>56188</v>
      </c>
      <c r="C68">
        <v>174297</v>
      </c>
      <c r="D68">
        <v>752531</v>
      </c>
      <c r="E68">
        <v>252108</v>
      </c>
      <c r="F68">
        <v>121225</v>
      </c>
      <c r="H68">
        <f t="shared" ref="H68:H131" si="2">SUM(B68:F68)</f>
        <v>1356349</v>
      </c>
      <c r="K68">
        <v>50643</v>
      </c>
      <c r="L68">
        <v>149227</v>
      </c>
      <c r="M68">
        <v>680528</v>
      </c>
      <c r="N68">
        <v>246417</v>
      </c>
      <c r="O68">
        <v>110038</v>
      </c>
      <c r="Q68">
        <f t="shared" ref="Q68:Q131" si="3">SUM(K68:O68)</f>
        <v>1236853</v>
      </c>
    </row>
    <row r="69" spans="1:17" x14ac:dyDescent="0.2">
      <c r="A69" t="s">
        <v>96</v>
      </c>
      <c r="B69">
        <v>62008</v>
      </c>
      <c r="C69">
        <v>193922</v>
      </c>
      <c r="D69">
        <v>759801</v>
      </c>
      <c r="E69">
        <v>260424</v>
      </c>
      <c r="F69">
        <v>122026</v>
      </c>
      <c r="H69">
        <f t="shared" si="2"/>
        <v>1398181</v>
      </c>
      <c r="K69">
        <v>50980</v>
      </c>
      <c r="L69">
        <v>154631</v>
      </c>
      <c r="M69">
        <v>694457</v>
      </c>
      <c r="N69">
        <v>248800</v>
      </c>
      <c r="O69">
        <v>110911</v>
      </c>
      <c r="Q69">
        <f t="shared" si="3"/>
        <v>1259779</v>
      </c>
    </row>
    <row r="70" spans="1:17" x14ac:dyDescent="0.2">
      <c r="A70" t="s">
        <v>95</v>
      </c>
      <c r="B70">
        <v>67145</v>
      </c>
      <c r="C70">
        <v>217255</v>
      </c>
      <c r="D70">
        <v>777558</v>
      </c>
      <c r="E70">
        <v>274571</v>
      </c>
      <c r="F70">
        <v>120926</v>
      </c>
      <c r="H70">
        <f t="shared" si="2"/>
        <v>1457455</v>
      </c>
      <c r="K70">
        <v>48472</v>
      </c>
      <c r="L70">
        <v>151504</v>
      </c>
      <c r="M70">
        <v>671473</v>
      </c>
      <c r="N70">
        <v>237163</v>
      </c>
      <c r="O70">
        <v>106717</v>
      </c>
      <c r="Q70">
        <f t="shared" si="3"/>
        <v>1215329</v>
      </c>
    </row>
    <row r="71" spans="1:17" x14ac:dyDescent="0.2">
      <c r="A71" t="s">
        <v>94</v>
      </c>
      <c r="B71">
        <v>64607</v>
      </c>
      <c r="C71">
        <v>249381</v>
      </c>
      <c r="D71">
        <v>773796</v>
      </c>
      <c r="E71">
        <v>282227</v>
      </c>
      <c r="F71">
        <v>121569</v>
      </c>
      <c r="H71">
        <f t="shared" si="2"/>
        <v>1491580</v>
      </c>
      <c r="K71">
        <v>51057</v>
      </c>
      <c r="L71">
        <v>148939</v>
      </c>
      <c r="M71">
        <v>687932</v>
      </c>
      <c r="N71">
        <v>241385</v>
      </c>
      <c r="O71">
        <v>109650</v>
      </c>
      <c r="Q71">
        <f t="shared" si="3"/>
        <v>1238963</v>
      </c>
    </row>
    <row r="72" spans="1:17" x14ac:dyDescent="0.2">
      <c r="A72" t="s">
        <v>93</v>
      </c>
      <c r="B72">
        <v>64770</v>
      </c>
      <c r="C72">
        <v>200493</v>
      </c>
      <c r="D72">
        <v>763585</v>
      </c>
      <c r="E72">
        <v>288907</v>
      </c>
      <c r="F72">
        <v>116160</v>
      </c>
      <c r="H72">
        <f t="shared" si="2"/>
        <v>1433915</v>
      </c>
      <c r="K72">
        <v>49640</v>
      </c>
      <c r="L72">
        <v>151159</v>
      </c>
      <c r="M72">
        <v>655550</v>
      </c>
      <c r="N72">
        <v>239742</v>
      </c>
      <c r="O72">
        <v>106868</v>
      </c>
      <c r="Q72">
        <f t="shared" si="3"/>
        <v>1202959</v>
      </c>
    </row>
    <row r="73" spans="1:17" x14ac:dyDescent="0.2">
      <c r="A73" t="s">
        <v>92</v>
      </c>
      <c r="B73">
        <v>57831</v>
      </c>
      <c r="C73">
        <v>196932</v>
      </c>
      <c r="D73">
        <v>751535</v>
      </c>
      <c r="E73">
        <v>297285</v>
      </c>
      <c r="F73">
        <v>109460</v>
      </c>
      <c r="H73">
        <f t="shared" si="2"/>
        <v>1413043</v>
      </c>
      <c r="K73">
        <v>49242</v>
      </c>
      <c r="L73">
        <v>141798</v>
      </c>
      <c r="M73">
        <v>627173</v>
      </c>
      <c r="N73">
        <v>237684</v>
      </c>
      <c r="O73">
        <v>110451</v>
      </c>
      <c r="Q73">
        <f t="shared" si="3"/>
        <v>1166348</v>
      </c>
    </row>
    <row r="74" spans="1:17" x14ac:dyDescent="0.2">
      <c r="A74" t="s">
        <v>91</v>
      </c>
      <c r="B74">
        <v>41663</v>
      </c>
      <c r="C74">
        <v>146538</v>
      </c>
      <c r="D74">
        <v>588216</v>
      </c>
      <c r="E74">
        <v>212405</v>
      </c>
      <c r="F74">
        <v>79659</v>
      </c>
      <c r="H74">
        <f t="shared" si="2"/>
        <v>1068481</v>
      </c>
      <c r="K74">
        <v>61229</v>
      </c>
      <c r="L74">
        <v>162070</v>
      </c>
      <c r="M74">
        <v>841646</v>
      </c>
      <c r="N74">
        <v>284649</v>
      </c>
      <c r="O74">
        <v>134079</v>
      </c>
      <c r="Q74">
        <f t="shared" si="3"/>
        <v>1483673</v>
      </c>
    </row>
    <row r="75" spans="1:17" x14ac:dyDescent="0.2">
      <c r="A75" t="s">
        <v>90</v>
      </c>
      <c r="B75">
        <v>55126</v>
      </c>
      <c r="C75">
        <v>177646</v>
      </c>
      <c r="D75">
        <v>751684</v>
      </c>
      <c r="E75">
        <v>305975</v>
      </c>
      <c r="F75">
        <v>120031</v>
      </c>
      <c r="H75">
        <f t="shared" si="2"/>
        <v>1410462</v>
      </c>
      <c r="K75">
        <v>48105</v>
      </c>
      <c r="L75">
        <v>159249</v>
      </c>
      <c r="M75">
        <v>672032</v>
      </c>
      <c r="N75">
        <v>253897</v>
      </c>
      <c r="O75">
        <v>95760</v>
      </c>
      <c r="Q75">
        <f t="shared" si="3"/>
        <v>1229043</v>
      </c>
    </row>
    <row r="76" spans="1:17" x14ac:dyDescent="0.2">
      <c r="A76" t="s">
        <v>89</v>
      </c>
      <c r="B76">
        <v>59661</v>
      </c>
      <c r="C76">
        <v>175552</v>
      </c>
      <c r="D76">
        <v>826358</v>
      </c>
      <c r="E76">
        <v>334603</v>
      </c>
      <c r="F76">
        <v>130146</v>
      </c>
      <c r="H76">
        <f t="shared" si="2"/>
        <v>1526320</v>
      </c>
      <c r="K76">
        <v>48541</v>
      </c>
      <c r="L76">
        <v>173406</v>
      </c>
      <c r="M76">
        <v>705796</v>
      </c>
      <c r="N76">
        <v>285065</v>
      </c>
      <c r="O76">
        <v>104088</v>
      </c>
      <c r="Q76">
        <f t="shared" si="3"/>
        <v>1316896</v>
      </c>
    </row>
    <row r="77" spans="1:17" x14ac:dyDescent="0.2">
      <c r="A77" t="s">
        <v>88</v>
      </c>
      <c r="B77">
        <v>65937</v>
      </c>
      <c r="C77">
        <v>210720</v>
      </c>
      <c r="D77">
        <v>1002301</v>
      </c>
      <c r="E77">
        <v>395152</v>
      </c>
      <c r="F77">
        <v>145935</v>
      </c>
      <c r="H77">
        <f t="shared" si="2"/>
        <v>1820045</v>
      </c>
      <c r="K77">
        <v>57743</v>
      </c>
      <c r="L77">
        <v>222199</v>
      </c>
      <c r="M77">
        <v>811282</v>
      </c>
      <c r="N77">
        <v>336684</v>
      </c>
      <c r="O77">
        <v>125722</v>
      </c>
      <c r="Q77">
        <f t="shared" si="3"/>
        <v>1553630</v>
      </c>
    </row>
    <row r="78" spans="1:17" x14ac:dyDescent="0.2">
      <c r="A78" t="s">
        <v>87</v>
      </c>
      <c r="B78">
        <v>62624</v>
      </c>
      <c r="C78">
        <v>202932</v>
      </c>
      <c r="D78">
        <v>913478</v>
      </c>
      <c r="E78">
        <v>336778</v>
      </c>
      <c r="F78">
        <v>144263</v>
      </c>
      <c r="H78">
        <f t="shared" si="2"/>
        <v>1660075</v>
      </c>
      <c r="K78">
        <v>52810</v>
      </c>
      <c r="L78">
        <v>181994</v>
      </c>
      <c r="M78">
        <v>724023</v>
      </c>
      <c r="N78">
        <v>283415</v>
      </c>
      <c r="O78">
        <v>112765</v>
      </c>
      <c r="Q78">
        <f t="shared" si="3"/>
        <v>1355007</v>
      </c>
    </row>
    <row r="79" spans="1:17" x14ac:dyDescent="0.2">
      <c r="A79" t="s">
        <v>86</v>
      </c>
      <c r="B79">
        <v>69064</v>
      </c>
      <c r="C79">
        <v>218685</v>
      </c>
      <c r="D79">
        <v>947041</v>
      </c>
      <c r="E79">
        <v>321730</v>
      </c>
      <c r="F79">
        <v>136812</v>
      </c>
      <c r="H79">
        <f t="shared" si="2"/>
        <v>1693332</v>
      </c>
      <c r="K79">
        <v>57105</v>
      </c>
      <c r="L79">
        <v>172858</v>
      </c>
      <c r="M79">
        <v>757540</v>
      </c>
      <c r="N79">
        <v>287650</v>
      </c>
      <c r="O79">
        <v>120138</v>
      </c>
      <c r="Q79">
        <f t="shared" si="3"/>
        <v>1395291</v>
      </c>
    </row>
    <row r="80" spans="1:17" x14ac:dyDescent="0.2">
      <c r="A80" t="s">
        <v>85</v>
      </c>
      <c r="B80">
        <v>69470</v>
      </c>
      <c r="C80">
        <v>213159</v>
      </c>
      <c r="D80">
        <v>893843</v>
      </c>
      <c r="E80">
        <v>313936</v>
      </c>
      <c r="F80">
        <v>132671</v>
      </c>
      <c r="H80">
        <f t="shared" si="2"/>
        <v>1623079</v>
      </c>
      <c r="K80">
        <v>59410</v>
      </c>
      <c r="L80">
        <v>175794</v>
      </c>
      <c r="M80">
        <v>770020</v>
      </c>
      <c r="N80">
        <v>289526</v>
      </c>
      <c r="O80">
        <v>115377</v>
      </c>
      <c r="Q80">
        <f t="shared" si="3"/>
        <v>1410127</v>
      </c>
    </row>
    <row r="81" spans="1:17" x14ac:dyDescent="0.2">
      <c r="A81" t="s">
        <v>84</v>
      </c>
      <c r="B81">
        <v>71515</v>
      </c>
      <c r="C81">
        <v>219192</v>
      </c>
      <c r="D81">
        <v>870626</v>
      </c>
      <c r="E81">
        <v>320590</v>
      </c>
      <c r="F81">
        <v>132396</v>
      </c>
      <c r="H81">
        <f t="shared" si="2"/>
        <v>1614319</v>
      </c>
      <c r="K81">
        <v>59505</v>
      </c>
      <c r="L81">
        <v>178517</v>
      </c>
      <c r="M81">
        <v>779721</v>
      </c>
      <c r="N81">
        <v>293004</v>
      </c>
      <c r="O81">
        <v>121776</v>
      </c>
      <c r="Q81">
        <f t="shared" si="3"/>
        <v>1432523</v>
      </c>
    </row>
    <row r="82" spans="1:17" x14ac:dyDescent="0.2">
      <c r="A82" t="s">
        <v>83</v>
      </c>
      <c r="B82">
        <v>78710</v>
      </c>
      <c r="C82">
        <v>250615</v>
      </c>
      <c r="D82">
        <v>937196</v>
      </c>
      <c r="E82">
        <v>337718</v>
      </c>
      <c r="F82">
        <v>136420</v>
      </c>
      <c r="H82">
        <f t="shared" si="2"/>
        <v>1740659</v>
      </c>
      <c r="K82">
        <v>62214</v>
      </c>
      <c r="L82">
        <v>181053</v>
      </c>
      <c r="M82">
        <v>787969</v>
      </c>
      <c r="N82">
        <v>286664</v>
      </c>
      <c r="O82">
        <v>123344</v>
      </c>
      <c r="Q82">
        <f t="shared" si="3"/>
        <v>1441244</v>
      </c>
    </row>
    <row r="83" spans="1:17" x14ac:dyDescent="0.2">
      <c r="A83" t="s">
        <v>82</v>
      </c>
      <c r="B83">
        <v>71766</v>
      </c>
      <c r="C83">
        <v>287195</v>
      </c>
      <c r="D83">
        <v>875942</v>
      </c>
      <c r="E83">
        <v>320634</v>
      </c>
      <c r="F83">
        <v>133048</v>
      </c>
      <c r="H83">
        <f t="shared" si="2"/>
        <v>1688585</v>
      </c>
      <c r="K83">
        <v>60466</v>
      </c>
      <c r="L83">
        <v>181298</v>
      </c>
      <c r="M83">
        <v>789713</v>
      </c>
      <c r="N83">
        <v>282753</v>
      </c>
      <c r="O83">
        <v>127480</v>
      </c>
      <c r="Q83">
        <f t="shared" si="3"/>
        <v>1441710</v>
      </c>
    </row>
    <row r="84" spans="1:17" x14ac:dyDescent="0.2">
      <c r="A84" t="s">
        <v>81</v>
      </c>
      <c r="B84">
        <v>69599</v>
      </c>
      <c r="C84">
        <v>238738</v>
      </c>
      <c r="D84">
        <v>851815</v>
      </c>
      <c r="E84">
        <v>329416</v>
      </c>
      <c r="F84">
        <v>130967</v>
      </c>
      <c r="H84">
        <f t="shared" si="2"/>
        <v>1620535</v>
      </c>
      <c r="K84">
        <v>62581</v>
      </c>
      <c r="L84">
        <v>185447</v>
      </c>
      <c r="M84">
        <v>759221</v>
      </c>
      <c r="N84">
        <v>280525</v>
      </c>
      <c r="O84">
        <v>127957</v>
      </c>
      <c r="Q84">
        <f t="shared" si="3"/>
        <v>1415731</v>
      </c>
    </row>
    <row r="85" spans="1:17" x14ac:dyDescent="0.2">
      <c r="A85" t="s">
        <v>80</v>
      </c>
      <c r="B85">
        <v>67806</v>
      </c>
      <c r="C85">
        <v>226077</v>
      </c>
      <c r="D85">
        <v>833045</v>
      </c>
      <c r="E85">
        <v>325559</v>
      </c>
      <c r="F85">
        <v>124385</v>
      </c>
      <c r="H85">
        <f t="shared" si="2"/>
        <v>1576872</v>
      </c>
      <c r="K85">
        <v>62767</v>
      </c>
      <c r="L85">
        <v>188905</v>
      </c>
      <c r="M85">
        <v>780931</v>
      </c>
      <c r="N85">
        <v>280816</v>
      </c>
      <c r="O85">
        <v>125206</v>
      </c>
      <c r="Q85">
        <f t="shared" si="3"/>
        <v>1438625</v>
      </c>
    </row>
    <row r="86" spans="1:17" x14ac:dyDescent="0.2">
      <c r="A86" t="s">
        <v>79</v>
      </c>
      <c r="B86">
        <v>50176</v>
      </c>
      <c r="C86">
        <v>172539</v>
      </c>
      <c r="D86">
        <v>669358</v>
      </c>
      <c r="E86">
        <v>242201</v>
      </c>
      <c r="F86">
        <v>96280</v>
      </c>
      <c r="H86">
        <f t="shared" si="2"/>
        <v>1230554</v>
      </c>
      <c r="K86">
        <v>70158</v>
      </c>
      <c r="L86">
        <v>210280</v>
      </c>
      <c r="M86">
        <v>897491</v>
      </c>
      <c r="N86">
        <v>317566</v>
      </c>
      <c r="O86">
        <v>142577</v>
      </c>
      <c r="Q86">
        <f t="shared" si="3"/>
        <v>1638072</v>
      </c>
    </row>
    <row r="87" spans="1:17" x14ac:dyDescent="0.2">
      <c r="A87" t="s">
        <v>78</v>
      </c>
      <c r="B87">
        <v>66332</v>
      </c>
      <c r="C87">
        <v>213124</v>
      </c>
      <c r="D87">
        <v>866687</v>
      </c>
      <c r="E87">
        <v>356955</v>
      </c>
      <c r="F87">
        <v>147274</v>
      </c>
      <c r="H87">
        <f t="shared" si="2"/>
        <v>1650372</v>
      </c>
      <c r="K87">
        <v>62352</v>
      </c>
      <c r="L87">
        <v>213735</v>
      </c>
      <c r="M87">
        <v>795592</v>
      </c>
      <c r="N87">
        <v>307880</v>
      </c>
      <c r="O87">
        <v>118722</v>
      </c>
      <c r="Q87">
        <f t="shared" si="3"/>
        <v>1498281</v>
      </c>
    </row>
    <row r="88" spans="1:17" x14ac:dyDescent="0.2">
      <c r="A88" t="s">
        <v>77</v>
      </c>
      <c r="B88">
        <v>72092</v>
      </c>
      <c r="C88">
        <v>210406</v>
      </c>
      <c r="D88">
        <v>975442</v>
      </c>
      <c r="E88">
        <v>387161</v>
      </c>
      <c r="F88">
        <v>152116</v>
      </c>
      <c r="H88">
        <f t="shared" si="2"/>
        <v>1797217</v>
      </c>
      <c r="K88">
        <v>57565</v>
      </c>
      <c r="L88">
        <v>200977</v>
      </c>
      <c r="M88">
        <v>809919</v>
      </c>
      <c r="N88">
        <v>328066</v>
      </c>
      <c r="O88">
        <v>119891</v>
      </c>
      <c r="Q88">
        <f t="shared" si="3"/>
        <v>1516418</v>
      </c>
    </row>
    <row r="89" spans="1:17" x14ac:dyDescent="0.2">
      <c r="A89" t="s">
        <v>76</v>
      </c>
      <c r="B89">
        <v>71292</v>
      </c>
      <c r="C89">
        <v>206771</v>
      </c>
      <c r="D89">
        <v>942773</v>
      </c>
      <c r="E89">
        <v>399483</v>
      </c>
      <c r="F89">
        <v>145603</v>
      </c>
      <c r="H89">
        <f t="shared" si="2"/>
        <v>1765922</v>
      </c>
      <c r="K89">
        <v>68461</v>
      </c>
      <c r="L89">
        <v>238420</v>
      </c>
      <c r="M89">
        <v>867565</v>
      </c>
      <c r="N89">
        <v>363749</v>
      </c>
      <c r="O89">
        <v>135052</v>
      </c>
      <c r="Q89">
        <f t="shared" si="3"/>
        <v>1673247</v>
      </c>
    </row>
    <row r="90" spans="1:17" x14ac:dyDescent="0.2">
      <c r="A90" t="s">
        <v>75</v>
      </c>
      <c r="B90">
        <v>69147</v>
      </c>
      <c r="C90">
        <v>222712</v>
      </c>
      <c r="D90">
        <v>982819</v>
      </c>
      <c r="E90">
        <v>351599</v>
      </c>
      <c r="F90">
        <v>148101</v>
      </c>
      <c r="H90">
        <f t="shared" si="2"/>
        <v>1774378</v>
      </c>
      <c r="K90">
        <v>59496</v>
      </c>
      <c r="L90">
        <v>218017</v>
      </c>
      <c r="M90">
        <v>792762</v>
      </c>
      <c r="N90">
        <v>305014</v>
      </c>
      <c r="O90">
        <v>126864</v>
      </c>
      <c r="Q90">
        <f t="shared" si="3"/>
        <v>1502153</v>
      </c>
    </row>
    <row r="91" spans="1:17" x14ac:dyDescent="0.2">
      <c r="A91" t="s">
        <v>74</v>
      </c>
      <c r="B91">
        <v>77742</v>
      </c>
      <c r="C91">
        <v>239907</v>
      </c>
      <c r="D91">
        <v>1069695</v>
      </c>
      <c r="E91">
        <v>364880</v>
      </c>
      <c r="F91">
        <v>160441</v>
      </c>
      <c r="H91">
        <f t="shared" si="2"/>
        <v>1912665</v>
      </c>
      <c r="K91">
        <v>73175</v>
      </c>
      <c r="L91">
        <v>214813</v>
      </c>
      <c r="M91">
        <v>894859</v>
      </c>
      <c r="N91">
        <v>339139</v>
      </c>
      <c r="O91">
        <v>138612</v>
      </c>
      <c r="Q91">
        <f t="shared" si="3"/>
        <v>1660598</v>
      </c>
    </row>
    <row r="92" spans="1:17" x14ac:dyDescent="0.2">
      <c r="A92" t="s">
        <v>73</v>
      </c>
      <c r="B92">
        <v>78648</v>
      </c>
      <c r="C92">
        <v>241035</v>
      </c>
      <c r="D92">
        <v>979652</v>
      </c>
      <c r="E92">
        <v>331278</v>
      </c>
      <c r="F92">
        <v>151204</v>
      </c>
      <c r="H92">
        <f t="shared" si="2"/>
        <v>1781817</v>
      </c>
      <c r="K92">
        <v>66726</v>
      </c>
      <c r="L92">
        <v>201082</v>
      </c>
      <c r="M92">
        <v>855360</v>
      </c>
      <c r="N92">
        <v>315215</v>
      </c>
      <c r="O92">
        <v>128041</v>
      </c>
      <c r="Q92">
        <f t="shared" si="3"/>
        <v>1566424</v>
      </c>
    </row>
    <row r="93" spans="1:17" x14ac:dyDescent="0.2">
      <c r="A93" t="s">
        <v>72</v>
      </c>
      <c r="B93">
        <v>79256</v>
      </c>
      <c r="C93">
        <v>237836</v>
      </c>
      <c r="D93">
        <v>913971</v>
      </c>
      <c r="E93">
        <v>324449</v>
      </c>
      <c r="F93">
        <v>141351</v>
      </c>
      <c r="H93">
        <f t="shared" si="2"/>
        <v>1696863</v>
      </c>
      <c r="K93">
        <v>64960</v>
      </c>
      <c r="L93">
        <v>210293</v>
      </c>
      <c r="M93">
        <v>844770</v>
      </c>
      <c r="N93">
        <v>307405</v>
      </c>
      <c r="O93">
        <v>128872</v>
      </c>
      <c r="Q93">
        <f t="shared" si="3"/>
        <v>1556300</v>
      </c>
    </row>
    <row r="94" spans="1:17" x14ac:dyDescent="0.2">
      <c r="A94" t="s">
        <v>71</v>
      </c>
      <c r="B94">
        <v>81325</v>
      </c>
      <c r="C94">
        <v>272047</v>
      </c>
      <c r="D94">
        <v>975121</v>
      </c>
      <c r="E94">
        <v>350395</v>
      </c>
      <c r="F94">
        <v>151433</v>
      </c>
      <c r="H94">
        <f t="shared" si="2"/>
        <v>1830321</v>
      </c>
      <c r="K94">
        <v>67840</v>
      </c>
      <c r="L94">
        <v>212534</v>
      </c>
      <c r="M94">
        <v>900226</v>
      </c>
      <c r="N94">
        <v>322938</v>
      </c>
      <c r="O94">
        <v>136337</v>
      </c>
      <c r="Q94">
        <f t="shared" si="3"/>
        <v>1639875</v>
      </c>
    </row>
    <row r="95" spans="1:17" x14ac:dyDescent="0.2">
      <c r="A95" t="s">
        <v>70</v>
      </c>
      <c r="B95">
        <v>78782</v>
      </c>
      <c r="C95">
        <v>289920</v>
      </c>
      <c r="D95">
        <v>920674</v>
      </c>
      <c r="E95">
        <v>328840</v>
      </c>
      <c r="F95">
        <v>144810</v>
      </c>
      <c r="H95">
        <f t="shared" si="2"/>
        <v>1763026</v>
      </c>
      <c r="K95">
        <v>66405</v>
      </c>
      <c r="L95">
        <v>200496</v>
      </c>
      <c r="M95">
        <v>853567</v>
      </c>
      <c r="N95">
        <v>298882</v>
      </c>
      <c r="O95">
        <v>134598</v>
      </c>
      <c r="Q95">
        <f t="shared" si="3"/>
        <v>1553948</v>
      </c>
    </row>
    <row r="96" spans="1:17" x14ac:dyDescent="0.2">
      <c r="A96" t="s">
        <v>69</v>
      </c>
      <c r="B96">
        <v>72831</v>
      </c>
      <c r="C96">
        <v>237302</v>
      </c>
      <c r="D96">
        <v>879140</v>
      </c>
      <c r="E96">
        <v>338652</v>
      </c>
      <c r="F96">
        <v>136641</v>
      </c>
      <c r="H96">
        <f t="shared" si="2"/>
        <v>1664566</v>
      </c>
      <c r="K96">
        <v>62679</v>
      </c>
      <c r="L96">
        <v>207418</v>
      </c>
      <c r="M96">
        <v>831290</v>
      </c>
      <c r="N96">
        <v>297408</v>
      </c>
      <c r="O96">
        <v>139628</v>
      </c>
      <c r="Q96">
        <f t="shared" si="3"/>
        <v>1538423</v>
      </c>
    </row>
    <row r="97" spans="1:17" x14ac:dyDescent="0.2">
      <c r="A97" t="s">
        <v>68</v>
      </c>
      <c r="B97">
        <v>70921</v>
      </c>
      <c r="C97">
        <v>222846</v>
      </c>
      <c r="D97">
        <v>863971</v>
      </c>
      <c r="E97">
        <v>334204</v>
      </c>
      <c r="F97">
        <v>128480</v>
      </c>
      <c r="H97">
        <f t="shared" si="2"/>
        <v>1620422</v>
      </c>
      <c r="K97">
        <v>66051</v>
      </c>
      <c r="L97">
        <v>202757</v>
      </c>
      <c r="M97">
        <v>860710</v>
      </c>
      <c r="N97">
        <v>303577</v>
      </c>
      <c r="O97">
        <v>144592</v>
      </c>
      <c r="Q97">
        <f t="shared" si="3"/>
        <v>1577687</v>
      </c>
    </row>
    <row r="98" spans="1:17" x14ac:dyDescent="0.2">
      <c r="A98" t="s">
        <v>67</v>
      </c>
      <c r="B98">
        <v>54148</v>
      </c>
      <c r="C98">
        <v>184362</v>
      </c>
      <c r="D98">
        <v>709286</v>
      </c>
      <c r="E98">
        <v>256061</v>
      </c>
      <c r="F98">
        <v>101194</v>
      </c>
      <c r="H98">
        <f t="shared" si="2"/>
        <v>1305051</v>
      </c>
      <c r="K98">
        <v>74173</v>
      </c>
      <c r="L98">
        <v>225440</v>
      </c>
      <c r="M98">
        <v>921765</v>
      </c>
      <c r="N98">
        <v>338205</v>
      </c>
      <c r="O98">
        <v>153640</v>
      </c>
      <c r="Q98">
        <f t="shared" si="3"/>
        <v>1713223</v>
      </c>
    </row>
    <row r="99" spans="1:17" x14ac:dyDescent="0.2">
      <c r="A99" t="s">
        <v>66</v>
      </c>
      <c r="B99">
        <v>68606</v>
      </c>
      <c r="C99">
        <v>226031</v>
      </c>
      <c r="D99">
        <v>888583</v>
      </c>
      <c r="E99">
        <v>376726</v>
      </c>
      <c r="F99">
        <v>151544</v>
      </c>
      <c r="H99">
        <f t="shared" si="2"/>
        <v>1711490</v>
      </c>
      <c r="K99">
        <v>68128</v>
      </c>
      <c r="L99">
        <v>220236</v>
      </c>
      <c r="M99">
        <v>842820</v>
      </c>
      <c r="N99">
        <v>332562</v>
      </c>
      <c r="O99">
        <v>128849</v>
      </c>
      <c r="Q99">
        <f t="shared" si="3"/>
        <v>1592595</v>
      </c>
    </row>
    <row r="100" spans="1:17" x14ac:dyDescent="0.2">
      <c r="A100" t="s">
        <v>65</v>
      </c>
      <c r="B100">
        <v>67126</v>
      </c>
      <c r="C100">
        <v>203485</v>
      </c>
      <c r="D100">
        <v>932615</v>
      </c>
      <c r="E100">
        <v>386307</v>
      </c>
      <c r="F100">
        <v>150529</v>
      </c>
      <c r="H100">
        <f t="shared" si="2"/>
        <v>1740062</v>
      </c>
      <c r="K100">
        <v>63161</v>
      </c>
      <c r="L100">
        <v>213095</v>
      </c>
      <c r="M100">
        <v>839349</v>
      </c>
      <c r="N100">
        <v>346785</v>
      </c>
      <c r="O100">
        <v>127072</v>
      </c>
      <c r="Q100">
        <f t="shared" si="3"/>
        <v>1589462</v>
      </c>
    </row>
    <row r="101" spans="1:17" x14ac:dyDescent="0.2">
      <c r="A101" t="s">
        <v>64</v>
      </c>
      <c r="B101">
        <v>69637</v>
      </c>
      <c r="C101">
        <v>227317</v>
      </c>
      <c r="D101">
        <v>1009362</v>
      </c>
      <c r="E101">
        <v>417623</v>
      </c>
      <c r="F101">
        <v>157188</v>
      </c>
      <c r="H101">
        <f t="shared" si="2"/>
        <v>1881127</v>
      </c>
      <c r="K101">
        <v>69385</v>
      </c>
      <c r="L101">
        <v>260147</v>
      </c>
      <c r="M101">
        <v>923279</v>
      </c>
      <c r="N101">
        <v>376146</v>
      </c>
      <c r="O101">
        <v>140424</v>
      </c>
      <c r="Q101">
        <f t="shared" si="3"/>
        <v>1769381</v>
      </c>
    </row>
    <row r="102" spans="1:17" x14ac:dyDescent="0.2">
      <c r="A102" t="s">
        <v>63</v>
      </c>
      <c r="B102">
        <v>68751</v>
      </c>
      <c r="C102">
        <v>222799</v>
      </c>
      <c r="D102">
        <v>977708</v>
      </c>
      <c r="E102">
        <v>365926</v>
      </c>
      <c r="F102">
        <v>162917</v>
      </c>
      <c r="H102">
        <f t="shared" si="2"/>
        <v>1798101</v>
      </c>
      <c r="K102">
        <v>64654</v>
      </c>
      <c r="L102">
        <v>227723</v>
      </c>
      <c r="M102">
        <v>835096</v>
      </c>
      <c r="N102">
        <v>322921</v>
      </c>
      <c r="O102">
        <v>130733</v>
      </c>
      <c r="Q102">
        <f t="shared" si="3"/>
        <v>1581127</v>
      </c>
    </row>
    <row r="103" spans="1:17" x14ac:dyDescent="0.2">
      <c r="A103" t="s">
        <v>62</v>
      </c>
      <c r="B103">
        <v>72163</v>
      </c>
      <c r="C103">
        <v>230791</v>
      </c>
      <c r="D103">
        <v>983065</v>
      </c>
      <c r="E103">
        <v>346686</v>
      </c>
      <c r="F103">
        <v>152370</v>
      </c>
      <c r="H103">
        <f t="shared" si="2"/>
        <v>1785075</v>
      </c>
      <c r="K103">
        <v>66806</v>
      </c>
      <c r="L103">
        <v>221731</v>
      </c>
      <c r="M103">
        <v>881189</v>
      </c>
      <c r="N103">
        <v>336773</v>
      </c>
      <c r="O103">
        <v>138897</v>
      </c>
      <c r="Q103">
        <f t="shared" si="3"/>
        <v>1645396</v>
      </c>
    </row>
    <row r="104" spans="1:17" x14ac:dyDescent="0.2">
      <c r="A104" t="s">
        <v>61</v>
      </c>
      <c r="B104">
        <v>79242</v>
      </c>
      <c r="C104">
        <v>233272</v>
      </c>
      <c r="D104">
        <v>939491</v>
      </c>
      <c r="E104">
        <v>326625</v>
      </c>
      <c r="F104">
        <v>153697</v>
      </c>
      <c r="H104">
        <f t="shared" si="2"/>
        <v>1732327</v>
      </c>
      <c r="K104">
        <v>67802</v>
      </c>
      <c r="L104">
        <v>210836</v>
      </c>
      <c r="M104">
        <v>873356</v>
      </c>
      <c r="N104">
        <v>320951</v>
      </c>
      <c r="O104">
        <v>138942</v>
      </c>
      <c r="Q104">
        <f t="shared" si="3"/>
        <v>1611887</v>
      </c>
    </row>
    <row r="105" spans="1:17" x14ac:dyDescent="0.2">
      <c r="A105" t="s">
        <v>60</v>
      </c>
      <c r="B105">
        <v>77587</v>
      </c>
      <c r="C105">
        <v>235868</v>
      </c>
      <c r="D105">
        <v>947163</v>
      </c>
      <c r="E105">
        <v>341209</v>
      </c>
      <c r="F105">
        <v>151414</v>
      </c>
      <c r="H105">
        <f t="shared" si="2"/>
        <v>1753241</v>
      </c>
      <c r="K105">
        <v>64704</v>
      </c>
      <c r="L105">
        <v>214684</v>
      </c>
      <c r="M105">
        <v>864070</v>
      </c>
      <c r="N105">
        <v>328149</v>
      </c>
      <c r="O105">
        <v>139138</v>
      </c>
      <c r="Q105">
        <f t="shared" si="3"/>
        <v>1610745</v>
      </c>
    </row>
    <row r="106" spans="1:17" x14ac:dyDescent="0.2">
      <c r="A106" t="s">
        <v>59</v>
      </c>
      <c r="B106">
        <v>79262</v>
      </c>
      <c r="C106">
        <v>256567</v>
      </c>
      <c r="D106">
        <v>964362</v>
      </c>
      <c r="E106">
        <v>363322</v>
      </c>
      <c r="F106">
        <v>156254</v>
      </c>
      <c r="H106">
        <f t="shared" si="2"/>
        <v>1819767</v>
      </c>
      <c r="K106">
        <v>72792</v>
      </c>
      <c r="L106">
        <v>226949</v>
      </c>
      <c r="M106">
        <v>927557</v>
      </c>
      <c r="N106">
        <v>343158</v>
      </c>
      <c r="O106">
        <v>148373</v>
      </c>
      <c r="Q106">
        <f t="shared" si="3"/>
        <v>1718829</v>
      </c>
    </row>
    <row r="107" spans="1:17" x14ac:dyDescent="0.2">
      <c r="A107" t="s">
        <v>58</v>
      </c>
      <c r="B107">
        <v>67492</v>
      </c>
      <c r="C107">
        <v>265533</v>
      </c>
      <c r="D107">
        <v>867705</v>
      </c>
      <c r="E107">
        <v>325836</v>
      </c>
      <c r="F107">
        <v>138181</v>
      </c>
      <c r="H107">
        <f t="shared" si="2"/>
        <v>1664747</v>
      </c>
      <c r="K107">
        <v>62298</v>
      </c>
      <c r="L107">
        <v>194287</v>
      </c>
      <c r="M107">
        <v>823956</v>
      </c>
      <c r="N107">
        <v>301105</v>
      </c>
      <c r="O107">
        <v>132767</v>
      </c>
      <c r="Q107">
        <f t="shared" si="3"/>
        <v>1514413</v>
      </c>
    </row>
    <row r="108" spans="1:17" x14ac:dyDescent="0.2">
      <c r="A108" t="s">
        <v>57</v>
      </c>
      <c r="B108">
        <v>71658</v>
      </c>
      <c r="C108">
        <v>239890</v>
      </c>
      <c r="D108">
        <v>897908</v>
      </c>
      <c r="E108">
        <v>357902</v>
      </c>
      <c r="F108">
        <v>143222</v>
      </c>
      <c r="H108">
        <f t="shared" si="2"/>
        <v>1710580</v>
      </c>
      <c r="K108">
        <v>70068</v>
      </c>
      <c r="L108">
        <v>226143</v>
      </c>
      <c r="M108">
        <v>872607</v>
      </c>
      <c r="N108">
        <v>331083</v>
      </c>
      <c r="O108">
        <v>143691</v>
      </c>
      <c r="Q108">
        <f t="shared" si="3"/>
        <v>1643592</v>
      </c>
    </row>
    <row r="109" spans="1:17" x14ac:dyDescent="0.2">
      <c r="A109" t="s">
        <v>56</v>
      </c>
      <c r="B109">
        <v>66784</v>
      </c>
      <c r="C109">
        <v>231889</v>
      </c>
      <c r="D109">
        <v>847610</v>
      </c>
      <c r="E109">
        <v>341861</v>
      </c>
      <c r="F109">
        <v>136162</v>
      </c>
      <c r="H109">
        <f t="shared" si="2"/>
        <v>1624306</v>
      </c>
      <c r="K109">
        <v>70444</v>
      </c>
      <c r="L109">
        <v>214822</v>
      </c>
      <c r="M109">
        <v>829664</v>
      </c>
      <c r="N109">
        <v>312299</v>
      </c>
      <c r="O109">
        <v>150982</v>
      </c>
      <c r="Q109">
        <f t="shared" si="3"/>
        <v>1578211</v>
      </c>
    </row>
    <row r="110" spans="1:17" x14ac:dyDescent="0.2">
      <c r="A110" t="s">
        <v>55</v>
      </c>
      <c r="B110">
        <v>46022</v>
      </c>
      <c r="C110">
        <v>166677</v>
      </c>
      <c r="D110">
        <v>661526</v>
      </c>
      <c r="E110">
        <v>235894</v>
      </c>
      <c r="F110">
        <v>101097</v>
      </c>
      <c r="H110">
        <f t="shared" si="2"/>
        <v>1211216</v>
      </c>
      <c r="K110">
        <v>74776</v>
      </c>
      <c r="L110">
        <v>217382</v>
      </c>
      <c r="M110">
        <v>928854</v>
      </c>
      <c r="N110">
        <v>338391</v>
      </c>
      <c r="O110">
        <v>148757</v>
      </c>
      <c r="Q110">
        <f t="shared" si="3"/>
        <v>1708160</v>
      </c>
    </row>
    <row r="111" spans="1:17" x14ac:dyDescent="0.2">
      <c r="A111" t="s">
        <v>54</v>
      </c>
      <c r="B111">
        <v>70941</v>
      </c>
      <c r="C111">
        <v>223960</v>
      </c>
      <c r="D111">
        <v>935354</v>
      </c>
      <c r="E111">
        <v>400937</v>
      </c>
      <c r="F111">
        <v>163080</v>
      </c>
      <c r="H111">
        <f t="shared" si="2"/>
        <v>1794272</v>
      </c>
      <c r="K111">
        <v>76436</v>
      </c>
      <c r="L111">
        <v>253160</v>
      </c>
      <c r="M111">
        <v>936937</v>
      </c>
      <c r="N111">
        <v>352094</v>
      </c>
      <c r="O111">
        <v>146745</v>
      </c>
      <c r="Q111">
        <f t="shared" si="3"/>
        <v>1765372</v>
      </c>
    </row>
    <row r="112" spans="1:17" x14ac:dyDescent="0.2">
      <c r="A112" t="s">
        <v>53</v>
      </c>
      <c r="B112">
        <v>71362</v>
      </c>
      <c r="C112">
        <v>211381</v>
      </c>
      <c r="D112">
        <v>929598</v>
      </c>
      <c r="E112">
        <v>400548</v>
      </c>
      <c r="F112">
        <v>161522</v>
      </c>
      <c r="H112">
        <f t="shared" si="2"/>
        <v>1774411</v>
      </c>
      <c r="K112">
        <v>69210</v>
      </c>
      <c r="L112">
        <v>227262</v>
      </c>
      <c r="M112">
        <v>863421</v>
      </c>
      <c r="N112">
        <v>352532</v>
      </c>
      <c r="O112">
        <v>138540</v>
      </c>
      <c r="Q112">
        <f t="shared" si="3"/>
        <v>1650965</v>
      </c>
    </row>
    <row r="113" spans="1:17" x14ac:dyDescent="0.2">
      <c r="A113" t="s">
        <v>52</v>
      </c>
      <c r="B113">
        <v>70612</v>
      </c>
      <c r="C113">
        <v>216123</v>
      </c>
      <c r="D113">
        <v>990671</v>
      </c>
      <c r="E113">
        <v>416077</v>
      </c>
      <c r="F113">
        <v>155665</v>
      </c>
      <c r="H113">
        <f t="shared" si="2"/>
        <v>1849148</v>
      </c>
      <c r="K113">
        <v>69423</v>
      </c>
      <c r="L113">
        <v>251743</v>
      </c>
      <c r="M113">
        <v>907220</v>
      </c>
      <c r="N113">
        <v>362542</v>
      </c>
      <c r="O113">
        <v>145770</v>
      </c>
      <c r="Q113">
        <f t="shared" si="3"/>
        <v>1736698</v>
      </c>
    </row>
    <row r="114" spans="1:17" x14ac:dyDescent="0.2">
      <c r="A114" t="s">
        <v>51</v>
      </c>
      <c r="B114">
        <v>73784</v>
      </c>
      <c r="C114">
        <v>240951</v>
      </c>
      <c r="D114">
        <v>1040652</v>
      </c>
      <c r="E114">
        <v>405602</v>
      </c>
      <c r="F114">
        <v>177180</v>
      </c>
      <c r="H114">
        <f t="shared" si="2"/>
        <v>1938169</v>
      </c>
      <c r="K114">
        <v>71725</v>
      </c>
      <c r="L114">
        <v>242579</v>
      </c>
      <c r="M114">
        <v>913442</v>
      </c>
      <c r="N114">
        <v>366308</v>
      </c>
      <c r="O114">
        <v>147202</v>
      </c>
      <c r="Q114">
        <f t="shared" si="3"/>
        <v>1741256</v>
      </c>
    </row>
    <row r="115" spans="1:17" x14ac:dyDescent="0.2">
      <c r="A115" t="s">
        <v>50</v>
      </c>
      <c r="B115">
        <v>73637</v>
      </c>
      <c r="C115">
        <v>238449</v>
      </c>
      <c r="D115">
        <v>992581</v>
      </c>
      <c r="E115">
        <v>366073</v>
      </c>
      <c r="F115">
        <v>156382</v>
      </c>
      <c r="H115">
        <f t="shared" si="2"/>
        <v>1827122</v>
      </c>
      <c r="K115">
        <v>74300</v>
      </c>
      <c r="L115">
        <v>236354</v>
      </c>
      <c r="M115">
        <v>938151</v>
      </c>
      <c r="N115">
        <v>356072</v>
      </c>
      <c r="O115">
        <v>150217</v>
      </c>
      <c r="Q115">
        <f t="shared" si="3"/>
        <v>1755094</v>
      </c>
    </row>
    <row r="116" spans="1:17" x14ac:dyDescent="0.2">
      <c r="A116" t="s">
        <v>49</v>
      </c>
      <c r="B116">
        <v>74601</v>
      </c>
      <c r="C116">
        <v>234119</v>
      </c>
      <c r="D116">
        <v>954880</v>
      </c>
      <c r="E116">
        <v>346247</v>
      </c>
      <c r="F116">
        <v>162347</v>
      </c>
      <c r="H116">
        <f t="shared" si="2"/>
        <v>1772194</v>
      </c>
      <c r="K116">
        <v>70260</v>
      </c>
      <c r="L116">
        <v>213558</v>
      </c>
      <c r="M116">
        <v>886054</v>
      </c>
      <c r="N116">
        <v>332146</v>
      </c>
      <c r="O116">
        <v>146340</v>
      </c>
      <c r="Q116">
        <f t="shared" si="3"/>
        <v>1648358</v>
      </c>
    </row>
    <row r="117" spans="1:17" x14ac:dyDescent="0.2">
      <c r="A117" t="s">
        <v>48</v>
      </c>
      <c r="B117">
        <v>80636</v>
      </c>
      <c r="C117">
        <v>239796</v>
      </c>
      <c r="D117">
        <v>937224</v>
      </c>
      <c r="E117">
        <v>361104</v>
      </c>
      <c r="F117">
        <v>162548</v>
      </c>
      <c r="H117">
        <f t="shared" si="2"/>
        <v>1781308</v>
      </c>
      <c r="K117">
        <v>72871</v>
      </c>
      <c r="L117">
        <v>229791</v>
      </c>
      <c r="M117">
        <v>919806</v>
      </c>
      <c r="N117">
        <v>361604</v>
      </c>
      <c r="O117">
        <v>155773</v>
      </c>
      <c r="Q117">
        <f t="shared" si="3"/>
        <v>1739845</v>
      </c>
    </row>
    <row r="118" spans="1:17" x14ac:dyDescent="0.2">
      <c r="A118" t="s">
        <v>47</v>
      </c>
      <c r="B118">
        <v>82383</v>
      </c>
      <c r="C118">
        <v>259557</v>
      </c>
      <c r="D118">
        <v>964576</v>
      </c>
      <c r="E118">
        <v>376554</v>
      </c>
      <c r="F118">
        <v>162845</v>
      </c>
      <c r="H118">
        <f t="shared" si="2"/>
        <v>1845915</v>
      </c>
      <c r="K118">
        <v>76175</v>
      </c>
      <c r="L118">
        <v>226423</v>
      </c>
      <c r="M118">
        <v>913386</v>
      </c>
      <c r="N118">
        <v>348664</v>
      </c>
      <c r="O118">
        <v>153619</v>
      </c>
      <c r="Q118">
        <f t="shared" si="3"/>
        <v>1718267</v>
      </c>
    </row>
    <row r="119" spans="1:17" x14ac:dyDescent="0.2">
      <c r="A119" t="s">
        <v>46</v>
      </c>
      <c r="B119">
        <v>78925</v>
      </c>
      <c r="C119">
        <v>288508</v>
      </c>
      <c r="D119">
        <v>929557</v>
      </c>
      <c r="E119">
        <v>356572</v>
      </c>
      <c r="F119">
        <v>151896</v>
      </c>
      <c r="H119">
        <f t="shared" si="2"/>
        <v>1805458</v>
      </c>
      <c r="K119">
        <v>67373</v>
      </c>
      <c r="L119">
        <v>210346</v>
      </c>
      <c r="M119">
        <v>856945</v>
      </c>
      <c r="N119">
        <v>318569</v>
      </c>
      <c r="O119">
        <v>141157</v>
      </c>
      <c r="Q119">
        <f t="shared" si="3"/>
        <v>1594390</v>
      </c>
    </row>
    <row r="120" spans="1:17" x14ac:dyDescent="0.2">
      <c r="A120" t="s">
        <v>45</v>
      </c>
      <c r="B120">
        <v>81649</v>
      </c>
      <c r="C120">
        <v>276100</v>
      </c>
      <c r="D120">
        <v>946628</v>
      </c>
      <c r="E120">
        <v>378432</v>
      </c>
      <c r="F120">
        <v>158297</v>
      </c>
      <c r="H120">
        <f t="shared" si="2"/>
        <v>1841106</v>
      </c>
      <c r="K120">
        <v>74338</v>
      </c>
      <c r="L120">
        <v>235766</v>
      </c>
      <c r="M120">
        <v>930839</v>
      </c>
      <c r="N120">
        <v>348639</v>
      </c>
      <c r="O120">
        <v>156631</v>
      </c>
      <c r="Q120">
        <f t="shared" si="3"/>
        <v>1746213</v>
      </c>
    </row>
    <row r="121" spans="1:17" x14ac:dyDescent="0.2">
      <c r="A121" t="s">
        <v>44</v>
      </c>
      <c r="B121">
        <v>70773</v>
      </c>
      <c r="C121">
        <v>241711</v>
      </c>
      <c r="D121">
        <v>835739</v>
      </c>
      <c r="E121">
        <v>337768</v>
      </c>
      <c r="F121">
        <v>132435</v>
      </c>
      <c r="H121">
        <f t="shared" si="2"/>
        <v>1618426</v>
      </c>
      <c r="K121">
        <v>70698</v>
      </c>
      <c r="L121">
        <v>209257</v>
      </c>
      <c r="M121">
        <v>832731</v>
      </c>
      <c r="N121">
        <v>312678</v>
      </c>
      <c r="O121">
        <v>145576</v>
      </c>
      <c r="Q121">
        <f t="shared" si="3"/>
        <v>1570940</v>
      </c>
    </row>
    <row r="122" spans="1:17" x14ac:dyDescent="0.2">
      <c r="A122" t="s">
        <v>43</v>
      </c>
      <c r="B122">
        <v>41161</v>
      </c>
      <c r="C122">
        <v>154515</v>
      </c>
      <c r="D122">
        <v>586247</v>
      </c>
      <c r="E122">
        <v>219003</v>
      </c>
      <c r="F122">
        <v>93596</v>
      </c>
      <c r="H122">
        <f t="shared" si="2"/>
        <v>1094522</v>
      </c>
      <c r="K122">
        <v>60557</v>
      </c>
      <c r="L122">
        <v>185544</v>
      </c>
      <c r="M122">
        <v>828353</v>
      </c>
      <c r="N122">
        <v>324335</v>
      </c>
      <c r="O122">
        <v>145177</v>
      </c>
      <c r="Q122">
        <f t="shared" si="3"/>
        <v>1543966</v>
      </c>
    </row>
    <row r="123" spans="1:17" x14ac:dyDescent="0.2">
      <c r="A123" t="s">
        <v>42</v>
      </c>
      <c r="B123">
        <v>68022</v>
      </c>
      <c r="C123">
        <v>236039</v>
      </c>
      <c r="D123">
        <v>918980</v>
      </c>
      <c r="E123">
        <v>391203</v>
      </c>
      <c r="F123">
        <v>163833</v>
      </c>
      <c r="H123">
        <f t="shared" si="2"/>
        <v>1778077</v>
      </c>
      <c r="K123">
        <v>75823</v>
      </c>
      <c r="L123">
        <v>246705</v>
      </c>
      <c r="M123">
        <v>926290</v>
      </c>
      <c r="N123">
        <v>351311</v>
      </c>
      <c r="O123">
        <v>148353</v>
      </c>
      <c r="Q123">
        <f t="shared" si="3"/>
        <v>1748482</v>
      </c>
    </row>
    <row r="124" spans="1:17" x14ac:dyDescent="0.2">
      <c r="A124" t="s">
        <v>41</v>
      </c>
      <c r="B124">
        <v>73718</v>
      </c>
      <c r="C124">
        <v>245322</v>
      </c>
      <c r="D124">
        <v>1040617</v>
      </c>
      <c r="E124">
        <v>454257</v>
      </c>
      <c r="F124">
        <v>175267</v>
      </c>
      <c r="H124">
        <f t="shared" si="2"/>
        <v>1989181</v>
      </c>
      <c r="K124">
        <v>70593</v>
      </c>
      <c r="L124">
        <v>227757</v>
      </c>
      <c r="M124">
        <v>909989</v>
      </c>
      <c r="N124">
        <v>374267</v>
      </c>
      <c r="O124">
        <v>145752</v>
      </c>
      <c r="Q124">
        <f t="shared" si="3"/>
        <v>1728358</v>
      </c>
    </row>
    <row r="125" spans="1:17" x14ac:dyDescent="0.2">
      <c r="A125" t="s">
        <v>40</v>
      </c>
      <c r="B125">
        <v>69737</v>
      </c>
      <c r="C125">
        <v>212421</v>
      </c>
      <c r="D125">
        <v>925137</v>
      </c>
      <c r="E125">
        <v>408094</v>
      </c>
      <c r="F125">
        <v>152580</v>
      </c>
      <c r="H125">
        <f t="shared" si="2"/>
        <v>1767969</v>
      </c>
      <c r="K125">
        <v>73089</v>
      </c>
      <c r="L125">
        <v>239465</v>
      </c>
      <c r="M125">
        <v>906797</v>
      </c>
      <c r="N125">
        <v>382032</v>
      </c>
      <c r="O125">
        <v>153469</v>
      </c>
      <c r="Q125">
        <f t="shared" si="3"/>
        <v>1754852</v>
      </c>
    </row>
    <row r="126" spans="1:17" x14ac:dyDescent="0.2">
      <c r="A126" t="s">
        <v>39</v>
      </c>
      <c r="B126">
        <v>74878</v>
      </c>
      <c r="C126">
        <v>238828</v>
      </c>
      <c r="D126">
        <v>988845</v>
      </c>
      <c r="E126">
        <v>391007</v>
      </c>
      <c r="F126">
        <v>168957</v>
      </c>
      <c r="H126">
        <f t="shared" si="2"/>
        <v>1862515</v>
      </c>
      <c r="K126">
        <v>72641</v>
      </c>
      <c r="L126">
        <v>254620</v>
      </c>
      <c r="M126">
        <v>913562</v>
      </c>
      <c r="N126">
        <v>363284</v>
      </c>
      <c r="O126">
        <v>153024</v>
      </c>
      <c r="Q126">
        <f t="shared" si="3"/>
        <v>1757131</v>
      </c>
    </row>
    <row r="127" spans="1:17" x14ac:dyDescent="0.2">
      <c r="A127" t="s">
        <v>38</v>
      </c>
      <c r="B127">
        <v>80950</v>
      </c>
      <c r="C127">
        <v>245935</v>
      </c>
      <c r="D127">
        <v>991507</v>
      </c>
      <c r="E127">
        <v>364237</v>
      </c>
      <c r="F127">
        <v>166962</v>
      </c>
      <c r="H127">
        <f t="shared" si="2"/>
        <v>1849591</v>
      </c>
      <c r="K127">
        <v>76623</v>
      </c>
      <c r="L127">
        <v>253040</v>
      </c>
      <c r="M127">
        <v>940371</v>
      </c>
      <c r="N127">
        <v>361524</v>
      </c>
      <c r="O127">
        <v>159197</v>
      </c>
      <c r="Q127">
        <f t="shared" si="3"/>
        <v>1790755</v>
      </c>
    </row>
    <row r="128" spans="1:17" x14ac:dyDescent="0.2">
      <c r="A128" t="s">
        <v>37</v>
      </c>
      <c r="B128">
        <v>75313</v>
      </c>
      <c r="C128">
        <v>215493</v>
      </c>
      <c r="D128">
        <v>871258</v>
      </c>
      <c r="E128">
        <v>320671</v>
      </c>
      <c r="F128">
        <v>156672</v>
      </c>
      <c r="H128">
        <f t="shared" si="2"/>
        <v>1639407</v>
      </c>
      <c r="K128">
        <v>68842</v>
      </c>
      <c r="L128">
        <v>216071</v>
      </c>
      <c r="M128">
        <v>851364</v>
      </c>
      <c r="N128">
        <v>328566</v>
      </c>
      <c r="O128">
        <v>149201</v>
      </c>
      <c r="Q128">
        <f t="shared" si="3"/>
        <v>1614044</v>
      </c>
    </row>
    <row r="129" spans="1:17" x14ac:dyDescent="0.2">
      <c r="A129" t="s">
        <v>36</v>
      </c>
      <c r="B129">
        <v>83986</v>
      </c>
      <c r="C129">
        <v>243566</v>
      </c>
      <c r="D129">
        <v>906922</v>
      </c>
      <c r="E129">
        <v>351201</v>
      </c>
      <c r="F129">
        <v>161122</v>
      </c>
      <c r="H129">
        <f t="shared" si="2"/>
        <v>1746797</v>
      </c>
      <c r="K129">
        <v>74548</v>
      </c>
      <c r="L129">
        <v>237553</v>
      </c>
      <c r="M129">
        <v>911341</v>
      </c>
      <c r="N129">
        <v>356761</v>
      </c>
      <c r="O129">
        <v>154798</v>
      </c>
      <c r="Q129">
        <f t="shared" si="3"/>
        <v>1735001</v>
      </c>
    </row>
    <row r="130" spans="1:17" x14ac:dyDescent="0.2">
      <c r="A130" t="s">
        <v>35</v>
      </c>
      <c r="B130">
        <v>81645</v>
      </c>
      <c r="C130">
        <v>260838</v>
      </c>
      <c r="D130">
        <v>902124</v>
      </c>
      <c r="E130">
        <v>349292</v>
      </c>
      <c r="F130">
        <v>154919</v>
      </c>
      <c r="H130">
        <f t="shared" si="2"/>
        <v>1748818</v>
      </c>
      <c r="K130">
        <v>73541</v>
      </c>
      <c r="L130">
        <v>218759</v>
      </c>
      <c r="M130">
        <v>869573</v>
      </c>
      <c r="N130">
        <v>338711</v>
      </c>
      <c r="O130">
        <v>146809</v>
      </c>
      <c r="Q130">
        <f t="shared" si="3"/>
        <v>1647393</v>
      </c>
    </row>
    <row r="131" spans="1:17" x14ac:dyDescent="0.2">
      <c r="A131" t="s">
        <v>34</v>
      </c>
      <c r="B131">
        <v>78181</v>
      </c>
      <c r="C131">
        <v>281477</v>
      </c>
      <c r="D131">
        <v>896776</v>
      </c>
      <c r="E131">
        <v>356445</v>
      </c>
      <c r="F131">
        <v>157550</v>
      </c>
      <c r="H131">
        <f t="shared" si="2"/>
        <v>1770429</v>
      </c>
      <c r="K131">
        <v>72173</v>
      </c>
      <c r="L131">
        <v>218448</v>
      </c>
      <c r="M131">
        <v>869514</v>
      </c>
      <c r="N131">
        <v>334910</v>
      </c>
      <c r="O131">
        <v>151599</v>
      </c>
      <c r="Q131">
        <f t="shared" si="3"/>
        <v>1646644</v>
      </c>
    </row>
    <row r="132" spans="1:17" x14ac:dyDescent="0.2">
      <c r="A132" t="s">
        <v>33</v>
      </c>
      <c r="B132">
        <v>75218</v>
      </c>
      <c r="C132">
        <v>251757</v>
      </c>
      <c r="D132">
        <v>880311</v>
      </c>
      <c r="E132">
        <v>357943</v>
      </c>
      <c r="F132">
        <v>153144</v>
      </c>
      <c r="H132">
        <f t="shared" ref="H132:H158" si="4">SUM(B132:F132)</f>
        <v>1718373</v>
      </c>
      <c r="K132">
        <v>80650</v>
      </c>
      <c r="L132">
        <v>243214</v>
      </c>
      <c r="M132">
        <v>910165</v>
      </c>
      <c r="N132">
        <v>352012</v>
      </c>
      <c r="O132">
        <v>162615</v>
      </c>
      <c r="Q132">
        <f t="shared" ref="Q132:Q158" si="5">SUM(K132:O132)</f>
        <v>1748656</v>
      </c>
    </row>
    <row r="133" spans="1:17" x14ac:dyDescent="0.2">
      <c r="A133" t="s">
        <v>32</v>
      </c>
      <c r="B133">
        <v>70682</v>
      </c>
      <c r="C133">
        <v>236965</v>
      </c>
      <c r="D133">
        <v>828210</v>
      </c>
      <c r="E133">
        <v>339558</v>
      </c>
      <c r="F133">
        <v>137591</v>
      </c>
      <c r="H133">
        <f t="shared" si="4"/>
        <v>1613006</v>
      </c>
      <c r="K133">
        <v>74700</v>
      </c>
      <c r="L133">
        <v>225734</v>
      </c>
      <c r="M133">
        <v>836768</v>
      </c>
      <c r="N133">
        <v>315326</v>
      </c>
      <c r="O133">
        <v>152097</v>
      </c>
      <c r="Q133">
        <f t="shared" si="5"/>
        <v>1604625</v>
      </c>
    </row>
    <row r="134" spans="1:17" x14ac:dyDescent="0.2">
      <c r="A134" t="s">
        <v>31</v>
      </c>
      <c r="B134">
        <v>49297</v>
      </c>
      <c r="C134">
        <v>175500</v>
      </c>
      <c r="D134">
        <v>624873</v>
      </c>
      <c r="E134">
        <v>230762</v>
      </c>
      <c r="F134">
        <v>96464</v>
      </c>
      <c r="H134">
        <f t="shared" si="4"/>
        <v>1176896</v>
      </c>
      <c r="K134">
        <v>80765</v>
      </c>
      <c r="L134">
        <v>226527</v>
      </c>
      <c r="M134">
        <v>905677</v>
      </c>
      <c r="N134">
        <v>353205</v>
      </c>
      <c r="O134">
        <v>166230</v>
      </c>
      <c r="Q134">
        <f t="shared" si="5"/>
        <v>1732404</v>
      </c>
    </row>
    <row r="135" spans="1:17" x14ac:dyDescent="0.2">
      <c r="A135" t="s">
        <v>30</v>
      </c>
      <c r="B135">
        <v>65355</v>
      </c>
      <c r="C135">
        <v>213461</v>
      </c>
      <c r="D135">
        <v>811999</v>
      </c>
      <c r="E135">
        <v>360561</v>
      </c>
      <c r="F135">
        <v>148718</v>
      </c>
      <c r="H135">
        <f t="shared" si="4"/>
        <v>1600094</v>
      </c>
      <c r="K135">
        <v>76103</v>
      </c>
      <c r="L135">
        <v>245472</v>
      </c>
      <c r="M135">
        <v>881910</v>
      </c>
      <c r="N135">
        <v>330873</v>
      </c>
      <c r="O135">
        <v>147510</v>
      </c>
      <c r="Q135">
        <f t="shared" si="5"/>
        <v>1681868</v>
      </c>
    </row>
    <row r="136" spans="1:17" x14ac:dyDescent="0.2">
      <c r="A136" t="s">
        <v>29</v>
      </c>
      <c r="B136">
        <v>68714</v>
      </c>
      <c r="C136">
        <v>202021</v>
      </c>
      <c r="D136">
        <v>852334</v>
      </c>
      <c r="E136">
        <v>375198</v>
      </c>
      <c r="F136">
        <v>148436</v>
      </c>
      <c r="H136">
        <f t="shared" si="4"/>
        <v>1646703</v>
      </c>
      <c r="K136">
        <v>73438</v>
      </c>
      <c r="L136">
        <v>229549</v>
      </c>
      <c r="M136">
        <v>857180</v>
      </c>
      <c r="N136">
        <v>351296</v>
      </c>
      <c r="O136">
        <v>137655</v>
      </c>
      <c r="Q136">
        <f t="shared" si="5"/>
        <v>1649118</v>
      </c>
    </row>
    <row r="137" spans="1:17" x14ac:dyDescent="0.2">
      <c r="A137" t="s">
        <v>28</v>
      </c>
      <c r="B137">
        <v>66330</v>
      </c>
      <c r="C137">
        <v>219191</v>
      </c>
      <c r="D137">
        <v>895035</v>
      </c>
      <c r="E137">
        <v>387185</v>
      </c>
      <c r="F137">
        <v>151478</v>
      </c>
      <c r="H137">
        <f t="shared" si="4"/>
        <v>1719219</v>
      </c>
      <c r="K137">
        <v>72540</v>
      </c>
      <c r="L137">
        <v>238329</v>
      </c>
      <c r="M137">
        <v>882963</v>
      </c>
      <c r="N137">
        <v>360823</v>
      </c>
      <c r="O137">
        <v>145282</v>
      </c>
      <c r="Q137">
        <f t="shared" si="5"/>
        <v>1699937</v>
      </c>
    </row>
    <row r="138" spans="1:17" x14ac:dyDescent="0.2">
      <c r="A138" t="s">
        <v>27</v>
      </c>
      <c r="B138">
        <v>64258</v>
      </c>
      <c r="C138">
        <v>207321</v>
      </c>
      <c r="D138">
        <v>801693</v>
      </c>
      <c r="E138">
        <v>315333</v>
      </c>
      <c r="F138">
        <v>139076</v>
      </c>
      <c r="H138">
        <f t="shared" si="4"/>
        <v>1527681</v>
      </c>
      <c r="K138">
        <v>72629</v>
      </c>
      <c r="L138">
        <v>251798</v>
      </c>
      <c r="M138">
        <v>833605</v>
      </c>
      <c r="N138">
        <v>328822</v>
      </c>
      <c r="O138">
        <v>138655</v>
      </c>
      <c r="Q138">
        <f t="shared" si="5"/>
        <v>1625509</v>
      </c>
    </row>
    <row r="139" spans="1:17" x14ac:dyDescent="0.2">
      <c r="A139" t="s">
        <v>26</v>
      </c>
      <c r="B139">
        <v>61110</v>
      </c>
      <c r="C139">
        <v>203582</v>
      </c>
      <c r="D139">
        <v>774912</v>
      </c>
      <c r="E139">
        <v>289315</v>
      </c>
      <c r="F139">
        <v>135726</v>
      </c>
      <c r="H139">
        <f t="shared" si="4"/>
        <v>1464645</v>
      </c>
      <c r="K139">
        <v>69058</v>
      </c>
      <c r="L139">
        <v>238385</v>
      </c>
      <c r="M139">
        <v>821179</v>
      </c>
      <c r="N139">
        <v>313208</v>
      </c>
      <c r="O139">
        <v>138414</v>
      </c>
      <c r="Q139">
        <f t="shared" si="5"/>
        <v>1580244</v>
      </c>
    </row>
    <row r="140" spans="1:17" x14ac:dyDescent="0.2">
      <c r="A140" t="s">
        <v>25</v>
      </c>
      <c r="B140">
        <v>64933</v>
      </c>
      <c r="C140">
        <v>197445</v>
      </c>
      <c r="D140">
        <v>770733</v>
      </c>
      <c r="E140">
        <v>278406</v>
      </c>
      <c r="F140">
        <v>141818</v>
      </c>
      <c r="H140">
        <f t="shared" si="4"/>
        <v>1453335</v>
      </c>
      <c r="K140">
        <v>72929</v>
      </c>
      <c r="L140">
        <v>216034</v>
      </c>
      <c r="M140">
        <v>828027</v>
      </c>
      <c r="N140">
        <v>309234</v>
      </c>
      <c r="O140">
        <v>138310</v>
      </c>
      <c r="Q140">
        <f t="shared" si="5"/>
        <v>1564534</v>
      </c>
    </row>
    <row r="141" spans="1:17" x14ac:dyDescent="0.2">
      <c r="A141" t="s">
        <v>24</v>
      </c>
      <c r="B141">
        <v>65570</v>
      </c>
      <c r="C141">
        <v>197021</v>
      </c>
      <c r="D141">
        <v>730768</v>
      </c>
      <c r="E141">
        <v>268193</v>
      </c>
      <c r="F141">
        <v>135841</v>
      </c>
      <c r="H141">
        <f t="shared" si="4"/>
        <v>1397393</v>
      </c>
      <c r="K141">
        <v>67594</v>
      </c>
      <c r="L141">
        <v>222185</v>
      </c>
      <c r="M141">
        <v>810712</v>
      </c>
      <c r="N141">
        <v>313136</v>
      </c>
      <c r="O141">
        <v>141671</v>
      </c>
      <c r="Q141">
        <f t="shared" si="5"/>
        <v>1555298</v>
      </c>
    </row>
    <row r="142" spans="1:17" x14ac:dyDescent="0.2">
      <c r="A142" t="s">
        <v>23</v>
      </c>
      <c r="B142">
        <v>68128</v>
      </c>
      <c r="C142">
        <v>212334</v>
      </c>
      <c r="D142">
        <v>713492</v>
      </c>
      <c r="E142">
        <v>266043</v>
      </c>
      <c r="F142">
        <v>132346</v>
      </c>
      <c r="H142">
        <f t="shared" si="4"/>
        <v>1392343</v>
      </c>
      <c r="K142">
        <v>70495</v>
      </c>
      <c r="L142">
        <v>211441</v>
      </c>
      <c r="M142">
        <v>767682</v>
      </c>
      <c r="N142">
        <v>293899</v>
      </c>
      <c r="O142">
        <v>135369</v>
      </c>
      <c r="Q142">
        <f t="shared" si="5"/>
        <v>1478886</v>
      </c>
    </row>
    <row r="143" spans="1:17" x14ac:dyDescent="0.2">
      <c r="A143" t="s">
        <v>22</v>
      </c>
      <c r="B143">
        <v>62368</v>
      </c>
      <c r="C143">
        <v>223533</v>
      </c>
      <c r="D143">
        <v>663321</v>
      </c>
      <c r="E143">
        <v>253453</v>
      </c>
      <c r="F143">
        <v>124060</v>
      </c>
      <c r="H143">
        <f t="shared" si="4"/>
        <v>1326735</v>
      </c>
      <c r="K143">
        <v>65838</v>
      </c>
      <c r="L143">
        <v>197415</v>
      </c>
      <c r="M143">
        <v>751525</v>
      </c>
      <c r="N143">
        <v>274541</v>
      </c>
      <c r="O143">
        <v>133018</v>
      </c>
      <c r="Q143">
        <f t="shared" si="5"/>
        <v>1422337</v>
      </c>
    </row>
    <row r="144" spans="1:17" x14ac:dyDescent="0.2">
      <c r="A144" t="s">
        <v>21</v>
      </c>
      <c r="B144">
        <v>54177</v>
      </c>
      <c r="C144">
        <v>186941</v>
      </c>
      <c r="D144">
        <v>637430</v>
      </c>
      <c r="E144">
        <v>247296</v>
      </c>
      <c r="F144">
        <v>111610</v>
      </c>
      <c r="H144">
        <f t="shared" si="4"/>
        <v>1237454</v>
      </c>
      <c r="K144">
        <v>70437</v>
      </c>
      <c r="L144">
        <v>204571</v>
      </c>
      <c r="M144">
        <v>734814</v>
      </c>
      <c r="N144">
        <v>268718</v>
      </c>
      <c r="O144">
        <v>128045</v>
      </c>
      <c r="Q144">
        <f t="shared" si="5"/>
        <v>1406585</v>
      </c>
    </row>
    <row r="145" spans="1:17" x14ac:dyDescent="0.2">
      <c r="A145" t="s">
        <v>20</v>
      </c>
      <c r="B145">
        <v>51641</v>
      </c>
      <c r="C145">
        <v>173842</v>
      </c>
      <c r="D145">
        <v>612207</v>
      </c>
      <c r="E145">
        <v>237020</v>
      </c>
      <c r="F145">
        <v>104369</v>
      </c>
      <c r="H145">
        <f t="shared" si="4"/>
        <v>1179079</v>
      </c>
      <c r="K145">
        <v>67473</v>
      </c>
      <c r="L145">
        <v>189791</v>
      </c>
      <c r="M145">
        <v>671544</v>
      </c>
      <c r="N145">
        <v>253422</v>
      </c>
      <c r="O145">
        <v>127478</v>
      </c>
      <c r="Q145">
        <f t="shared" si="5"/>
        <v>1309708</v>
      </c>
    </row>
    <row r="146" spans="1:17" x14ac:dyDescent="0.2">
      <c r="A146" t="s">
        <v>19</v>
      </c>
      <c r="B146">
        <v>39178</v>
      </c>
      <c r="C146">
        <v>133464</v>
      </c>
      <c r="D146">
        <v>482265</v>
      </c>
      <c r="E146">
        <v>181936</v>
      </c>
      <c r="F146">
        <v>80188</v>
      </c>
      <c r="H146">
        <f t="shared" si="4"/>
        <v>917031</v>
      </c>
      <c r="K146">
        <v>68831</v>
      </c>
      <c r="L146">
        <v>201471</v>
      </c>
      <c r="M146">
        <v>811763</v>
      </c>
      <c r="N146">
        <v>296394</v>
      </c>
      <c r="O146">
        <v>134780</v>
      </c>
      <c r="Q146">
        <f t="shared" si="5"/>
        <v>1513239</v>
      </c>
    </row>
    <row r="147" spans="1:17" x14ac:dyDescent="0.2">
      <c r="A147" t="s">
        <v>18</v>
      </c>
      <c r="B147">
        <v>49246</v>
      </c>
      <c r="C147">
        <v>163536</v>
      </c>
      <c r="D147">
        <v>609545</v>
      </c>
      <c r="E147">
        <v>266756</v>
      </c>
      <c r="F147">
        <v>115957</v>
      </c>
      <c r="H147">
        <f t="shared" si="4"/>
        <v>1205040</v>
      </c>
      <c r="K147">
        <v>60742</v>
      </c>
      <c r="L147">
        <v>196947</v>
      </c>
      <c r="M147">
        <v>681501</v>
      </c>
      <c r="N147">
        <v>251208</v>
      </c>
      <c r="O147">
        <v>114336</v>
      </c>
      <c r="Q147">
        <f t="shared" si="5"/>
        <v>1304734</v>
      </c>
    </row>
    <row r="148" spans="1:17" x14ac:dyDescent="0.2">
      <c r="A148" t="s">
        <v>17</v>
      </c>
      <c r="B148">
        <v>49936</v>
      </c>
      <c r="C148">
        <v>150766</v>
      </c>
      <c r="D148">
        <v>656184</v>
      </c>
      <c r="E148">
        <v>299187</v>
      </c>
      <c r="F148">
        <v>120547</v>
      </c>
      <c r="H148">
        <f t="shared" si="4"/>
        <v>1276620</v>
      </c>
      <c r="K148">
        <v>57770</v>
      </c>
      <c r="L148">
        <v>209115</v>
      </c>
      <c r="M148">
        <v>708055</v>
      </c>
      <c r="N148">
        <v>290374</v>
      </c>
      <c r="O148">
        <v>115888</v>
      </c>
      <c r="Q148">
        <f t="shared" si="5"/>
        <v>1381202</v>
      </c>
    </row>
    <row r="149" spans="1:17" x14ac:dyDescent="0.2">
      <c r="A149" t="s">
        <v>16</v>
      </c>
      <c r="B149">
        <v>52082</v>
      </c>
      <c r="C149">
        <v>173349</v>
      </c>
      <c r="D149">
        <v>719713</v>
      </c>
      <c r="E149">
        <v>301774</v>
      </c>
      <c r="F149">
        <v>127567</v>
      </c>
      <c r="H149">
        <f t="shared" si="4"/>
        <v>1374485</v>
      </c>
      <c r="K149">
        <v>62788</v>
      </c>
      <c r="L149">
        <v>219618</v>
      </c>
      <c r="M149">
        <v>777717</v>
      </c>
      <c r="N149">
        <v>304629</v>
      </c>
      <c r="O149">
        <v>128509</v>
      </c>
      <c r="Q149">
        <f t="shared" si="5"/>
        <v>1493261</v>
      </c>
    </row>
    <row r="150" spans="1:17" x14ac:dyDescent="0.2">
      <c r="A150" t="s">
        <v>15</v>
      </c>
      <c r="B150">
        <v>48537</v>
      </c>
      <c r="C150">
        <v>165295</v>
      </c>
      <c r="D150">
        <v>666586</v>
      </c>
      <c r="E150">
        <v>255990</v>
      </c>
      <c r="F150">
        <v>122562</v>
      </c>
      <c r="H150">
        <f t="shared" si="4"/>
        <v>1258970</v>
      </c>
      <c r="K150">
        <v>54272</v>
      </c>
      <c r="L150">
        <v>191287</v>
      </c>
      <c r="M150">
        <v>690571</v>
      </c>
      <c r="N150">
        <v>267308</v>
      </c>
      <c r="O150">
        <v>118376</v>
      </c>
      <c r="Q150">
        <f t="shared" si="5"/>
        <v>1321814</v>
      </c>
    </row>
    <row r="151" spans="1:17" x14ac:dyDescent="0.2">
      <c r="A151" t="s">
        <v>14</v>
      </c>
      <c r="B151">
        <v>50183</v>
      </c>
      <c r="C151">
        <v>160966</v>
      </c>
      <c r="D151">
        <v>653271</v>
      </c>
      <c r="E151">
        <v>234458</v>
      </c>
      <c r="F151">
        <v>111113</v>
      </c>
      <c r="H151">
        <f t="shared" si="4"/>
        <v>1209991</v>
      </c>
      <c r="K151">
        <v>55964</v>
      </c>
      <c r="L151">
        <v>181113</v>
      </c>
      <c r="M151">
        <v>670606</v>
      </c>
      <c r="N151">
        <v>258490</v>
      </c>
      <c r="O151">
        <v>116433</v>
      </c>
      <c r="Q151">
        <f t="shared" si="5"/>
        <v>1282606</v>
      </c>
    </row>
    <row r="152" spans="1:17" x14ac:dyDescent="0.2">
      <c r="A152" t="s">
        <v>13</v>
      </c>
      <c r="B152">
        <v>51879</v>
      </c>
      <c r="C152">
        <v>161853</v>
      </c>
      <c r="D152">
        <v>641664</v>
      </c>
      <c r="E152">
        <v>229169</v>
      </c>
      <c r="F152">
        <v>120198</v>
      </c>
      <c r="H152">
        <f t="shared" si="4"/>
        <v>1204763</v>
      </c>
      <c r="K152">
        <v>56516</v>
      </c>
      <c r="L152">
        <v>178075</v>
      </c>
      <c r="M152">
        <v>689187</v>
      </c>
      <c r="N152">
        <v>254929</v>
      </c>
      <c r="O152">
        <v>117088</v>
      </c>
      <c r="Q152">
        <f t="shared" si="5"/>
        <v>1295795</v>
      </c>
    </row>
    <row r="153" spans="1:17" x14ac:dyDescent="0.2">
      <c r="A153" t="s">
        <v>12</v>
      </c>
      <c r="B153">
        <v>50501</v>
      </c>
      <c r="C153">
        <v>162276</v>
      </c>
      <c r="D153">
        <v>616119</v>
      </c>
      <c r="E153">
        <v>225266</v>
      </c>
      <c r="F153">
        <v>113849</v>
      </c>
      <c r="H153">
        <f t="shared" si="4"/>
        <v>1168011</v>
      </c>
      <c r="K153">
        <v>54207</v>
      </c>
      <c r="L153">
        <v>181834</v>
      </c>
      <c r="M153">
        <v>661757</v>
      </c>
      <c r="N153">
        <v>248869</v>
      </c>
      <c r="O153">
        <v>116068</v>
      </c>
      <c r="Q153">
        <f t="shared" si="5"/>
        <v>1262735</v>
      </c>
    </row>
    <row r="154" spans="1:17" x14ac:dyDescent="0.2">
      <c r="A154" t="s">
        <v>11</v>
      </c>
      <c r="B154">
        <v>54367</v>
      </c>
      <c r="C154">
        <v>199577</v>
      </c>
      <c r="D154">
        <v>635681</v>
      </c>
      <c r="E154">
        <v>249785</v>
      </c>
      <c r="F154">
        <v>114318</v>
      </c>
      <c r="H154">
        <f t="shared" si="4"/>
        <v>1253728</v>
      </c>
      <c r="K154">
        <v>56192</v>
      </c>
      <c r="L154">
        <v>180174</v>
      </c>
      <c r="M154">
        <v>686483</v>
      </c>
      <c r="N154">
        <v>247928</v>
      </c>
      <c r="O154">
        <v>116904</v>
      </c>
      <c r="Q154">
        <f t="shared" si="5"/>
        <v>1287681</v>
      </c>
    </row>
    <row r="155" spans="1:17" x14ac:dyDescent="0.2">
      <c r="A155" t="s">
        <v>10</v>
      </c>
      <c r="B155">
        <v>48115</v>
      </c>
      <c r="C155">
        <v>184754</v>
      </c>
      <c r="D155">
        <v>579539</v>
      </c>
      <c r="E155">
        <v>223474</v>
      </c>
      <c r="F155">
        <v>106915</v>
      </c>
      <c r="H155">
        <f t="shared" si="4"/>
        <v>1142797</v>
      </c>
      <c r="K155">
        <v>49157</v>
      </c>
      <c r="L155">
        <v>155234</v>
      </c>
      <c r="M155">
        <v>643060</v>
      </c>
      <c r="N155">
        <v>222339</v>
      </c>
      <c r="O155">
        <v>112289</v>
      </c>
      <c r="Q155">
        <f t="shared" si="5"/>
        <v>1182079</v>
      </c>
    </row>
    <row r="156" spans="1:17" x14ac:dyDescent="0.2">
      <c r="A156" t="s">
        <v>9</v>
      </c>
      <c r="B156">
        <v>46545</v>
      </c>
      <c r="C156">
        <v>161551</v>
      </c>
      <c r="D156">
        <v>563694</v>
      </c>
      <c r="E156">
        <v>231613</v>
      </c>
      <c r="F156">
        <v>101028</v>
      </c>
      <c r="H156">
        <f t="shared" si="4"/>
        <v>1104431</v>
      </c>
      <c r="K156">
        <v>52817</v>
      </c>
      <c r="L156">
        <v>168866</v>
      </c>
      <c r="M156">
        <v>613968</v>
      </c>
      <c r="N156">
        <v>228347</v>
      </c>
      <c r="O156">
        <v>115181</v>
      </c>
      <c r="Q156">
        <f t="shared" si="5"/>
        <v>1179179</v>
      </c>
    </row>
    <row r="157" spans="1:17" x14ac:dyDescent="0.2">
      <c r="A157" t="s">
        <v>8</v>
      </c>
      <c r="B157">
        <v>46509</v>
      </c>
      <c r="C157">
        <v>159286</v>
      </c>
      <c r="D157">
        <v>569616</v>
      </c>
      <c r="E157">
        <v>229563</v>
      </c>
      <c r="F157">
        <v>98793</v>
      </c>
      <c r="H157">
        <f t="shared" si="4"/>
        <v>1103767</v>
      </c>
      <c r="K157">
        <v>56008</v>
      </c>
      <c r="L157">
        <v>173286</v>
      </c>
      <c r="M157">
        <v>635343</v>
      </c>
      <c r="N157">
        <v>236852</v>
      </c>
      <c r="O157">
        <v>119025</v>
      </c>
      <c r="Q157">
        <f t="shared" si="5"/>
        <v>1220514</v>
      </c>
    </row>
    <row r="158" spans="1:17" x14ac:dyDescent="0.2">
      <c r="A158" t="s">
        <v>7</v>
      </c>
      <c r="B158">
        <v>35253</v>
      </c>
      <c r="C158">
        <v>122666</v>
      </c>
      <c r="D158">
        <v>454540</v>
      </c>
      <c r="E158">
        <v>177890</v>
      </c>
      <c r="F158">
        <v>79090</v>
      </c>
      <c r="H158">
        <f t="shared" si="4"/>
        <v>869439</v>
      </c>
      <c r="K158">
        <v>56042</v>
      </c>
      <c r="L158">
        <v>179067</v>
      </c>
      <c r="M158">
        <v>712939</v>
      </c>
      <c r="N158">
        <v>263419</v>
      </c>
      <c r="O158">
        <v>120338</v>
      </c>
      <c r="Q158">
        <f t="shared" si="5"/>
        <v>1331805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137"/>
  <sheetViews>
    <sheetView topLeftCell="A95" workbookViewId="0">
      <selection activeCell="C2" sqref="C2"/>
    </sheetView>
  </sheetViews>
  <sheetFormatPr defaultRowHeight="12.75" x14ac:dyDescent="0.2"/>
  <sheetData>
    <row r="1" spans="3:4" x14ac:dyDescent="0.2">
      <c r="C1" t="s">
        <v>297</v>
      </c>
      <c r="D1" t="s">
        <v>301</v>
      </c>
    </row>
    <row r="2" spans="3:4" x14ac:dyDescent="0.2">
      <c r="C2" t="s">
        <v>296</v>
      </c>
      <c r="D2" t="s">
        <v>301</v>
      </c>
    </row>
    <row r="3" spans="3:4" x14ac:dyDescent="0.2">
      <c r="C3" t="s">
        <v>295</v>
      </c>
      <c r="D3" t="s">
        <v>301</v>
      </c>
    </row>
    <row r="4" spans="3:4" x14ac:dyDescent="0.2">
      <c r="C4" t="s">
        <v>294</v>
      </c>
      <c r="D4" t="s">
        <v>301</v>
      </c>
    </row>
    <row r="5" spans="3:4" x14ac:dyDescent="0.2">
      <c r="C5" t="s">
        <v>293</v>
      </c>
      <c r="D5" t="s">
        <v>301</v>
      </c>
    </row>
    <row r="6" spans="3:4" x14ac:dyDescent="0.2">
      <c r="C6" t="s">
        <v>292</v>
      </c>
      <c r="D6" t="s">
        <v>301</v>
      </c>
    </row>
    <row r="7" spans="3:4" x14ac:dyDescent="0.2">
      <c r="C7" t="s">
        <v>283</v>
      </c>
      <c r="D7" t="s">
        <v>301</v>
      </c>
    </row>
    <row r="8" spans="3:4" x14ac:dyDescent="0.2">
      <c r="C8" t="s">
        <v>282</v>
      </c>
      <c r="D8" t="s">
        <v>301</v>
      </c>
    </row>
    <row r="9" spans="3:4" x14ac:dyDescent="0.2">
      <c r="C9" t="s">
        <v>289</v>
      </c>
      <c r="D9" t="s">
        <v>301</v>
      </c>
    </row>
    <row r="10" spans="3:4" x14ac:dyDescent="0.2">
      <c r="C10" t="s">
        <v>288</v>
      </c>
      <c r="D10" t="s">
        <v>301</v>
      </c>
    </row>
    <row r="11" spans="3:4" x14ac:dyDescent="0.2">
      <c r="C11" t="s">
        <v>287</v>
      </c>
      <c r="D11" t="s">
        <v>301</v>
      </c>
    </row>
    <row r="12" spans="3:4" x14ac:dyDescent="0.2">
      <c r="C12" t="s">
        <v>286</v>
      </c>
      <c r="D12" t="s">
        <v>301</v>
      </c>
    </row>
    <row r="13" spans="3:4" x14ac:dyDescent="0.2">
      <c r="C13" t="s">
        <v>285</v>
      </c>
      <c r="D13" t="s">
        <v>301</v>
      </c>
    </row>
    <row r="14" spans="3:4" x14ac:dyDescent="0.2">
      <c r="C14" t="s">
        <v>284</v>
      </c>
      <c r="D14" t="s">
        <v>301</v>
      </c>
    </row>
    <row r="15" spans="3:4" x14ac:dyDescent="0.2">
      <c r="C15" t="s">
        <v>299</v>
      </c>
      <c r="D15" t="s">
        <v>301</v>
      </c>
    </row>
    <row r="16" spans="3:4" x14ac:dyDescent="0.2">
      <c r="C16" t="s">
        <v>298</v>
      </c>
      <c r="D16" t="s">
        <v>301</v>
      </c>
    </row>
    <row r="17" spans="3:4" x14ac:dyDescent="0.2">
      <c r="C17" t="s">
        <v>291</v>
      </c>
      <c r="D17" t="s">
        <v>301</v>
      </c>
    </row>
    <row r="18" spans="3:4" x14ac:dyDescent="0.2">
      <c r="C18" t="s">
        <v>290</v>
      </c>
      <c r="D18" t="s">
        <v>301</v>
      </c>
    </row>
    <row r="19" spans="3:4" x14ac:dyDescent="0.2">
      <c r="C19" t="s">
        <v>281</v>
      </c>
      <c r="D19" t="s">
        <v>301</v>
      </c>
    </row>
    <row r="20" spans="3:4" x14ac:dyDescent="0.2">
      <c r="C20" t="s">
        <v>280</v>
      </c>
      <c r="D20" t="s">
        <v>301</v>
      </c>
    </row>
    <row r="21" spans="3:4" x14ac:dyDescent="0.2">
      <c r="C21" t="s">
        <v>250</v>
      </c>
      <c r="D21" t="s">
        <v>302</v>
      </c>
    </row>
    <row r="22" spans="3:4" x14ac:dyDescent="0.2">
      <c r="C22" t="s">
        <v>249</v>
      </c>
      <c r="D22" t="s">
        <v>302</v>
      </c>
    </row>
    <row r="23" spans="3:4" x14ac:dyDescent="0.2">
      <c r="C23" t="s">
        <v>248</v>
      </c>
      <c r="D23" t="s">
        <v>302</v>
      </c>
    </row>
    <row r="24" spans="3:4" x14ac:dyDescent="0.2">
      <c r="C24" t="s">
        <v>244</v>
      </c>
      <c r="D24" t="s">
        <v>302</v>
      </c>
    </row>
    <row r="25" spans="3:4" x14ac:dyDescent="0.2">
      <c r="C25" t="s">
        <v>243</v>
      </c>
      <c r="D25" t="s">
        <v>302</v>
      </c>
    </row>
    <row r="26" spans="3:4" x14ac:dyDescent="0.2">
      <c r="C26" t="s">
        <v>242</v>
      </c>
      <c r="D26" t="s">
        <v>302</v>
      </c>
    </row>
    <row r="27" spans="3:4" x14ac:dyDescent="0.2">
      <c r="C27" t="s">
        <v>241</v>
      </c>
      <c r="D27" t="s">
        <v>302</v>
      </c>
    </row>
    <row r="28" spans="3:4" x14ac:dyDescent="0.2">
      <c r="C28" t="s">
        <v>240</v>
      </c>
      <c r="D28" t="s">
        <v>302</v>
      </c>
    </row>
    <row r="29" spans="3:4" x14ac:dyDescent="0.2">
      <c r="C29" t="s">
        <v>239</v>
      </c>
      <c r="D29" t="s">
        <v>302</v>
      </c>
    </row>
    <row r="30" spans="3:4" x14ac:dyDescent="0.2">
      <c r="C30" t="s">
        <v>238</v>
      </c>
      <c r="D30" t="s">
        <v>302</v>
      </c>
    </row>
    <row r="31" spans="3:4" x14ac:dyDescent="0.2">
      <c r="C31" t="s">
        <v>270</v>
      </c>
      <c r="D31" t="s">
        <v>302</v>
      </c>
    </row>
    <row r="32" spans="3:4" x14ac:dyDescent="0.2">
      <c r="C32" t="s">
        <v>269</v>
      </c>
      <c r="D32" t="s">
        <v>302</v>
      </c>
    </row>
    <row r="33" spans="3:4" x14ac:dyDescent="0.2">
      <c r="C33" t="s">
        <v>268</v>
      </c>
      <c r="D33" t="s">
        <v>302</v>
      </c>
    </row>
    <row r="34" spans="3:4" x14ac:dyDescent="0.2">
      <c r="C34" t="s">
        <v>267</v>
      </c>
      <c r="D34" t="s">
        <v>302</v>
      </c>
    </row>
    <row r="35" spans="3:4" x14ac:dyDescent="0.2">
      <c r="C35" t="s">
        <v>266</v>
      </c>
      <c r="D35" t="s">
        <v>302</v>
      </c>
    </row>
    <row r="36" spans="3:4" x14ac:dyDescent="0.2">
      <c r="C36" t="s">
        <v>265</v>
      </c>
      <c r="D36" t="s">
        <v>302</v>
      </c>
    </row>
    <row r="37" spans="3:4" x14ac:dyDescent="0.2">
      <c r="C37" t="s">
        <v>264</v>
      </c>
      <c r="D37" t="s">
        <v>302</v>
      </c>
    </row>
    <row r="38" spans="3:4" x14ac:dyDescent="0.2">
      <c r="C38" t="s">
        <v>279</v>
      </c>
      <c r="D38" t="s">
        <v>302</v>
      </c>
    </row>
    <row r="39" spans="3:4" x14ac:dyDescent="0.2">
      <c r="C39" t="s">
        <v>278</v>
      </c>
      <c r="D39" t="s">
        <v>302</v>
      </c>
    </row>
    <row r="40" spans="3:4" x14ac:dyDescent="0.2">
      <c r="C40" t="s">
        <v>277</v>
      </c>
      <c r="D40" t="s">
        <v>302</v>
      </c>
    </row>
    <row r="41" spans="3:4" x14ac:dyDescent="0.2">
      <c r="C41" t="s">
        <v>276</v>
      </c>
      <c r="D41" t="s">
        <v>302</v>
      </c>
    </row>
    <row r="42" spans="3:4" x14ac:dyDescent="0.2">
      <c r="C42" t="s">
        <v>275</v>
      </c>
      <c r="D42" t="s">
        <v>302</v>
      </c>
    </row>
    <row r="43" spans="3:4" x14ac:dyDescent="0.2">
      <c r="C43" t="s">
        <v>259</v>
      </c>
      <c r="D43" t="s">
        <v>302</v>
      </c>
    </row>
    <row r="44" spans="3:4" x14ac:dyDescent="0.2">
      <c r="C44" t="s">
        <v>258</v>
      </c>
      <c r="D44" t="s">
        <v>302</v>
      </c>
    </row>
    <row r="45" spans="3:4" x14ac:dyDescent="0.2">
      <c r="C45" t="s">
        <v>257</v>
      </c>
      <c r="D45" t="s">
        <v>302</v>
      </c>
    </row>
    <row r="46" spans="3:4" x14ac:dyDescent="0.2">
      <c r="C46" t="s">
        <v>256</v>
      </c>
      <c r="D46" t="s">
        <v>302</v>
      </c>
    </row>
    <row r="47" spans="3:4" x14ac:dyDescent="0.2">
      <c r="C47" t="s">
        <v>255</v>
      </c>
      <c r="D47" t="s">
        <v>302</v>
      </c>
    </row>
    <row r="48" spans="3:4" x14ac:dyDescent="0.2">
      <c r="C48" t="s">
        <v>254</v>
      </c>
      <c r="D48" t="s">
        <v>302</v>
      </c>
    </row>
    <row r="49" spans="3:4" x14ac:dyDescent="0.2">
      <c r="C49" t="s">
        <v>253</v>
      </c>
      <c r="D49" t="s">
        <v>302</v>
      </c>
    </row>
    <row r="50" spans="3:4" x14ac:dyDescent="0.2">
      <c r="C50" t="s">
        <v>252</v>
      </c>
      <c r="D50" t="s">
        <v>302</v>
      </c>
    </row>
    <row r="51" spans="3:4" x14ac:dyDescent="0.2">
      <c r="C51" t="s">
        <v>251</v>
      </c>
      <c r="D51" t="s">
        <v>302</v>
      </c>
    </row>
    <row r="52" spans="3:4" x14ac:dyDescent="0.2">
      <c r="C52" t="s">
        <v>274</v>
      </c>
      <c r="D52" t="s">
        <v>302</v>
      </c>
    </row>
    <row r="53" spans="3:4" x14ac:dyDescent="0.2">
      <c r="C53" t="s">
        <v>273</v>
      </c>
      <c r="D53" t="s">
        <v>302</v>
      </c>
    </row>
    <row r="54" spans="3:4" x14ac:dyDescent="0.2">
      <c r="C54" t="s">
        <v>272</v>
      </c>
      <c r="D54" t="s">
        <v>302</v>
      </c>
    </row>
    <row r="55" spans="3:4" x14ac:dyDescent="0.2">
      <c r="C55" t="s">
        <v>271</v>
      </c>
      <c r="D55" t="s">
        <v>302</v>
      </c>
    </row>
    <row r="56" spans="3:4" x14ac:dyDescent="0.2">
      <c r="C56" t="s">
        <v>263</v>
      </c>
      <c r="D56" t="s">
        <v>302</v>
      </c>
    </row>
    <row r="57" spans="3:4" x14ac:dyDescent="0.2">
      <c r="C57" t="s">
        <v>262</v>
      </c>
      <c r="D57" t="s">
        <v>302</v>
      </c>
    </row>
    <row r="58" spans="3:4" x14ac:dyDescent="0.2">
      <c r="C58" t="s">
        <v>261</v>
      </c>
      <c r="D58" t="s">
        <v>302</v>
      </c>
    </row>
    <row r="59" spans="3:4" x14ac:dyDescent="0.2">
      <c r="C59" t="s">
        <v>260</v>
      </c>
      <c r="D59" t="s">
        <v>302</v>
      </c>
    </row>
    <row r="60" spans="3:4" x14ac:dyDescent="0.2">
      <c r="C60" t="s">
        <v>247</v>
      </c>
      <c r="D60" t="s">
        <v>302</v>
      </c>
    </row>
    <row r="61" spans="3:4" x14ac:dyDescent="0.2">
      <c r="C61" t="s">
        <v>246</v>
      </c>
      <c r="D61" t="s">
        <v>302</v>
      </c>
    </row>
    <row r="62" spans="3:4" x14ac:dyDescent="0.2">
      <c r="C62" t="s">
        <v>245</v>
      </c>
      <c r="D62" t="s">
        <v>302</v>
      </c>
    </row>
    <row r="63" spans="3:4" x14ac:dyDescent="0.2">
      <c r="C63" t="s">
        <v>225</v>
      </c>
      <c r="D63" t="s">
        <v>303</v>
      </c>
    </row>
    <row r="64" spans="3:4" x14ac:dyDescent="0.2">
      <c r="C64" t="s">
        <v>224</v>
      </c>
      <c r="D64" t="s">
        <v>303</v>
      </c>
    </row>
    <row r="65" spans="3:4" x14ac:dyDescent="0.2">
      <c r="C65" t="s">
        <v>223</v>
      </c>
      <c r="D65" t="s">
        <v>303</v>
      </c>
    </row>
    <row r="66" spans="3:4" x14ac:dyDescent="0.2">
      <c r="C66" t="s">
        <v>222</v>
      </c>
      <c r="D66" t="s">
        <v>303</v>
      </c>
    </row>
    <row r="67" spans="3:4" x14ac:dyDescent="0.2">
      <c r="C67" t="s">
        <v>237</v>
      </c>
      <c r="D67" t="s">
        <v>303</v>
      </c>
    </row>
    <row r="68" spans="3:4" x14ac:dyDescent="0.2">
      <c r="C68" t="s">
        <v>236</v>
      </c>
      <c r="D68" t="s">
        <v>303</v>
      </c>
    </row>
    <row r="69" spans="3:4" x14ac:dyDescent="0.2">
      <c r="C69" t="s">
        <v>235</v>
      </c>
      <c r="D69" t="s">
        <v>303</v>
      </c>
    </row>
    <row r="70" spans="3:4" x14ac:dyDescent="0.2">
      <c r="C70" t="s">
        <v>234</v>
      </c>
      <c r="D70" t="s">
        <v>303</v>
      </c>
    </row>
    <row r="71" spans="3:4" x14ac:dyDescent="0.2">
      <c r="C71" t="s">
        <v>233</v>
      </c>
      <c r="D71" t="s">
        <v>303</v>
      </c>
    </row>
    <row r="72" spans="3:4" x14ac:dyDescent="0.2">
      <c r="C72" t="s">
        <v>232</v>
      </c>
      <c r="D72" t="s">
        <v>303</v>
      </c>
    </row>
    <row r="73" spans="3:4" x14ac:dyDescent="0.2">
      <c r="C73" t="s">
        <v>231</v>
      </c>
      <c r="D73" t="s">
        <v>303</v>
      </c>
    </row>
    <row r="74" spans="3:4" x14ac:dyDescent="0.2">
      <c r="C74" t="s">
        <v>230</v>
      </c>
      <c r="D74" t="s">
        <v>303</v>
      </c>
    </row>
    <row r="75" spans="3:4" x14ac:dyDescent="0.2">
      <c r="C75" t="s">
        <v>229</v>
      </c>
      <c r="D75" t="s">
        <v>303</v>
      </c>
    </row>
    <row r="76" spans="3:4" x14ac:dyDescent="0.2">
      <c r="C76" t="s">
        <v>228</v>
      </c>
      <c r="D76" t="s">
        <v>303</v>
      </c>
    </row>
    <row r="77" spans="3:4" x14ac:dyDescent="0.2">
      <c r="C77" t="s">
        <v>227</v>
      </c>
      <c r="D77" t="s">
        <v>303</v>
      </c>
    </row>
    <row r="78" spans="3:4" x14ac:dyDescent="0.2">
      <c r="C78" t="s">
        <v>226</v>
      </c>
      <c r="D78" t="s">
        <v>303</v>
      </c>
    </row>
    <row r="79" spans="3:4" x14ac:dyDescent="0.2">
      <c r="C79" t="s">
        <v>221</v>
      </c>
      <c r="D79" t="s">
        <v>303</v>
      </c>
    </row>
    <row r="80" spans="3:4" x14ac:dyDescent="0.2">
      <c r="C80" t="s">
        <v>220</v>
      </c>
      <c r="D80" t="s">
        <v>303</v>
      </c>
    </row>
    <row r="81" spans="3:4" x14ac:dyDescent="0.2">
      <c r="C81" t="s">
        <v>219</v>
      </c>
      <c r="D81" t="s">
        <v>303</v>
      </c>
    </row>
    <row r="82" spans="3:4" x14ac:dyDescent="0.2">
      <c r="C82" t="s">
        <v>218</v>
      </c>
      <c r="D82" t="s">
        <v>303</v>
      </c>
    </row>
    <row r="83" spans="3:4" x14ac:dyDescent="0.2">
      <c r="C83" t="s">
        <v>217</v>
      </c>
      <c r="D83" t="s">
        <v>303</v>
      </c>
    </row>
    <row r="84" spans="3:4" x14ac:dyDescent="0.2">
      <c r="C84" t="s">
        <v>216</v>
      </c>
      <c r="D84" t="s">
        <v>303</v>
      </c>
    </row>
    <row r="85" spans="3:4" x14ac:dyDescent="0.2">
      <c r="C85" t="s">
        <v>215</v>
      </c>
      <c r="D85" t="s">
        <v>303</v>
      </c>
    </row>
    <row r="86" spans="3:4" x14ac:dyDescent="0.2">
      <c r="C86" t="s">
        <v>214</v>
      </c>
      <c r="D86" t="s">
        <v>303</v>
      </c>
    </row>
    <row r="87" spans="3:4" x14ac:dyDescent="0.2">
      <c r="C87" t="s">
        <v>213</v>
      </c>
      <c r="D87" t="s">
        <v>303</v>
      </c>
    </row>
    <row r="88" spans="3:4" x14ac:dyDescent="0.2">
      <c r="C88" t="s">
        <v>212</v>
      </c>
      <c r="D88" t="s">
        <v>303</v>
      </c>
    </row>
    <row r="89" spans="3:4" x14ac:dyDescent="0.2">
      <c r="C89" t="s">
        <v>211</v>
      </c>
      <c r="D89" t="s">
        <v>303</v>
      </c>
    </row>
    <row r="90" spans="3:4" x14ac:dyDescent="0.2">
      <c r="C90" t="s">
        <v>210</v>
      </c>
      <c r="D90" t="s">
        <v>303</v>
      </c>
    </row>
    <row r="91" spans="3:4" x14ac:dyDescent="0.2">
      <c r="C91" t="s">
        <v>209</v>
      </c>
      <c r="D91" t="s">
        <v>303</v>
      </c>
    </row>
    <row r="92" spans="3:4" x14ac:dyDescent="0.2">
      <c r="C92" t="s">
        <v>208</v>
      </c>
      <c r="D92" t="s">
        <v>303</v>
      </c>
    </row>
    <row r="93" spans="3:4" x14ac:dyDescent="0.2">
      <c r="C93" t="s">
        <v>207</v>
      </c>
      <c r="D93" t="s">
        <v>303</v>
      </c>
    </row>
    <row r="94" spans="3:4" x14ac:dyDescent="0.2">
      <c r="C94" t="s">
        <v>206</v>
      </c>
      <c r="D94" t="s">
        <v>303</v>
      </c>
    </row>
    <row r="95" spans="3:4" x14ac:dyDescent="0.2">
      <c r="C95" t="s">
        <v>205</v>
      </c>
      <c r="D95" t="s">
        <v>303</v>
      </c>
    </row>
    <row r="96" spans="3:4" x14ac:dyDescent="0.2">
      <c r="C96" t="s">
        <v>204</v>
      </c>
      <c r="D96" t="s">
        <v>303</v>
      </c>
    </row>
    <row r="97" spans="3:4" x14ac:dyDescent="0.2">
      <c r="C97" t="s">
        <v>203</v>
      </c>
      <c r="D97" t="s">
        <v>303</v>
      </c>
    </row>
    <row r="98" spans="3:4" x14ac:dyDescent="0.2">
      <c r="C98" t="s">
        <v>202</v>
      </c>
      <c r="D98" t="s">
        <v>303</v>
      </c>
    </row>
    <row r="99" spans="3:4" x14ac:dyDescent="0.2">
      <c r="C99" t="s">
        <v>201</v>
      </c>
      <c r="D99" t="s">
        <v>303</v>
      </c>
    </row>
    <row r="100" spans="3:4" x14ac:dyDescent="0.2">
      <c r="C100" t="s">
        <v>200</v>
      </c>
      <c r="D100" t="s">
        <v>304</v>
      </c>
    </row>
    <row r="101" spans="3:4" x14ac:dyDescent="0.2">
      <c r="C101" t="s">
        <v>199</v>
      </c>
      <c r="D101" t="s">
        <v>304</v>
      </c>
    </row>
    <row r="102" spans="3:4" x14ac:dyDescent="0.2">
      <c r="C102" t="s">
        <v>198</v>
      </c>
      <c r="D102" t="s">
        <v>304</v>
      </c>
    </row>
    <row r="103" spans="3:4" x14ac:dyDescent="0.2">
      <c r="C103" t="s">
        <v>197</v>
      </c>
      <c r="D103" t="s">
        <v>304</v>
      </c>
    </row>
    <row r="104" spans="3:4" x14ac:dyDescent="0.2">
      <c r="C104" t="s">
        <v>196</v>
      </c>
      <c r="D104" t="s">
        <v>304</v>
      </c>
    </row>
    <row r="105" spans="3:4" x14ac:dyDescent="0.2">
      <c r="C105" t="s">
        <v>195</v>
      </c>
      <c r="D105" t="s">
        <v>304</v>
      </c>
    </row>
    <row r="106" spans="3:4" x14ac:dyDescent="0.2">
      <c r="C106" t="s">
        <v>194</v>
      </c>
      <c r="D106" t="s">
        <v>304</v>
      </c>
    </row>
    <row r="107" spans="3:4" x14ac:dyDescent="0.2">
      <c r="C107" t="s">
        <v>193</v>
      </c>
      <c r="D107" t="s">
        <v>304</v>
      </c>
    </row>
    <row r="108" spans="3:4" x14ac:dyDescent="0.2">
      <c r="C108" t="s">
        <v>192</v>
      </c>
      <c r="D108" t="s">
        <v>304</v>
      </c>
    </row>
    <row r="109" spans="3:4" x14ac:dyDescent="0.2">
      <c r="C109" t="s">
        <v>191</v>
      </c>
      <c r="D109" t="s">
        <v>304</v>
      </c>
    </row>
    <row r="110" spans="3:4" x14ac:dyDescent="0.2">
      <c r="C110" t="s">
        <v>184</v>
      </c>
      <c r="D110" t="s">
        <v>304</v>
      </c>
    </row>
    <row r="111" spans="3:4" x14ac:dyDescent="0.2">
      <c r="C111" t="s">
        <v>183</v>
      </c>
      <c r="D111" t="s">
        <v>304</v>
      </c>
    </row>
    <row r="112" spans="3:4" x14ac:dyDescent="0.2">
      <c r="C112" t="s">
        <v>182</v>
      </c>
      <c r="D112" t="s">
        <v>304</v>
      </c>
    </row>
    <row r="113" spans="3:4" x14ac:dyDescent="0.2">
      <c r="C113" t="s">
        <v>181</v>
      </c>
      <c r="D113" t="s">
        <v>304</v>
      </c>
    </row>
    <row r="114" spans="3:4" x14ac:dyDescent="0.2">
      <c r="C114" t="s">
        <v>180</v>
      </c>
      <c r="D114" t="s">
        <v>304</v>
      </c>
    </row>
    <row r="115" spans="3:4" x14ac:dyDescent="0.2">
      <c r="C115" t="s">
        <v>179</v>
      </c>
      <c r="D115" t="s">
        <v>304</v>
      </c>
    </row>
    <row r="116" spans="3:4" x14ac:dyDescent="0.2">
      <c r="C116" t="s">
        <v>178</v>
      </c>
      <c r="D116" t="s">
        <v>304</v>
      </c>
    </row>
    <row r="117" spans="3:4" x14ac:dyDescent="0.2">
      <c r="C117" t="s">
        <v>190</v>
      </c>
      <c r="D117" t="s">
        <v>304</v>
      </c>
    </row>
    <row r="118" spans="3:4" x14ac:dyDescent="0.2">
      <c r="C118" t="s">
        <v>189</v>
      </c>
      <c r="D118" t="s">
        <v>304</v>
      </c>
    </row>
    <row r="119" spans="3:4" x14ac:dyDescent="0.2">
      <c r="C119" t="s">
        <v>188</v>
      </c>
      <c r="D119" t="s">
        <v>304</v>
      </c>
    </row>
    <row r="120" spans="3:4" x14ac:dyDescent="0.2">
      <c r="C120" t="s">
        <v>187</v>
      </c>
      <c r="D120" t="s">
        <v>304</v>
      </c>
    </row>
    <row r="121" spans="3:4" x14ac:dyDescent="0.2">
      <c r="C121" t="s">
        <v>186</v>
      </c>
      <c r="D121" t="s">
        <v>304</v>
      </c>
    </row>
    <row r="122" spans="3:4" x14ac:dyDescent="0.2">
      <c r="C122" t="s">
        <v>185</v>
      </c>
      <c r="D122" t="s">
        <v>304</v>
      </c>
    </row>
    <row r="123" spans="3:4" x14ac:dyDescent="0.2">
      <c r="C123" t="s">
        <v>168</v>
      </c>
      <c r="D123" t="s">
        <v>305</v>
      </c>
    </row>
    <row r="124" spans="3:4" x14ac:dyDescent="0.2">
      <c r="C124" t="s">
        <v>167</v>
      </c>
      <c r="D124" t="s">
        <v>305</v>
      </c>
    </row>
    <row r="125" spans="3:4" x14ac:dyDescent="0.2">
      <c r="C125" t="s">
        <v>166</v>
      </c>
      <c r="D125" t="s">
        <v>305</v>
      </c>
    </row>
    <row r="126" spans="3:4" x14ac:dyDescent="0.2">
      <c r="C126" t="s">
        <v>165</v>
      </c>
      <c r="D126" t="s">
        <v>305</v>
      </c>
    </row>
    <row r="127" spans="3:4" x14ac:dyDescent="0.2">
      <c r="C127" t="s">
        <v>164</v>
      </c>
      <c r="D127" t="s">
        <v>305</v>
      </c>
    </row>
    <row r="128" spans="3:4" x14ac:dyDescent="0.2">
      <c r="C128" t="s">
        <v>163</v>
      </c>
      <c r="D128" t="s">
        <v>305</v>
      </c>
    </row>
    <row r="129" spans="3:4" x14ac:dyDescent="0.2">
      <c r="C129" t="s">
        <v>177</v>
      </c>
      <c r="D129" t="s">
        <v>305</v>
      </c>
    </row>
    <row r="130" spans="3:4" x14ac:dyDescent="0.2">
      <c r="C130" t="s">
        <v>176</v>
      </c>
      <c r="D130" t="s">
        <v>305</v>
      </c>
    </row>
    <row r="131" spans="3:4" x14ac:dyDescent="0.2">
      <c r="C131" t="s">
        <v>175</v>
      </c>
      <c r="D131" t="s">
        <v>305</v>
      </c>
    </row>
    <row r="132" spans="3:4" x14ac:dyDescent="0.2">
      <c r="C132" t="s">
        <v>174</v>
      </c>
      <c r="D132" t="s">
        <v>305</v>
      </c>
    </row>
    <row r="133" spans="3:4" x14ac:dyDescent="0.2">
      <c r="C133" t="s">
        <v>173</v>
      </c>
      <c r="D133" t="s">
        <v>305</v>
      </c>
    </row>
    <row r="134" spans="3:4" x14ac:dyDescent="0.2">
      <c r="C134" t="s">
        <v>172</v>
      </c>
      <c r="D134" t="s">
        <v>305</v>
      </c>
    </row>
    <row r="135" spans="3:4" x14ac:dyDescent="0.2">
      <c r="C135" t="s">
        <v>171</v>
      </c>
      <c r="D135" t="s">
        <v>305</v>
      </c>
    </row>
    <row r="136" spans="3:4" x14ac:dyDescent="0.2">
      <c r="C136" t="s">
        <v>170</v>
      </c>
      <c r="D136" t="s">
        <v>305</v>
      </c>
    </row>
    <row r="137" spans="3:4" x14ac:dyDescent="0.2">
      <c r="C137" t="s">
        <v>169</v>
      </c>
      <c r="D137" t="s">
        <v>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Point Estimates Grandes Regioes</vt:lpstr>
      <vt:lpstr>Adm e Desl Grandes Regioes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2017-03-02T18:20:15Z</dcterms:created>
  <dcterms:modified xsi:type="dcterms:W3CDTF">2017-03-02T18:55:26Z</dcterms:modified>
</cp:coreProperties>
</file>