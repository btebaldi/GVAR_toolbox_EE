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2.xml" ContentType="application/vnd.openxmlformats-officedocument.drawing+xml"/>
  <Override PartName="/xl/charts/chart5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17-3DifAr2-2\GIRFs\DOMINANT UNIT MODEL 1se pos shock to ProducaoIndustrial_BR\"/>
    </mc:Choice>
  </mc:AlternateContent>
  <bookViews>
    <workbookView xWindow="480" yWindow="30" windowWidth="16020" windowHeight="8880" activeTab="3"/>
  </bookViews>
  <sheets>
    <sheet name="Graphs" sheetId="1" r:id="rId1"/>
    <sheet name="Point Estimates" sheetId="7" r:id="rId2"/>
    <sheet name="Planilha1" sheetId="8" r:id="rId3"/>
    <sheet name="Gráfico1" sheetId="10" r:id="rId4"/>
    <sheet name="Planilha2" sheetId="9" r:id="rId5"/>
  </sheets>
  <calcPr calcId="171027"/>
</workbook>
</file>

<file path=xl/calcChain.xml><?xml version="1.0" encoding="utf-8"?>
<calcChain xmlns="http://schemas.openxmlformats.org/spreadsheetml/2006/main">
  <c r="B13" i="9" l="1"/>
  <c r="C11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B11" i="9"/>
  <c r="C2" i="9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AF2" i="9"/>
  <c r="AG2" i="9"/>
  <c r="AH2" i="9"/>
  <c r="AI2" i="9"/>
  <c r="AJ2" i="9"/>
  <c r="AK2" i="9"/>
  <c r="AL2" i="9"/>
  <c r="AM2" i="9"/>
  <c r="AN2" i="9"/>
  <c r="AO2" i="9"/>
  <c r="AP2" i="9"/>
  <c r="AQ2" i="9"/>
  <c r="AR2" i="9"/>
  <c r="AS2" i="9"/>
  <c r="AT2" i="9"/>
  <c r="AU2" i="9"/>
  <c r="AV2" i="9"/>
  <c r="AW2" i="9"/>
  <c r="AX2" i="9"/>
  <c r="C3" i="9"/>
  <c r="D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W3" i="9"/>
  <c r="X3" i="9"/>
  <c r="Y3" i="9"/>
  <c r="Z3" i="9"/>
  <c r="AA3" i="9"/>
  <c r="AB3" i="9"/>
  <c r="AC3" i="9"/>
  <c r="AD3" i="9"/>
  <c r="AE3" i="9"/>
  <c r="AF3" i="9"/>
  <c r="AG3" i="9"/>
  <c r="AH3" i="9"/>
  <c r="AI3" i="9"/>
  <c r="AJ3" i="9"/>
  <c r="AK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C4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AH4" i="9"/>
  <c r="AI4" i="9"/>
  <c r="AJ4" i="9"/>
  <c r="AK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C5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AJ5" i="9"/>
  <c r="AK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C6" i="9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AJ6" i="9"/>
  <c r="AK6" i="9"/>
  <c r="AL6" i="9"/>
  <c r="AM6" i="9"/>
  <c r="AN6" i="9"/>
  <c r="AO6" i="9"/>
  <c r="AP6" i="9"/>
  <c r="AQ6" i="9"/>
  <c r="AR6" i="9"/>
  <c r="AR8" i="9" s="1"/>
  <c r="AS6" i="9"/>
  <c r="AT6" i="9"/>
  <c r="AU6" i="9"/>
  <c r="AV6" i="9"/>
  <c r="AV8" i="9" s="1"/>
  <c r="AW6" i="9"/>
  <c r="AX6" i="9"/>
  <c r="AX8" i="9" s="1"/>
  <c r="C8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AJ8" i="9"/>
  <c r="AK8" i="9"/>
  <c r="AL8" i="9"/>
  <c r="AM8" i="9"/>
  <c r="AN8" i="9"/>
  <c r="AO8" i="9"/>
  <c r="AP8" i="9"/>
  <c r="AQ8" i="9"/>
  <c r="AS8" i="9"/>
  <c r="AT8" i="9"/>
  <c r="AU8" i="9"/>
  <c r="AW8" i="9"/>
  <c r="C9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AJ9" i="9"/>
  <c r="AK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B9" i="9"/>
  <c r="B8" i="9"/>
  <c r="B3" i="9"/>
  <c r="B4" i="9"/>
  <c r="B5" i="9"/>
  <c r="B6" i="9"/>
  <c r="B2" i="9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AK141" i="8"/>
  <c r="AL141" i="8"/>
  <c r="AM141" i="8"/>
  <c r="AN141" i="8"/>
  <c r="AO141" i="8"/>
  <c r="AP141" i="8"/>
  <c r="AQ141" i="8"/>
  <c r="AR141" i="8"/>
  <c r="AS141" i="8"/>
  <c r="AT141" i="8"/>
  <c r="AU141" i="8"/>
  <c r="AV141" i="8"/>
  <c r="AW141" i="8"/>
  <c r="AX141" i="8"/>
  <c r="AY141" i="8"/>
  <c r="AZ141" i="8"/>
  <c r="BA141" i="8"/>
  <c r="BB141" i="8"/>
  <c r="F141" i="8"/>
  <c r="D143" i="7"/>
  <c r="E143" i="7"/>
  <c r="F143" i="7"/>
  <c r="G143" i="7"/>
  <c r="H143" i="7"/>
  <c r="I143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AJ143" i="7"/>
  <c r="AK143" i="7"/>
  <c r="AL143" i="7"/>
  <c r="AM143" i="7"/>
  <c r="AN143" i="7"/>
  <c r="AO143" i="7"/>
  <c r="AP143" i="7"/>
  <c r="AQ143" i="7"/>
  <c r="AR143" i="7"/>
  <c r="AS143" i="7"/>
  <c r="AT143" i="7"/>
  <c r="AU143" i="7"/>
  <c r="AV143" i="7"/>
  <c r="AW143" i="7"/>
  <c r="AX143" i="7"/>
  <c r="AY143" i="7"/>
  <c r="C143" i="7"/>
  <c r="AJ135" i="1"/>
  <c r="AB135" i="1"/>
  <c r="T135" i="1"/>
  <c r="L135" i="1"/>
  <c r="D135" i="1"/>
  <c r="AJ116" i="1"/>
  <c r="AB116" i="1"/>
  <c r="T116" i="1"/>
  <c r="L116" i="1"/>
  <c r="D116" i="1"/>
  <c r="AJ97" i="1"/>
  <c r="AB97" i="1"/>
  <c r="T97" i="1"/>
  <c r="L97" i="1"/>
  <c r="D97" i="1"/>
  <c r="AJ78" i="1"/>
  <c r="AB78" i="1"/>
  <c r="T78" i="1"/>
  <c r="L78" i="1"/>
  <c r="D78" i="1"/>
  <c r="AJ59" i="1"/>
  <c r="AB59" i="1"/>
  <c r="T59" i="1"/>
  <c r="L59" i="1"/>
  <c r="D59" i="1"/>
  <c r="AJ40" i="1"/>
  <c r="AB40" i="1"/>
  <c r="T40" i="1"/>
  <c r="L40" i="1"/>
  <c r="D40" i="1"/>
  <c r="AJ21" i="1"/>
  <c r="AB21" i="1"/>
  <c r="T21" i="1"/>
  <c r="L21" i="1"/>
  <c r="D21" i="1"/>
  <c r="AJ2" i="1"/>
  <c r="AB2" i="1"/>
  <c r="T2" i="1"/>
  <c r="U2" i="1"/>
  <c r="L2" i="1"/>
  <c r="AK135" i="1"/>
  <c r="AK116" i="1"/>
  <c r="AK97" i="1"/>
  <c r="AK78" i="1"/>
  <c r="AK59" i="1"/>
  <c r="AK40" i="1"/>
  <c r="AK21" i="1"/>
  <c r="AK2" i="1"/>
  <c r="AC2" i="1"/>
  <c r="AC21" i="1"/>
  <c r="AC40" i="1"/>
  <c r="AC59" i="1"/>
  <c r="AC78" i="1"/>
  <c r="AC97" i="1"/>
  <c r="AC116" i="1"/>
  <c r="AC135" i="1"/>
  <c r="U135" i="1"/>
  <c r="U116" i="1"/>
  <c r="U97" i="1"/>
  <c r="U78" i="1"/>
  <c r="U59" i="1"/>
  <c r="U40" i="1"/>
  <c r="U21" i="1"/>
  <c r="M40" i="1"/>
  <c r="M59" i="1"/>
  <c r="M78" i="1"/>
  <c r="M97" i="1"/>
  <c r="M116" i="1"/>
  <c r="M135" i="1"/>
  <c r="E135" i="1"/>
  <c r="E116" i="1"/>
  <c r="E97" i="1"/>
  <c r="E78" i="1"/>
  <c r="E59" i="1"/>
  <c r="E40" i="1"/>
  <c r="M21" i="1"/>
  <c r="E21" i="1"/>
  <c r="M2" i="1"/>
  <c r="E2" i="1"/>
  <c r="D2" i="1"/>
  <c r="F140" i="8" l="1"/>
  <c r="F143" i="8" s="1"/>
  <c r="J140" i="8"/>
  <c r="J143" i="8" s="1"/>
  <c r="O140" i="8"/>
  <c r="O143" i="8" s="1"/>
  <c r="I140" i="8"/>
  <c r="I143" i="8" s="1"/>
  <c r="M140" i="8"/>
  <c r="M143" i="8" s="1"/>
  <c r="X140" i="8"/>
  <c r="X143" i="8" s="1"/>
  <c r="H140" i="8"/>
  <c r="H143" i="8" s="1"/>
  <c r="L140" i="8"/>
  <c r="L143" i="8" s="1"/>
  <c r="R140" i="8"/>
  <c r="R143" i="8" s="1"/>
  <c r="G140" i="8"/>
  <c r="G143" i="8" s="1"/>
  <c r="P140" i="8"/>
  <c r="P143" i="8" s="1"/>
  <c r="AA140" i="8" l="1"/>
  <c r="AA143" i="8" s="1"/>
  <c r="K140" i="8"/>
  <c r="K143" i="8" s="1"/>
  <c r="S140" i="8"/>
  <c r="S143" i="8" s="1"/>
  <c r="U140" i="8"/>
  <c r="U143" i="8" s="1"/>
  <c r="AD140" i="8" l="1"/>
  <c r="AD143" i="8" s="1"/>
  <c r="N140" i="8"/>
  <c r="N143" i="8" s="1"/>
  <c r="V140" i="8"/>
  <c r="V143" i="8" s="1"/>
  <c r="Q140" i="8" l="1"/>
  <c r="Q143" i="8" s="1"/>
  <c r="AG140" i="8"/>
  <c r="AG143" i="8" s="1"/>
  <c r="Y140" i="8"/>
  <c r="Y143" i="8" s="1"/>
  <c r="AJ140" i="8" l="1"/>
  <c r="AJ143" i="8" s="1"/>
  <c r="AB140" i="8"/>
  <c r="AB143" i="8" s="1"/>
  <c r="T140" i="8"/>
  <c r="T143" i="8" s="1"/>
  <c r="W140" i="8" l="1"/>
  <c r="W143" i="8" s="1"/>
  <c r="AE140" i="8"/>
  <c r="AE143" i="8" s="1"/>
  <c r="AM140" i="8"/>
  <c r="AM143" i="8" s="1"/>
  <c r="AH140" i="8" l="1"/>
  <c r="AH143" i="8" s="1"/>
  <c r="Z140" i="8"/>
  <c r="Z143" i="8" s="1"/>
  <c r="AP140" i="8"/>
  <c r="AP143" i="8" s="1"/>
  <c r="AS140" i="8" l="1"/>
  <c r="AS143" i="8" s="1"/>
  <c r="AC140" i="8"/>
  <c r="AC143" i="8" s="1"/>
  <c r="AK140" i="8"/>
  <c r="AK143" i="8" s="1"/>
  <c r="AF140" i="8" l="1"/>
  <c r="AF143" i="8" s="1"/>
  <c r="AN140" i="8"/>
  <c r="AN143" i="8" s="1"/>
  <c r="AV140" i="8"/>
  <c r="AV143" i="8" s="1"/>
  <c r="AQ140" i="8" l="1"/>
  <c r="AQ143" i="8" s="1"/>
  <c r="AI140" i="8"/>
  <c r="AI143" i="8" s="1"/>
  <c r="BB140" i="8"/>
  <c r="BB143" i="8" s="1"/>
  <c r="AY140" i="8"/>
  <c r="AY143" i="8" s="1"/>
  <c r="AL140" i="8" l="1"/>
  <c r="AL143" i="8" s="1"/>
  <c r="AT140" i="8"/>
  <c r="AT143" i="8" s="1"/>
  <c r="AZ140" i="8" l="1"/>
  <c r="AZ143" i="8" s="1"/>
  <c r="AW140" i="8"/>
  <c r="AW143" i="8" s="1"/>
  <c r="AO140" i="8"/>
  <c r="AO143" i="8" s="1"/>
  <c r="AR140" i="8" l="1"/>
  <c r="AR143" i="8" s="1"/>
  <c r="AU140" i="8" l="1"/>
  <c r="AU143" i="8" s="1"/>
  <c r="BA140" i="8" l="1"/>
  <c r="BA143" i="8" s="1"/>
  <c r="C143" i="8" s="1"/>
  <c r="AX140" i="8"/>
  <c r="AX143" i="8" s="1"/>
</calcChain>
</file>

<file path=xl/sharedStrings.xml><?xml version="1.0" encoding="utf-8"?>
<sst xmlns="http://schemas.openxmlformats.org/spreadsheetml/2006/main" count="694" uniqueCount="284">
  <si>
    <t>Generalized Impulse Response Functions</t>
  </si>
  <si>
    <t>One s.e. Positive Shock to DOMINANT UNIT MODEL ProducaoIndustrial_BR</t>
  </si>
  <si>
    <t>Point Estimates</t>
  </si>
  <si>
    <t>Ro - Madeira-Guapore</t>
  </si>
  <si>
    <t>desl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</si>
  <si>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</si>
  <si>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</si>
  <si>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</si>
  <si>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</si>
  <si>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</si>
  <si>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</si>
  <si>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</si>
  <si>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</si>
  <si>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</si>
  <si>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</si>
  <si>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</si>
  <si>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</si>
  <si>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</si>
  <si>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</si>
  <si>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</si>
  <si>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</si>
  <si>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</si>
  <si>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</si>
  <si>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</si>
  <si>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</si>
  <si>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</si>
  <si>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</si>
  <si>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</si>
  <si>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</si>
  <si>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</si>
  <si>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</si>
  <si>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</si>
  <si>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</si>
  <si>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</si>
  <si>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</si>
  <si>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</si>
  <si>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</si>
  <si>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</si>
  <si>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</si>
  <si>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</si>
  <si>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</si>
  <si>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</si>
  <si>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</si>
  <si>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</si>
  <si>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</si>
  <si>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</si>
  <si>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</si>
  <si>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</si>
  <si>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</si>
  <si>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</si>
  <si>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</si>
  <si>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</si>
  <si>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</si>
  <si>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</si>
  <si>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</si>
  <si>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</si>
  <si>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</si>
  <si>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</si>
  <si>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</si>
  <si>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</si>
  <si>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</si>
  <si>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</si>
  <si>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</si>
  <si>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</si>
  <si>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</si>
  <si>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</si>
  <si>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</si>
  <si>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</si>
  <si>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</si>
  <si>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</si>
  <si>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</si>
  <si>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</si>
  <si>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</si>
  <si>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</si>
  <si>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</si>
  <si>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</si>
  <si>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</si>
  <si>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</si>
  <si>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</si>
  <si>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</si>
  <si>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</si>
  <si>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</si>
  <si>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</si>
  <si>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</si>
  <si>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</si>
  <si>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</si>
  <si>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</si>
  <si>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</si>
  <si>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</si>
  <si>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</si>
  <si>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</si>
  <si>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</si>
  <si>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</si>
  <si>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</si>
  <si>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</si>
  <si>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</si>
  <si>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</si>
  <si>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</si>
  <si>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</si>
  <si>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</si>
  <si>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</si>
  <si>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</si>
  <si>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</si>
  <si>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</si>
  <si>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</si>
  <si>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</si>
  <si>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</si>
  <si>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</si>
  <si>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</si>
  <si>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</si>
  <si>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</si>
  <si>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</si>
  <si>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</si>
  <si>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</si>
  <si>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</si>
  <si>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</si>
  <si>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</si>
  <si>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</si>
  <si>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</si>
  <si>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</si>
  <si>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</si>
  <si>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</si>
  <si>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</si>
  <si>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</si>
  <si>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</si>
  <si>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</si>
  <si>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</si>
  <si>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</si>
  <si>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</si>
  <si>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</si>
  <si>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</si>
  <si>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</si>
  <si>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</si>
  <si>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</si>
  <si>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</si>
  <si>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</si>
  <si>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</si>
  <si>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</si>
  <si>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</si>
  <si>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</si>
  <si>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</si>
  <si>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norte</t>
  </si>
  <si>
    <t>Ac1201</t>
  </si>
  <si>
    <t>Ac1202</t>
  </si>
  <si>
    <t>Am1301</t>
  </si>
  <si>
    <t>Am1302</t>
  </si>
  <si>
    <t>Am1303</t>
  </si>
  <si>
    <t>Am1304</t>
  </si>
  <si>
    <t>Ap1601</t>
  </si>
  <si>
    <t>Ap1602</t>
  </si>
  <si>
    <t>Pa1501</t>
  </si>
  <si>
    <t>Pa1502</t>
  </si>
  <si>
    <t>Pa1503</t>
  </si>
  <si>
    <t>Pa1504</t>
  </si>
  <si>
    <t>Pa1505</t>
  </si>
  <si>
    <t>Pa1506</t>
  </si>
  <si>
    <t>Ro1101</t>
  </si>
  <si>
    <t>Ro1102</t>
  </si>
  <si>
    <t>Rr1401</t>
  </si>
  <si>
    <t>Rr1402</t>
  </si>
  <si>
    <t>To1701</t>
  </si>
  <si>
    <t>To1702</t>
  </si>
  <si>
    <t>nordeste</t>
  </si>
  <si>
    <t>Al2701</t>
  </si>
  <si>
    <t>Al2702</t>
  </si>
  <si>
    <t>Al2703</t>
  </si>
  <si>
    <t>Ba2901</t>
  </si>
  <si>
    <t>Ba2902</t>
  </si>
  <si>
    <t>Ba2903</t>
  </si>
  <si>
    <t>Ba2904</t>
  </si>
  <si>
    <t>Ba2905</t>
  </si>
  <si>
    <t>Ba2906</t>
  </si>
  <si>
    <t>Ba2907</t>
  </si>
  <si>
    <t>Ce2301</t>
  </si>
  <si>
    <t>Ce2302</t>
  </si>
  <si>
    <t>Ce2303</t>
  </si>
  <si>
    <t>Ce2304</t>
  </si>
  <si>
    <t>Ce2305</t>
  </si>
  <si>
    <t>Ce2306</t>
  </si>
  <si>
    <t>Ce2307</t>
  </si>
  <si>
    <t>Ma2101</t>
  </si>
  <si>
    <t>Ma2102</t>
  </si>
  <si>
    <t>Ma2103</t>
  </si>
  <si>
    <t>Ma2104</t>
  </si>
  <si>
    <t>Ma2105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</si>
  <si>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</si>
  <si>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</si>
  <si>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</si>
  <si>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</si>
  <si>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</si>
  <si>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</si>
  <si>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</si>
  <si>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</si>
  <si>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</si>
  <si>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Pi2201</t>
  </si>
  <si>
    <t>Pi2202</t>
  </si>
  <si>
    <t>Pi2203</t>
  </si>
  <si>
    <t>Pi2204</t>
  </si>
  <si>
    <t>Rn2401</t>
  </si>
  <si>
    <t>Rn2402</t>
  </si>
  <si>
    <t>Rn2403</t>
  </si>
  <si>
    <t>Rn2404</t>
  </si>
  <si>
    <t>Se2801</t>
  </si>
  <si>
    <t>Se2802</t>
  </si>
  <si>
    <t>Se2803</t>
  </si>
  <si>
    <t>sudeste</t>
  </si>
  <si>
    <t>Es3201</t>
  </si>
  <si>
    <t>Es3202</t>
  </si>
  <si>
    <t>Es3203</t>
  </si>
  <si>
    <t>Es3204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</si>
  <si>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</si>
  <si>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</si>
  <si>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</si>
  <si>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</si>
  <si>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</si>
  <si>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</si>
  <si>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</si>
  <si>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</si>
  <si>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</si>
  <si>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</si>
  <si>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</si>
  <si>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</si>
  <si>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</si>
  <si>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</si>
  <si>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</si>
  <si>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</si>
  <si>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</si>
  <si>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</si>
  <si>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</si>
  <si>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</si>
  <si>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</si>
  <si>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</si>
  <si>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</si>
  <si>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</si>
  <si>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</si>
  <si>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</si>
  <si>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</si>
  <si>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</si>
  <si>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</si>
  <si>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</si>
  <si>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</si>
  <si>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</si>
  <si>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</si>
  <si>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sul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</si>
  <si>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</si>
  <si>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</si>
  <si>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</si>
  <si>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</si>
  <si>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</si>
  <si>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</si>
  <si>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</si>
  <si>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</si>
  <si>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</si>
  <si>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</si>
  <si>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Rs4301</t>
  </si>
  <si>
    <t>Rs4302</t>
  </si>
  <si>
    <t>Rs4303</t>
  </si>
  <si>
    <t>Rs4304</t>
  </si>
  <si>
    <t>Rs4305</t>
  </si>
  <si>
    <t>Rs4306</t>
  </si>
  <si>
    <t>Rs4307</t>
  </si>
  <si>
    <t>Sc4201</t>
  </si>
  <si>
    <t>Sc4202</t>
  </si>
  <si>
    <t>Sc4203</t>
  </si>
  <si>
    <t>Sc4204</t>
  </si>
  <si>
    <t>Sc4205</t>
  </si>
  <si>
    <t>Sc4206</t>
  </si>
  <si>
    <t>centro</t>
  </si>
  <si>
    <t>Go5201</t>
  </si>
  <si>
    <t>Go5202</t>
  </si>
  <si>
    <t>Go5203</t>
  </si>
  <si>
    <t>Go5204</t>
  </si>
  <si>
    <t>Go5205</t>
  </si>
  <si>
    <t>Go5301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</si>
  <si>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</si>
  <si>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</si>
  <si>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</si>
  <si>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</si>
  <si>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</si>
  <si>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</si>
  <si>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</si>
  <si>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</si>
  <si>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</si>
  <si>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Regiao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</si>
</sst>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6525819286518"/>
          <c:y val="0.14457888028238061"/>
          <c:w val="0.79345185750041514"/>
          <c:h val="0.70281400137268357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Estimates'!$C$5:$AQ$5</c:f>
              <c:numCache>
                <c:formatCode>General</c:formatCode>
                <c:ptCount val="41"/>
                <c:pt idx="0">
                  <c:v>64.986854394084105</c:v>
                </c:pt>
                <c:pt idx="1">
                  <c:v>124.7097829284094</c:v>
                </c:pt>
                <c:pt idx="2">
                  <c:v>237.19749720281899</c:v>
                </c:pt>
                <c:pt idx="3">
                  <c:v>199.16752870199869</c:v>
                </c:pt>
                <c:pt idx="4">
                  <c:v>271.68685897406789</c:v>
                </c:pt>
                <c:pt idx="5">
                  <c:v>273.72944707351172</c:v>
                </c:pt>
                <c:pt idx="6">
                  <c:v>327.02030231864387</c:v>
                </c:pt>
                <c:pt idx="7">
                  <c:v>361.90920009491958</c:v>
                </c:pt>
                <c:pt idx="8">
                  <c:v>386.09030472423211</c:v>
                </c:pt>
                <c:pt idx="9">
                  <c:v>432.38879653094159</c:v>
                </c:pt>
                <c:pt idx="10">
                  <c:v>451.4549404464239</c:v>
                </c:pt>
                <c:pt idx="11">
                  <c:v>482.40561543267341</c:v>
                </c:pt>
                <c:pt idx="12">
                  <c:v>495.32276118163406</c:v>
                </c:pt>
                <c:pt idx="13">
                  <c:v>506.38673300473931</c:v>
                </c:pt>
                <c:pt idx="14">
                  <c:v>517.32034523308573</c:v>
                </c:pt>
                <c:pt idx="15">
                  <c:v>522.78194917804592</c:v>
                </c:pt>
                <c:pt idx="16">
                  <c:v>534.56803447134564</c:v>
                </c:pt>
                <c:pt idx="17">
                  <c:v>543.62697644069658</c:v>
                </c:pt>
                <c:pt idx="18">
                  <c:v>556.60788021637109</c:v>
                </c:pt>
                <c:pt idx="19">
                  <c:v>569.6571780199265</c:v>
                </c:pt>
                <c:pt idx="20">
                  <c:v>581.93598813879544</c:v>
                </c:pt>
                <c:pt idx="21">
                  <c:v>594.28319517311047</c:v>
                </c:pt>
                <c:pt idx="22">
                  <c:v>603.78419993672628</c:v>
                </c:pt>
                <c:pt idx="23">
                  <c:v>612.52008515395858</c:v>
                </c:pt>
                <c:pt idx="24">
                  <c:v>619.12423989128331</c:v>
                </c:pt>
                <c:pt idx="25">
                  <c:v>624.65285466879811</c:v>
                </c:pt>
                <c:pt idx="26">
                  <c:v>629.5289090234445</c:v>
                </c:pt>
                <c:pt idx="27">
                  <c:v>633.80219593053209</c:v>
                </c:pt>
                <c:pt idx="28">
                  <c:v>638.37353124084848</c:v>
                </c:pt>
                <c:pt idx="29">
                  <c:v>642.93407122092538</c:v>
                </c:pt>
                <c:pt idx="30">
                  <c:v>647.86059627715088</c:v>
                </c:pt>
                <c:pt idx="31">
                  <c:v>652.8880050768305</c:v>
                </c:pt>
                <c:pt idx="32">
                  <c:v>657.82696406375339</c:v>
                </c:pt>
                <c:pt idx="33">
                  <c:v>662.55469616449102</c:v>
                </c:pt>
                <c:pt idx="34">
                  <c:v>666.77158154629046</c:v>
                </c:pt>
                <c:pt idx="35">
                  <c:v>670.50489460383801</c:v>
                </c:pt>
                <c:pt idx="36">
                  <c:v>673.68746868587516</c:v>
                </c:pt>
                <c:pt idx="37">
                  <c:v>676.44817703475951</c:v>
                </c:pt>
                <c:pt idx="38">
                  <c:v>678.92555631770983</c:v>
                </c:pt>
                <c:pt idx="39">
                  <c:v>681.24060058345719</c:v>
                </c:pt>
                <c:pt idx="40">
                  <c:v>683.53313565645237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60-439A-B81E-18A5C3D70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6517120"/>
        <c:axId val="1"/>
      </c:lineChart>
      <c:catAx>
        <c:axId val="52651712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265171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 paperSize="9" orientation="landscape" copies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CPI Inflation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DD-47B4-B991-E680661D0248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DD-47B4-B991-E680661D0248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DD-47B4-B991-E680661D0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6509248"/>
        <c:axId val="1"/>
      </c:lineChart>
      <c:catAx>
        <c:axId val="52650924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265092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CPI Inflation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99-4DB6-B3B4-19B92B5112AD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99-4DB6-B3B4-19B92B5112AD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99-4DB6-B3B4-19B92B511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6511544"/>
        <c:axId val="1"/>
      </c:lineChart>
      <c:catAx>
        <c:axId val="52651154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265115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CPI Inflation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E0-4793-A647-B7D94745B95C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E0-4793-A647-B7D94745B95C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E0-4793-A647-B7D94745B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6513512"/>
        <c:axId val="1"/>
      </c:lineChart>
      <c:catAx>
        <c:axId val="52651351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265135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Nominal Short-Term Interest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09-4028-A7BC-4B10F84FFF22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09-4028-A7BC-4B10F84FFF22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09-4028-A7BC-4B10F84FF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6512200"/>
        <c:axId val="1"/>
      </c:lineChart>
      <c:catAx>
        <c:axId val="52651220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265122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Nominal Effective Exchange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63-476C-B97A-5F67BCDEF83A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63-476C-B97A-5F67BCDEF83A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63-476C-B97A-5F67BCDEF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907952"/>
        <c:axId val="1"/>
      </c:lineChart>
      <c:catAx>
        <c:axId val="53690795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69079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Industrial Production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04-40DF-9F4D-65A179B1711B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04-40DF-9F4D-65A179B1711B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04-40DF-9F4D-65A179B17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911232"/>
        <c:axId val="1"/>
      </c:lineChart>
      <c:catAx>
        <c:axId val="53691123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69112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CPI Inflation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E3-4457-A687-E0DB0523A701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E3-4457-A687-E0DB0523A701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E3-4457-A687-E0DB0523A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912216"/>
        <c:axId val="1"/>
      </c:lineChart>
      <c:catAx>
        <c:axId val="53691221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691221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Nominal Short-Term Interest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2E-4047-A617-0FD655E77130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2E-4047-A617-0FD655E77130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2E-4047-A617-0FD655E77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917136"/>
        <c:axId val="1"/>
      </c:lineChart>
      <c:catAx>
        <c:axId val="53691713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69171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Nominal Effective Exchange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0-49F8-A86A-2C4421BA05A1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D0-49F8-A86A-2C4421BA05A1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D0-49F8-A86A-2C4421BA0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913200"/>
        <c:axId val="1"/>
      </c:lineChart>
      <c:catAx>
        <c:axId val="53691320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69132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Industrial Production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9-478E-839C-2E7278E46356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59-478E-839C-2E7278E46356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59-478E-839C-2E7278E46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922712"/>
        <c:axId val="1"/>
      </c:lineChart>
      <c:catAx>
        <c:axId val="53692271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69227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CPI Inflation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57-45D5-B4EF-8461153E05B7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57-45D5-B4EF-8461153E05B7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57-45D5-B4EF-8461153E0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918120"/>
        <c:axId val="1"/>
      </c:lineChart>
      <c:catAx>
        <c:axId val="53691812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69181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Nominal Short-Term Interest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80-443E-9F1A-C2ADD123E92C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80-443E-9F1A-C2ADD123E92C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80-443E-9F1A-C2ADD123E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394352"/>
        <c:axId val="1"/>
      </c:lineChart>
      <c:catAx>
        <c:axId val="53739435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73943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r>
              <a:rPr lang="en-US"/>
              <a:t>Nominal Effective Exchange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DD-408B-AC78-684B0842C70F}"/>
            </c:ext>
          </c:extLst>
        </c:ser>
        <c:ser>
          <c:idx val="1"/>
          <c:order val="1"/>
          <c:tx>
            <c:v>lb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DD-408B-AC78-684B0842C70F}"/>
            </c:ext>
          </c:extLst>
        </c:ser>
        <c:ser>
          <c:idx val="2"/>
          <c:order val="2"/>
          <c:tx>
            <c:v>ub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DD-408B-AC78-684B0842C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400912"/>
        <c:axId val="1"/>
      </c:lineChart>
      <c:catAx>
        <c:axId val="53740091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80"/>
                    </a:solidFill>
                    <a:latin typeface="Gill Sans MT"/>
                    <a:ea typeface="Gill Sans MT"/>
                    <a:cs typeface="Gill Sans MT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74009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26633165829145"/>
          <c:y val="0.14000027343803406"/>
          <c:w val="0.79648241206030146"/>
          <c:h val="0.70800138281520086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Estimates'!$C$6:$AQ$6</c:f>
              <c:numCache>
                <c:formatCode>General</c:formatCode>
                <c:ptCount val="41"/>
                <c:pt idx="0">
                  <c:v>96.183765344829084</c:v>
                </c:pt>
                <c:pt idx="1">
                  <c:v>101.29619760687264</c:v>
                </c:pt>
                <c:pt idx="2">
                  <c:v>284.4655785985442</c:v>
                </c:pt>
                <c:pt idx="3">
                  <c:v>81.043935882788531</c:v>
                </c:pt>
                <c:pt idx="4">
                  <c:v>187.70558879313049</c:v>
                </c:pt>
                <c:pt idx="5">
                  <c:v>189.03868968787324</c:v>
                </c:pt>
                <c:pt idx="6">
                  <c:v>209.93068665977862</c:v>
                </c:pt>
                <c:pt idx="7">
                  <c:v>245.04078498661431</c:v>
                </c:pt>
                <c:pt idx="8">
                  <c:v>207.46985773942725</c:v>
                </c:pt>
                <c:pt idx="9">
                  <c:v>256.33117135498043</c:v>
                </c:pt>
                <c:pt idx="10">
                  <c:v>243.74493818021077</c:v>
                </c:pt>
                <c:pt idx="11">
                  <c:v>257.88177900370965</c:v>
                </c:pt>
                <c:pt idx="12">
                  <c:v>261.34458520435123</c:v>
                </c:pt>
                <c:pt idx="13">
                  <c:v>258.22210920597212</c:v>
                </c:pt>
                <c:pt idx="14">
                  <c:v>275.50255007731062</c:v>
                </c:pt>
                <c:pt idx="15">
                  <c:v>277.0625445353574</c:v>
                </c:pt>
                <c:pt idx="16">
                  <c:v>292.99684668455353</c:v>
                </c:pt>
                <c:pt idx="17">
                  <c:v>301.51351715846886</c:v>
                </c:pt>
                <c:pt idx="18">
                  <c:v>311.18470097847728</c:v>
                </c:pt>
                <c:pt idx="19">
                  <c:v>321.49935421841349</c:v>
                </c:pt>
                <c:pt idx="20">
                  <c:v>326.07047798734339</c:v>
                </c:pt>
                <c:pt idx="21">
                  <c:v>333.21219655184882</c:v>
                </c:pt>
                <c:pt idx="22">
                  <c:v>336.49366244488829</c:v>
                </c:pt>
                <c:pt idx="23">
                  <c:v>341.33571698114463</c:v>
                </c:pt>
                <c:pt idx="24">
                  <c:v>346.02530290087543</c:v>
                </c:pt>
                <c:pt idx="25">
                  <c:v>350.59496491761769</c:v>
                </c:pt>
                <c:pt idx="26">
                  <c:v>356.41288169644804</c:v>
                </c:pt>
                <c:pt idx="27">
                  <c:v>361.52174461368008</c:v>
                </c:pt>
                <c:pt idx="28">
                  <c:v>367.36689214141921</c:v>
                </c:pt>
                <c:pt idx="29">
                  <c:v>372.68146161359829</c:v>
                </c:pt>
                <c:pt idx="30">
                  <c:v>377.78650403163067</c:v>
                </c:pt>
                <c:pt idx="31">
                  <c:v>382.62204675346374</c:v>
                </c:pt>
                <c:pt idx="32">
                  <c:v>386.83389695718267</c:v>
                </c:pt>
                <c:pt idx="33">
                  <c:v>390.86438946168107</c:v>
                </c:pt>
                <c:pt idx="34">
                  <c:v>394.41416324686844</c:v>
                </c:pt>
                <c:pt idx="35">
                  <c:v>397.83357375049991</c:v>
                </c:pt>
                <c:pt idx="36">
                  <c:v>401.13073897739554</c:v>
                </c:pt>
                <c:pt idx="37">
                  <c:v>404.38697665438337</c:v>
                </c:pt>
                <c:pt idx="38">
                  <c:v>407.72167913314394</c:v>
                </c:pt>
                <c:pt idx="39">
                  <c:v>411.03342740796637</c:v>
                </c:pt>
                <c:pt idx="40">
                  <c:v>414.3621025163738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AD-4006-8D7B-D5C9C9708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396648"/>
        <c:axId val="1"/>
      </c:lineChart>
      <c:catAx>
        <c:axId val="53739664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73966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Estimates'!$C$7:$AQ$7</c:f>
              <c:numCache>
                <c:formatCode>General</c:formatCode>
                <c:ptCount val="41"/>
                <c:pt idx="0">
                  <c:v>0.25656642691084847</c:v>
                </c:pt>
                <c:pt idx="1">
                  <c:v>0.80955973129615832</c:v>
                </c:pt>
                <c:pt idx="2">
                  <c:v>9.3787794517396694</c:v>
                </c:pt>
                <c:pt idx="3">
                  <c:v>8.1109714137235276</c:v>
                </c:pt>
                <c:pt idx="4">
                  <c:v>14.113676756754804</c:v>
                </c:pt>
                <c:pt idx="5">
                  <c:v>13.150624449614932</c:v>
                </c:pt>
                <c:pt idx="6">
                  <c:v>12.554616801836767</c:v>
                </c:pt>
                <c:pt idx="7">
                  <c:v>13.101443900770663</c:v>
                </c:pt>
                <c:pt idx="8">
                  <c:v>12.213687283536089</c:v>
                </c:pt>
                <c:pt idx="9">
                  <c:v>13.881779067024437</c:v>
                </c:pt>
                <c:pt idx="10">
                  <c:v>13.822548628188546</c:v>
                </c:pt>
                <c:pt idx="11">
                  <c:v>15.19769453216565</c:v>
                </c:pt>
                <c:pt idx="12">
                  <c:v>16.350875413136986</c:v>
                </c:pt>
                <c:pt idx="13">
                  <c:v>17.193634039060971</c:v>
                </c:pt>
                <c:pt idx="14">
                  <c:v>18.218468662116901</c:v>
                </c:pt>
                <c:pt idx="15">
                  <c:v>18.426642242453749</c:v>
                </c:pt>
                <c:pt idx="16">
                  <c:v>18.872889327733354</c:v>
                </c:pt>
                <c:pt idx="17">
                  <c:v>18.966275855585117</c:v>
                </c:pt>
                <c:pt idx="18">
                  <c:v>19.132587401238517</c:v>
                </c:pt>
                <c:pt idx="19">
                  <c:v>19.395793141700086</c:v>
                </c:pt>
                <c:pt idx="20">
                  <c:v>19.639594715818056</c:v>
                </c:pt>
                <c:pt idx="21">
                  <c:v>20.097943102110985</c:v>
                </c:pt>
                <c:pt idx="22">
                  <c:v>20.525065509087913</c:v>
                </c:pt>
                <c:pt idx="23">
                  <c:v>21.038952244297679</c:v>
                </c:pt>
                <c:pt idx="24">
                  <c:v>21.525847136554532</c:v>
                </c:pt>
                <c:pt idx="25">
                  <c:v>21.965479412682324</c:v>
                </c:pt>
                <c:pt idx="26">
                  <c:v>22.375318740194754</c:v>
                </c:pt>
                <c:pt idx="27">
                  <c:v>22.695912908479468</c:v>
                </c:pt>
                <c:pt idx="28">
                  <c:v>22.983188521418008</c:v>
                </c:pt>
                <c:pt idx="29">
                  <c:v>23.217165136640951</c:v>
                </c:pt>
                <c:pt idx="30">
                  <c:v>23.435460778643009</c:v>
                </c:pt>
                <c:pt idx="31">
                  <c:v>23.655868541591559</c:v>
                </c:pt>
                <c:pt idx="32">
                  <c:v>23.883997381619221</c:v>
                </c:pt>
                <c:pt idx="33">
                  <c:v>24.137667394917962</c:v>
                </c:pt>
                <c:pt idx="34">
                  <c:v>24.40267497309495</c:v>
                </c:pt>
                <c:pt idx="35">
                  <c:v>24.678077242345211</c:v>
                </c:pt>
                <c:pt idx="36">
                  <c:v>24.948356585230702</c:v>
                </c:pt>
                <c:pt idx="37">
                  <c:v>25.203313895700557</c:v>
                </c:pt>
                <c:pt idx="38">
                  <c:v>25.438180185402757</c:v>
                </c:pt>
                <c:pt idx="39">
                  <c:v>25.648400460965412</c:v>
                </c:pt>
                <c:pt idx="40">
                  <c:v>25.839230158139699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D9-4D87-8C93-A2B88DAD3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391728"/>
        <c:axId val="1"/>
      </c:lineChart>
      <c:catAx>
        <c:axId val="53739172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73917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Estimates'!$C$8:$AQ$8</c:f>
              <c:numCache>
                <c:formatCode>General</c:formatCode>
                <c:ptCount val="41"/>
                <c:pt idx="0">
                  <c:v>-11.346331206865678</c:v>
                </c:pt>
                <c:pt idx="1">
                  <c:v>-3.0705982103257452</c:v>
                </c:pt>
                <c:pt idx="2">
                  <c:v>98.59197065294191</c:v>
                </c:pt>
                <c:pt idx="3">
                  <c:v>39.797855592312899</c:v>
                </c:pt>
                <c:pt idx="4">
                  <c:v>99.696984862243966</c:v>
                </c:pt>
                <c:pt idx="5">
                  <c:v>78.86064506981586</c:v>
                </c:pt>
                <c:pt idx="6">
                  <c:v>89.036367231507725</c:v>
                </c:pt>
                <c:pt idx="7">
                  <c:v>103.72052137958322</c:v>
                </c:pt>
                <c:pt idx="8">
                  <c:v>89.092347249391096</c:v>
                </c:pt>
                <c:pt idx="9">
                  <c:v>108.99603272962</c:v>
                </c:pt>
                <c:pt idx="10">
                  <c:v>100.40184758104618</c:v>
                </c:pt>
                <c:pt idx="11">
                  <c:v>109.8259049634719</c:v>
                </c:pt>
                <c:pt idx="12">
                  <c:v>111.58568470680085</c:v>
                </c:pt>
                <c:pt idx="13">
                  <c:v>111.31640659143986</c:v>
                </c:pt>
                <c:pt idx="14">
                  <c:v>117.73244928119512</c:v>
                </c:pt>
                <c:pt idx="15">
                  <c:v>116.79187792095806</c:v>
                </c:pt>
                <c:pt idx="16">
                  <c:v>122.77409935529191</c:v>
                </c:pt>
                <c:pt idx="17">
                  <c:v>124.70367790696284</c:v>
                </c:pt>
                <c:pt idx="18">
                  <c:v>128.02232688932392</c:v>
                </c:pt>
                <c:pt idx="19">
                  <c:v>131.39250456653767</c:v>
                </c:pt>
                <c:pt idx="20">
                  <c:v>132.83507229665494</c:v>
                </c:pt>
                <c:pt idx="21">
                  <c:v>135.70021675123942</c:v>
                </c:pt>
                <c:pt idx="22">
                  <c:v>136.85906180837873</c:v>
                </c:pt>
                <c:pt idx="23">
                  <c:v>138.91388593780971</c:v>
                </c:pt>
                <c:pt idx="24">
                  <c:v>140.68791169852565</c:v>
                </c:pt>
                <c:pt idx="25">
                  <c:v>142.45058856981009</c:v>
                </c:pt>
                <c:pt idx="26">
                  <c:v>144.60805014517396</c:v>
                </c:pt>
                <c:pt idx="27">
                  <c:v>146.34533134426945</c:v>
                </c:pt>
                <c:pt idx="28">
                  <c:v>148.36263275441505</c:v>
                </c:pt>
                <c:pt idx="29">
                  <c:v>150.07884343301967</c:v>
                </c:pt>
                <c:pt idx="30">
                  <c:v>151.77391495324966</c:v>
                </c:pt>
                <c:pt idx="31">
                  <c:v>153.39716954136469</c:v>
                </c:pt>
                <c:pt idx="32">
                  <c:v>154.8514819821456</c:v>
                </c:pt>
                <c:pt idx="33">
                  <c:v>156.31785049939506</c:v>
                </c:pt>
                <c:pt idx="34">
                  <c:v>157.63362047298182</c:v>
                </c:pt>
                <c:pt idx="35">
                  <c:v>158.93603331228314</c:v>
                </c:pt>
                <c:pt idx="36">
                  <c:v>160.17518957554458</c:v>
                </c:pt>
                <c:pt idx="37">
                  <c:v>161.37790280682469</c:v>
                </c:pt>
                <c:pt idx="38">
                  <c:v>162.57921628538125</c:v>
                </c:pt>
                <c:pt idx="39">
                  <c:v>163.74190716916351</c:v>
                </c:pt>
                <c:pt idx="40">
                  <c:v>164.89937928889412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AF-42D8-8AD6-8CA344FAA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392056"/>
        <c:axId val="1"/>
      </c:lineChart>
      <c:catAx>
        <c:axId val="53739205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73920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Estimates'!$C$9:$AQ$9</c:f>
              <c:numCache>
                <c:formatCode>General</c:formatCode>
                <c:ptCount val="41"/>
                <c:pt idx="0">
                  <c:v>-8.9619260573075792</c:v>
                </c:pt>
                <c:pt idx="1">
                  <c:v>-1.830127099735636</c:v>
                </c:pt>
                <c:pt idx="2">
                  <c:v>-2.0411266825252348</c:v>
                </c:pt>
                <c:pt idx="3">
                  <c:v>-2.5258215374591861</c:v>
                </c:pt>
                <c:pt idx="4">
                  <c:v>-1.6231102696396855</c:v>
                </c:pt>
                <c:pt idx="5">
                  <c:v>-3.2979017112743976</c:v>
                </c:pt>
                <c:pt idx="6">
                  <c:v>-1.6859181931631457</c:v>
                </c:pt>
                <c:pt idx="7">
                  <c:v>-2.5991681198286956</c:v>
                </c:pt>
                <c:pt idx="8">
                  <c:v>-2.3922774309205823</c:v>
                </c:pt>
                <c:pt idx="9">
                  <c:v>-2.3368889952570897</c:v>
                </c:pt>
                <c:pt idx="10">
                  <c:v>-2.5967987583536316</c:v>
                </c:pt>
                <c:pt idx="11">
                  <c:v>-2.0884413530509645</c:v>
                </c:pt>
                <c:pt idx="12">
                  <c:v>-2.3143293709208947</c:v>
                </c:pt>
                <c:pt idx="13">
                  <c:v>-2.0302543175824233</c:v>
                </c:pt>
                <c:pt idx="14">
                  <c:v>-2.02464468699511</c:v>
                </c:pt>
                <c:pt idx="15">
                  <c:v>-1.9719784704401098</c:v>
                </c:pt>
                <c:pt idx="16">
                  <c:v>-1.8355068265934502</c:v>
                </c:pt>
                <c:pt idx="17">
                  <c:v>-1.8881111595805751</c:v>
                </c:pt>
                <c:pt idx="18">
                  <c:v>-1.7928255467182459</c:v>
                </c:pt>
                <c:pt idx="19">
                  <c:v>-1.8239005234898522</c:v>
                </c:pt>
                <c:pt idx="20">
                  <c:v>-1.7922664316669934</c:v>
                </c:pt>
                <c:pt idx="21">
                  <c:v>-1.7665128532193577</c:v>
                </c:pt>
                <c:pt idx="22">
                  <c:v>-1.7558637691423584</c:v>
                </c:pt>
                <c:pt idx="23">
                  <c:v>-1.6970962745970151</c:v>
                </c:pt>
                <c:pt idx="24">
                  <c:v>-1.6680740228750985</c:v>
                </c:pt>
                <c:pt idx="25">
                  <c:v>-1.609207350986799</c:v>
                </c:pt>
                <c:pt idx="26">
                  <c:v>-1.5671171228029983</c:v>
                </c:pt>
                <c:pt idx="27">
                  <c:v>-1.5290563151423466</c:v>
                </c:pt>
                <c:pt idx="28">
                  <c:v>-1.4929898779114352</c:v>
                </c:pt>
                <c:pt idx="29">
                  <c:v>-1.4723586465101204</c:v>
                </c:pt>
                <c:pt idx="30">
                  <c:v>-1.4477837443759185</c:v>
                </c:pt>
                <c:pt idx="31">
                  <c:v>-1.4314754416792457</c:v>
                </c:pt>
                <c:pt idx="32">
                  <c:v>-1.4118627182067449</c:v>
                </c:pt>
                <c:pt idx="33">
                  <c:v>-1.3911695172242091</c:v>
                </c:pt>
                <c:pt idx="34">
                  <c:v>-1.3697532201932867</c:v>
                </c:pt>
                <c:pt idx="35">
                  <c:v>-1.3446786433031863</c:v>
                </c:pt>
                <c:pt idx="36">
                  <c:v>-1.320730136283037</c:v>
                </c:pt>
                <c:pt idx="37">
                  <c:v>-1.2955325085066189</c:v>
                </c:pt>
                <c:pt idx="38">
                  <c:v>-1.2721045518282463</c:v>
                </c:pt>
                <c:pt idx="39">
                  <c:v>-1.2502993053389215</c:v>
                </c:pt>
                <c:pt idx="40">
                  <c:v>-1.2302419057084597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95-48F1-9834-1ED717732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375984"/>
        <c:axId val="1"/>
      </c:lineChart>
      <c:catAx>
        <c:axId val="53737598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737598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Estimates'!$C$10:$AQ$10</c:f>
              <c:numCache>
                <c:formatCode>General</c:formatCode>
                <c:ptCount val="41"/>
                <c:pt idx="0">
                  <c:v>0.46404691238659912</c:v>
                </c:pt>
                <c:pt idx="1">
                  <c:v>-0.36164723002333743</c:v>
                </c:pt>
                <c:pt idx="2">
                  <c:v>1.1548237513326349</c:v>
                </c:pt>
                <c:pt idx="3">
                  <c:v>0.12300519615235511</c:v>
                </c:pt>
                <c:pt idx="4">
                  <c:v>0.61093612617846305</c:v>
                </c:pt>
                <c:pt idx="5">
                  <c:v>0.47676543864614218</c:v>
                </c:pt>
                <c:pt idx="6">
                  <c:v>0.44665559000792621</c:v>
                </c:pt>
                <c:pt idx="7">
                  <c:v>0.63229728078399128</c:v>
                </c:pt>
                <c:pt idx="8">
                  <c:v>0.35450563411538816</c:v>
                </c:pt>
                <c:pt idx="9">
                  <c:v>0.6266175794907074</c:v>
                </c:pt>
                <c:pt idx="10">
                  <c:v>0.57681436292554844</c:v>
                </c:pt>
                <c:pt idx="11">
                  <c:v>0.70018702428171475</c:v>
                </c:pt>
                <c:pt idx="12">
                  <c:v>0.7791492756536148</c:v>
                </c:pt>
                <c:pt idx="13">
                  <c:v>0.77640805737321417</c:v>
                </c:pt>
                <c:pt idx="14">
                  <c:v>0.87194192473346788</c:v>
                </c:pt>
                <c:pt idx="15">
                  <c:v>0.84313071029960485</c:v>
                </c:pt>
                <c:pt idx="16">
                  <c:v>0.88208337302039264</c:v>
                </c:pt>
                <c:pt idx="17">
                  <c:v>0.87554388345619127</c:v>
                </c:pt>
                <c:pt idx="18">
                  <c:v>0.87756226592281972</c:v>
                </c:pt>
                <c:pt idx="19">
                  <c:v>0.90172874338095532</c:v>
                </c:pt>
                <c:pt idx="20">
                  <c:v>0.90688647571296821</c:v>
                </c:pt>
                <c:pt idx="21">
                  <c:v>0.94281814746149006</c:v>
                </c:pt>
                <c:pt idx="22">
                  <c:v>0.96471317294329262</c:v>
                </c:pt>
                <c:pt idx="23">
                  <c:v>0.99732432182472885</c:v>
                </c:pt>
                <c:pt idx="24">
                  <c:v>1.027381866324411</c:v>
                </c:pt>
                <c:pt idx="25">
                  <c:v>1.0502123214233305</c:v>
                </c:pt>
                <c:pt idx="26">
                  <c:v>1.0743636900183631</c:v>
                </c:pt>
                <c:pt idx="27">
                  <c:v>1.0883386610207459</c:v>
                </c:pt>
                <c:pt idx="28">
                  <c:v>1.1029612266804942</c:v>
                </c:pt>
                <c:pt idx="29">
                  <c:v>1.1135856920386187</c:v>
                </c:pt>
                <c:pt idx="30">
                  <c:v>1.1241325861538958</c:v>
                </c:pt>
                <c:pt idx="31">
                  <c:v>1.1364495506505021</c:v>
                </c:pt>
                <c:pt idx="32">
                  <c:v>1.1489630962826591</c:v>
                </c:pt>
                <c:pt idx="33">
                  <c:v>1.164319754496459</c:v>
                </c:pt>
                <c:pt idx="34">
                  <c:v>1.1797460628619092</c:v>
                </c:pt>
                <c:pt idx="35">
                  <c:v>1.1958195772988791</c:v>
                </c:pt>
                <c:pt idx="36">
                  <c:v>1.2112034441744139</c:v>
                </c:pt>
                <c:pt idx="37">
                  <c:v>1.225149225569248</c:v>
                </c:pt>
                <c:pt idx="38">
                  <c:v>1.2378899155815619</c:v>
                </c:pt>
                <c:pt idx="39">
                  <c:v>1.2488639169312343</c:v>
                </c:pt>
                <c:pt idx="40">
                  <c:v>1.2588770625736256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B6-40C2-BA58-BDE58D836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377296"/>
        <c:axId val="1"/>
      </c:lineChart>
      <c:catAx>
        <c:axId val="53737729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73772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Estimates'!$C$11:$AQ$11</c:f>
              <c:numCache>
                <c:formatCode>General</c:formatCode>
                <c:ptCount val="41"/>
                <c:pt idx="0">
                  <c:v>-86.018607044304147</c:v>
                </c:pt>
                <c:pt idx="1">
                  <c:v>235.02900388752695</c:v>
                </c:pt>
                <c:pt idx="2">
                  <c:v>879.06333983667059</c:v>
                </c:pt>
                <c:pt idx="3">
                  <c:v>508.50219085487447</c:v>
                </c:pt>
                <c:pt idx="4">
                  <c:v>791.58246129976942</c:v>
                </c:pt>
                <c:pt idx="5">
                  <c:v>741.65203925029948</c:v>
                </c:pt>
                <c:pt idx="6">
                  <c:v>868.62670354684838</c:v>
                </c:pt>
                <c:pt idx="7">
                  <c:v>930.39421008404406</c:v>
                </c:pt>
                <c:pt idx="8">
                  <c:v>837.32899520277499</c:v>
                </c:pt>
                <c:pt idx="9">
                  <c:v>932.9239832569175</c:v>
                </c:pt>
                <c:pt idx="10">
                  <c:v>877.2051728255841</c:v>
                </c:pt>
                <c:pt idx="11">
                  <c:v>909.68061320159154</c:v>
                </c:pt>
                <c:pt idx="12">
                  <c:v>888.59591593864059</c:v>
                </c:pt>
                <c:pt idx="13">
                  <c:v>868.2415132480445</c:v>
                </c:pt>
                <c:pt idx="14">
                  <c:v>890.12355668207613</c:v>
                </c:pt>
                <c:pt idx="15">
                  <c:v>883.95724803658868</c:v>
                </c:pt>
                <c:pt idx="16">
                  <c:v>920.14331348325425</c:v>
                </c:pt>
                <c:pt idx="17">
                  <c:v>935.78108330349119</c:v>
                </c:pt>
                <c:pt idx="18">
                  <c:v>959.4745094951536</c:v>
                </c:pt>
                <c:pt idx="19">
                  <c:v>978.71957302782414</c:v>
                </c:pt>
                <c:pt idx="20">
                  <c:v>983.96047722896162</c:v>
                </c:pt>
                <c:pt idx="21">
                  <c:v>992.21129869195317</c:v>
                </c:pt>
                <c:pt idx="22">
                  <c:v>989.12955794914251</c:v>
                </c:pt>
                <c:pt idx="23">
                  <c:v>990.93208513690433</c:v>
                </c:pt>
                <c:pt idx="24">
                  <c:v>992.23243719998823</c:v>
                </c:pt>
                <c:pt idx="25">
                  <c:v>995.78287617403191</c:v>
                </c:pt>
                <c:pt idx="26">
                  <c:v>1003.2724604724948</c:v>
                </c:pt>
                <c:pt idx="27">
                  <c:v>1010.309007949544</c:v>
                </c:pt>
                <c:pt idx="28">
                  <c:v>1019.9284229801597</c:v>
                </c:pt>
                <c:pt idx="29">
                  <c:v>1028.3084575785788</c:v>
                </c:pt>
                <c:pt idx="30">
                  <c:v>1036.4947744060569</c:v>
                </c:pt>
                <c:pt idx="31">
                  <c:v>1043.6652850130938</c:v>
                </c:pt>
                <c:pt idx="32">
                  <c:v>1049.2261352157293</c:v>
                </c:pt>
                <c:pt idx="33">
                  <c:v>1054.0819500077259</c:v>
                </c:pt>
                <c:pt idx="34">
                  <c:v>1057.5805216641713</c:v>
                </c:pt>
                <c:pt idx="35">
                  <c:v>1060.7899561989084</c:v>
                </c:pt>
                <c:pt idx="36">
                  <c:v>1063.7775501167405</c:v>
                </c:pt>
                <c:pt idx="37">
                  <c:v>1067.0244668515679</c:v>
                </c:pt>
                <c:pt idx="38">
                  <c:v>1070.8565478833148</c:v>
                </c:pt>
                <c:pt idx="39">
                  <c:v>1075.0911570393037</c:v>
                </c:pt>
                <c:pt idx="40">
                  <c:v>1079.7603263328942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24-487A-8CFF-FB53E236F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377952"/>
        <c:axId val="1"/>
      </c:lineChart>
      <c:catAx>
        <c:axId val="53737795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73779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Estimates'!$C$12:$AQ$12</c:f>
              <c:numCache>
                <c:formatCode>General</c:formatCode>
                <c:ptCount val="41"/>
                <c:pt idx="0">
                  <c:v>-2.4016211636199776</c:v>
                </c:pt>
                <c:pt idx="1">
                  <c:v>0.25859474408311817</c:v>
                </c:pt>
                <c:pt idx="2">
                  <c:v>2.2206010934042624</c:v>
                </c:pt>
                <c:pt idx="3">
                  <c:v>0.86795472128308859</c:v>
                </c:pt>
                <c:pt idx="4">
                  <c:v>1.5768327616397662</c:v>
                </c:pt>
                <c:pt idx="5">
                  <c:v>1.6915299125531582</c:v>
                </c:pt>
                <c:pt idx="6">
                  <c:v>2.5427959698005189</c:v>
                </c:pt>
                <c:pt idx="7">
                  <c:v>2.9246410413091004</c:v>
                </c:pt>
                <c:pt idx="8">
                  <c:v>2.8941031066759346</c:v>
                </c:pt>
                <c:pt idx="9">
                  <c:v>3.3871729830342447</c:v>
                </c:pt>
                <c:pt idx="10">
                  <c:v>3.4664085835273402</c:v>
                </c:pt>
                <c:pt idx="11">
                  <c:v>3.7845480979581096</c:v>
                </c:pt>
                <c:pt idx="12">
                  <c:v>3.8873482466022096</c:v>
                </c:pt>
                <c:pt idx="13">
                  <c:v>4.0224806820792436</c:v>
                </c:pt>
                <c:pt idx="14">
                  <c:v>4.2671142948709075</c:v>
                </c:pt>
                <c:pt idx="15">
                  <c:v>4.4454279940767032</c:v>
                </c:pt>
                <c:pt idx="16">
                  <c:v>4.7366531580701254</c:v>
                </c:pt>
                <c:pt idx="17">
                  <c:v>4.9545527768474411</c:v>
                </c:pt>
                <c:pt idx="18">
                  <c:v>5.1940288926021081</c:v>
                </c:pt>
                <c:pt idx="19">
                  <c:v>5.4044947923502233</c:v>
                </c:pt>
                <c:pt idx="20">
                  <c:v>5.5693746879379615</c:v>
                </c:pt>
                <c:pt idx="21">
                  <c:v>5.7298236211741846</c:v>
                </c:pt>
                <c:pt idx="22">
                  <c:v>5.8495324049670794</c:v>
                </c:pt>
                <c:pt idx="23">
                  <c:v>5.9782940595565606</c:v>
                </c:pt>
                <c:pt idx="24">
                  <c:v>6.0997789511709515</c:v>
                </c:pt>
                <c:pt idx="25">
                  <c:v>6.2263465644931966</c:v>
                </c:pt>
                <c:pt idx="26">
                  <c:v>6.3607808421060952</c:v>
                </c:pt>
                <c:pt idx="27">
                  <c:v>6.4924344862582686</c:v>
                </c:pt>
                <c:pt idx="28">
                  <c:v>6.6289624394832449</c:v>
                </c:pt>
                <c:pt idx="29">
                  <c:v>6.758335059090701</c:v>
                </c:pt>
                <c:pt idx="30">
                  <c:v>6.8832602275531363</c:v>
                </c:pt>
                <c:pt idx="31">
                  <c:v>7.0000151235445633</c:v>
                </c:pt>
                <c:pt idx="32">
                  <c:v>7.1073839248493353</c:v>
                </c:pt>
                <c:pt idx="33">
                  <c:v>7.2078526028424283</c:v>
                </c:pt>
                <c:pt idx="34">
                  <c:v>7.3002718529378905</c:v>
                </c:pt>
                <c:pt idx="35">
                  <c:v>7.3884555196234594</c:v>
                </c:pt>
                <c:pt idx="36">
                  <c:v>7.4731065212220917</c:v>
                </c:pt>
                <c:pt idx="37">
                  <c:v>7.5562521573312713</c:v>
                </c:pt>
                <c:pt idx="38">
                  <c:v>7.6389187385947324</c:v>
                </c:pt>
                <c:pt idx="39">
                  <c:v>7.7206926793891197</c:v>
                </c:pt>
                <c:pt idx="40">
                  <c:v>7.8015173073921131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EF-48F0-92B3-A1F851604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372704"/>
        <c:axId val="1"/>
      </c:lineChart>
      <c:catAx>
        <c:axId val="53737270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737270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Estimates'!$C$13:$AQ$13</c:f>
              <c:numCache>
                <c:formatCode>General</c:formatCode>
                <c:ptCount val="41"/>
                <c:pt idx="0">
                  <c:v>53.406422005894861</c:v>
                </c:pt>
                <c:pt idx="1">
                  <c:v>-4.9370582908684515</c:v>
                </c:pt>
                <c:pt idx="2">
                  <c:v>57.603204101630809</c:v>
                </c:pt>
                <c:pt idx="3">
                  <c:v>3.5554555748830694</c:v>
                </c:pt>
                <c:pt idx="4">
                  <c:v>40.263734775930864</c:v>
                </c:pt>
                <c:pt idx="5">
                  <c:v>37.894901227741457</c:v>
                </c:pt>
                <c:pt idx="6">
                  <c:v>33.508881488043151</c:v>
                </c:pt>
                <c:pt idx="7">
                  <c:v>49.147726835843287</c:v>
                </c:pt>
                <c:pt idx="8">
                  <c:v>34.505465590458002</c:v>
                </c:pt>
                <c:pt idx="9">
                  <c:v>47.999381647179376</c:v>
                </c:pt>
                <c:pt idx="10">
                  <c:v>39.887151013161706</c:v>
                </c:pt>
                <c:pt idx="11">
                  <c:v>40.333737330040215</c:v>
                </c:pt>
                <c:pt idx="12">
                  <c:v>40.326051097644424</c:v>
                </c:pt>
                <c:pt idx="13">
                  <c:v>36.280558096774186</c:v>
                </c:pt>
                <c:pt idx="14">
                  <c:v>40.08172228393147</c:v>
                </c:pt>
                <c:pt idx="15">
                  <c:v>38.107527869611495</c:v>
                </c:pt>
                <c:pt idx="16">
                  <c:v>41.125900455879012</c:v>
                </c:pt>
                <c:pt idx="17">
                  <c:v>42.19923408501279</c:v>
                </c:pt>
                <c:pt idx="18">
                  <c:v>43.228817251640528</c:v>
                </c:pt>
                <c:pt idx="19">
                  <c:v>44.968668349158726</c:v>
                </c:pt>
                <c:pt idx="20">
                  <c:v>44.611349219572588</c:v>
                </c:pt>
                <c:pt idx="21">
                  <c:v>45.337613864043767</c:v>
                </c:pt>
                <c:pt idx="22">
                  <c:v>44.819730132991779</c:v>
                </c:pt>
                <c:pt idx="23">
                  <c:v>44.730257236059622</c:v>
                </c:pt>
                <c:pt idx="24">
                  <c:v>44.703530732475279</c:v>
                </c:pt>
                <c:pt idx="25">
                  <c:v>44.578313434124411</c:v>
                </c:pt>
                <c:pt idx="26">
                  <c:v>45.007741997441066</c:v>
                </c:pt>
                <c:pt idx="27">
                  <c:v>45.259072662163312</c:v>
                </c:pt>
                <c:pt idx="28">
                  <c:v>45.841254526408456</c:v>
                </c:pt>
                <c:pt idx="29">
                  <c:v>46.343919300677257</c:v>
                </c:pt>
                <c:pt idx="30">
                  <c:v>46.812458722948854</c:v>
                </c:pt>
                <c:pt idx="31">
                  <c:v>47.257151656754779</c:v>
                </c:pt>
                <c:pt idx="32">
                  <c:v>47.510214618973592</c:v>
                </c:pt>
                <c:pt idx="33">
                  <c:v>47.73673560192902</c:v>
                </c:pt>
                <c:pt idx="34">
                  <c:v>47.833505683993494</c:v>
                </c:pt>
                <c:pt idx="35">
                  <c:v>47.916524370155273</c:v>
                </c:pt>
                <c:pt idx="36">
                  <c:v>48.001961475703062</c:v>
                </c:pt>
                <c:pt idx="37">
                  <c:v>48.107196078185126</c:v>
                </c:pt>
                <c:pt idx="38">
                  <c:v>48.280527312148777</c:v>
                </c:pt>
                <c:pt idx="39">
                  <c:v>48.482642671599621</c:v>
                </c:pt>
                <c:pt idx="40">
                  <c:v>48.727084419280885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A9-4081-BB04-77862A76E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370736"/>
        <c:axId val="1"/>
      </c:lineChart>
      <c:catAx>
        <c:axId val="53737073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73707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Estimates'!$C$14:$AQ$14</c:f>
              <c:numCache>
                <c:formatCode>General</c:formatCode>
                <c:ptCount val="41"/>
                <c:pt idx="0">
                  <c:v>1.2305904197117106</c:v>
                </c:pt>
                <c:pt idx="1">
                  <c:v>-0.67264426643874564</c:v>
                </c:pt>
                <c:pt idx="2">
                  <c:v>1.5143873253578162</c:v>
                </c:pt>
                <c:pt idx="3">
                  <c:v>-2.2900316215479295</c:v>
                </c:pt>
                <c:pt idx="4">
                  <c:v>0.22211031759410554</c:v>
                </c:pt>
                <c:pt idx="5">
                  <c:v>0.11988392968544576</c:v>
                </c:pt>
                <c:pt idx="6">
                  <c:v>0.63155550246765579</c:v>
                </c:pt>
                <c:pt idx="7">
                  <c:v>1.5264345986800858</c:v>
                </c:pt>
                <c:pt idx="8">
                  <c:v>1.2326447185909117</c:v>
                </c:pt>
                <c:pt idx="9">
                  <c:v>2.4049702957051644</c:v>
                </c:pt>
                <c:pt idx="10">
                  <c:v>2.2388984369485336</c:v>
                </c:pt>
                <c:pt idx="11">
                  <c:v>2.6125063019496593</c:v>
                </c:pt>
                <c:pt idx="12">
                  <c:v>2.7009019571676842</c:v>
                </c:pt>
                <c:pt idx="13">
                  <c:v>2.6582916993408205</c:v>
                </c:pt>
                <c:pt idx="14">
                  <c:v>2.9188624117664661</c:v>
                </c:pt>
                <c:pt idx="15">
                  <c:v>2.8591266890159623</c:v>
                </c:pt>
                <c:pt idx="16">
                  <c:v>3.0957547672747676</c:v>
                </c:pt>
                <c:pt idx="17">
                  <c:v>3.2169671627399392</c:v>
                </c:pt>
                <c:pt idx="18">
                  <c:v>3.4212649686845116</c:v>
                </c:pt>
                <c:pt idx="19">
                  <c:v>3.6669712220087725</c:v>
                </c:pt>
                <c:pt idx="20">
                  <c:v>3.8334724981843418</c:v>
                </c:pt>
                <c:pt idx="21">
                  <c:v>4.0512558626889632</c:v>
                </c:pt>
                <c:pt idx="22">
                  <c:v>4.1774450792291145</c:v>
                </c:pt>
                <c:pt idx="23">
                  <c:v>4.3090091236674901</c:v>
                </c:pt>
                <c:pt idx="24">
                  <c:v>4.406636950703378</c:v>
                </c:pt>
                <c:pt idx="25">
                  <c:v>4.4851427753541655</c:v>
                </c:pt>
                <c:pt idx="26">
                  <c:v>4.5783197458249933</c:v>
                </c:pt>
                <c:pt idx="27">
                  <c:v>4.660537235386685</c:v>
                </c:pt>
                <c:pt idx="28">
                  <c:v>4.7659748362025516</c:v>
                </c:pt>
                <c:pt idx="29">
                  <c:v>4.8717781447211239</c:v>
                </c:pt>
                <c:pt idx="30">
                  <c:v>4.9846478314541072</c:v>
                </c:pt>
                <c:pt idx="31">
                  <c:v>5.0990356022159817</c:v>
                </c:pt>
                <c:pt idx="32">
                  <c:v>5.20512254619827</c:v>
                </c:pt>
                <c:pt idx="33">
                  <c:v>5.3072787200116238</c:v>
                </c:pt>
                <c:pt idx="34">
                  <c:v>5.3968844223250665</c:v>
                </c:pt>
                <c:pt idx="35">
                  <c:v>5.4791344413011736</c:v>
                </c:pt>
                <c:pt idx="36">
                  <c:v>5.5533251514718636</c:v>
                </c:pt>
                <c:pt idx="37">
                  <c:v>5.621999895372376</c:v>
                </c:pt>
                <c:pt idx="38">
                  <c:v>5.6888954166021346</c:v>
                </c:pt>
                <c:pt idx="39">
                  <c:v>5.7542994349817196</c:v>
                </c:pt>
                <c:pt idx="40">
                  <c:v>5.8210199468447401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E4-44B0-A22A-83A4F9FC2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390416"/>
        <c:axId val="1"/>
      </c:lineChart>
      <c:catAx>
        <c:axId val="53739041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739041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Estimates'!$C$15:$AQ$15</c:f>
              <c:numCache>
                <c:formatCode>General</c:formatCode>
                <c:ptCount val="41"/>
                <c:pt idx="0">
                  <c:v>14.486140050763135</c:v>
                </c:pt>
                <c:pt idx="1">
                  <c:v>-12.934211058256233</c:v>
                </c:pt>
                <c:pt idx="2">
                  <c:v>63.733074593150299</c:v>
                </c:pt>
                <c:pt idx="3">
                  <c:v>24.4379440278286</c:v>
                </c:pt>
                <c:pt idx="4">
                  <c:v>55.111184525294561</c:v>
                </c:pt>
                <c:pt idx="5">
                  <c:v>56.610134175710378</c:v>
                </c:pt>
                <c:pt idx="6">
                  <c:v>54.213067096743764</c:v>
                </c:pt>
                <c:pt idx="7">
                  <c:v>68.169858357841562</c:v>
                </c:pt>
                <c:pt idx="8">
                  <c:v>51.13639907153452</c:v>
                </c:pt>
                <c:pt idx="9">
                  <c:v>58.701865231232532</c:v>
                </c:pt>
                <c:pt idx="10">
                  <c:v>50.273486802463289</c:v>
                </c:pt>
                <c:pt idx="11">
                  <c:v>48.854970721437624</c:v>
                </c:pt>
                <c:pt idx="12">
                  <c:v>49.092799056995169</c:v>
                </c:pt>
                <c:pt idx="13">
                  <c:v>45.959628375817815</c:v>
                </c:pt>
                <c:pt idx="14">
                  <c:v>51.328102064245833</c:v>
                </c:pt>
                <c:pt idx="15">
                  <c:v>52.696377757464269</c:v>
                </c:pt>
                <c:pt idx="16">
                  <c:v>58.545376976072312</c:v>
                </c:pt>
                <c:pt idx="17">
                  <c:v>62.769880106129122</c:v>
                </c:pt>
                <c:pt idx="18">
                  <c:v>65.943985749917189</c:v>
                </c:pt>
                <c:pt idx="19">
                  <c:v>69.020966650411822</c:v>
                </c:pt>
                <c:pt idx="20">
                  <c:v>69.323824616054054</c:v>
                </c:pt>
                <c:pt idx="21">
                  <c:v>69.973836582713801</c:v>
                </c:pt>
                <c:pt idx="22">
                  <c:v>69.407038239022569</c:v>
                </c:pt>
                <c:pt idx="23">
                  <c:v>69.325910334978076</c:v>
                </c:pt>
                <c:pt idx="24">
                  <c:v>69.791606324294989</c:v>
                </c:pt>
                <c:pt idx="25">
                  <c:v>70.594710071045029</c:v>
                </c:pt>
                <c:pt idx="26">
                  <c:v>72.259350409074031</c:v>
                </c:pt>
                <c:pt idx="27">
                  <c:v>73.944735690259577</c:v>
                </c:pt>
                <c:pt idx="28">
                  <c:v>75.889593824332408</c:v>
                </c:pt>
                <c:pt idx="29">
                  <c:v>77.623134588964206</c:v>
                </c:pt>
                <c:pt idx="30">
                  <c:v>79.075815571407702</c:v>
                </c:pt>
                <c:pt idx="31">
                  <c:v>80.274542121567293</c:v>
                </c:pt>
                <c:pt idx="32">
                  <c:v>81.102414672922791</c:v>
                </c:pt>
                <c:pt idx="33">
                  <c:v>81.778429230871239</c:v>
                </c:pt>
                <c:pt idx="34">
                  <c:v>82.293511271848374</c:v>
                </c:pt>
                <c:pt idx="35">
                  <c:v>82.808516485111213</c:v>
                </c:pt>
                <c:pt idx="36">
                  <c:v>83.39111481831911</c:v>
                </c:pt>
                <c:pt idx="37">
                  <c:v>84.069991820024327</c:v>
                </c:pt>
                <c:pt idx="38">
                  <c:v>84.88285876603058</c:v>
                </c:pt>
                <c:pt idx="39">
                  <c:v>85.765396909554966</c:v>
                </c:pt>
                <c:pt idx="40">
                  <c:v>86.687700310031389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D-4233-A0F5-4AA06DD1C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381888"/>
        <c:axId val="1"/>
      </c:lineChart>
      <c:catAx>
        <c:axId val="53738188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738188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Estimates'!$C$16:$AQ$16</c:f>
              <c:numCache>
                <c:formatCode>General</c:formatCode>
                <c:ptCount val="41"/>
                <c:pt idx="0">
                  <c:v>-2.1515070489281687</c:v>
                </c:pt>
                <c:pt idx="1">
                  <c:v>-6.3241307880405486</c:v>
                </c:pt>
                <c:pt idx="2">
                  <c:v>-0.7696400404730751</c:v>
                </c:pt>
                <c:pt idx="3">
                  <c:v>-7.655521478940849</c:v>
                </c:pt>
                <c:pt idx="4">
                  <c:v>-5.8216313762728298</c:v>
                </c:pt>
                <c:pt idx="5">
                  <c:v>-6.3992544370560323</c:v>
                </c:pt>
                <c:pt idx="6">
                  <c:v>-7.6371484332855273</c:v>
                </c:pt>
                <c:pt idx="7">
                  <c:v>-7.3086791843532222</c:v>
                </c:pt>
                <c:pt idx="8">
                  <c:v>-9.2898580943532583</c:v>
                </c:pt>
                <c:pt idx="9">
                  <c:v>-8.140706807786092</c:v>
                </c:pt>
                <c:pt idx="10">
                  <c:v>-8.4456581951028724</c:v>
                </c:pt>
                <c:pt idx="11">
                  <c:v>-7.9303904436543977</c:v>
                </c:pt>
                <c:pt idx="12">
                  <c:v>-7.3387122085868599</c:v>
                </c:pt>
                <c:pt idx="13">
                  <c:v>-7.2029531233858926</c:v>
                </c:pt>
                <c:pt idx="14">
                  <c:v>-6.5427152654464438</c:v>
                </c:pt>
                <c:pt idx="15">
                  <c:v>-6.6562756718953278</c:v>
                </c:pt>
                <c:pt idx="16">
                  <c:v>-6.5839463065340276</c:v>
                </c:pt>
                <c:pt idx="17">
                  <c:v>-6.8083704466284329</c:v>
                </c:pt>
                <c:pt idx="18">
                  <c:v>-7.0738824596737224</c:v>
                </c:pt>
                <c:pt idx="19">
                  <c:v>-7.1934658023074229</c:v>
                </c:pt>
                <c:pt idx="20">
                  <c:v>-7.3760969396147047</c:v>
                </c:pt>
                <c:pt idx="21">
                  <c:v>-7.3274422859551329</c:v>
                </c:pt>
                <c:pt idx="22">
                  <c:v>-7.2752837675280793</c:v>
                </c:pt>
                <c:pt idx="23">
                  <c:v>-7.1274554228892963</c:v>
                </c:pt>
                <c:pt idx="24">
                  <c:v>-6.9627688786986868</c:v>
                </c:pt>
                <c:pt idx="25">
                  <c:v>-6.8444399372994882</c:v>
                </c:pt>
                <c:pt idx="26">
                  <c:v>-6.7355384928777555</c:v>
                </c:pt>
                <c:pt idx="27">
                  <c:v>-6.705557428662698</c:v>
                </c:pt>
                <c:pt idx="28">
                  <c:v>-6.6990006119329699</c:v>
                </c:pt>
                <c:pt idx="29">
                  <c:v>-6.7298760036966074</c:v>
                </c:pt>
                <c:pt idx="30">
                  <c:v>-6.7722603370294232</c:v>
                </c:pt>
                <c:pt idx="31">
                  <c:v>-6.8030166927222497</c:v>
                </c:pt>
                <c:pt idx="32">
                  <c:v>-6.8236303709594113</c:v>
                </c:pt>
                <c:pt idx="33">
                  <c:v>-6.8142579744168525</c:v>
                </c:pt>
                <c:pt idx="34">
                  <c:v>-6.7873542301827294</c:v>
                </c:pt>
                <c:pt idx="35">
                  <c:v>-6.7429422815561502</c:v>
                </c:pt>
                <c:pt idx="36">
                  <c:v>-6.6920353035022497</c:v>
                </c:pt>
                <c:pt idx="37">
                  <c:v>-6.6455041677754378</c:v>
                </c:pt>
                <c:pt idx="38">
                  <c:v>-6.6073734637574857</c:v>
                </c:pt>
                <c:pt idx="39">
                  <c:v>-6.5843792169180944</c:v>
                </c:pt>
                <c:pt idx="40">
                  <c:v>-6.5734520680097299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A-45C6-859D-6D619D15A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384840"/>
        <c:axId val="1"/>
      </c:lineChart>
      <c:catAx>
        <c:axId val="53738484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73848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Estimates'!$C$17:$AQ$17</c:f>
              <c:numCache>
                <c:formatCode>General</c:formatCode>
                <c:ptCount val="41"/>
                <c:pt idx="0">
                  <c:v>-10.791136898827475</c:v>
                </c:pt>
                <c:pt idx="1">
                  <c:v>115.705157808195</c:v>
                </c:pt>
                <c:pt idx="2">
                  <c:v>485.45681537663597</c:v>
                </c:pt>
                <c:pt idx="3">
                  <c:v>218.57747645634319</c:v>
                </c:pt>
                <c:pt idx="4">
                  <c:v>356.53814137575557</c:v>
                </c:pt>
                <c:pt idx="5">
                  <c:v>372.68575930171949</c:v>
                </c:pt>
                <c:pt idx="6">
                  <c:v>429.80817367065453</c:v>
                </c:pt>
                <c:pt idx="7">
                  <c:v>489.73956510546236</c:v>
                </c:pt>
                <c:pt idx="8">
                  <c:v>431.50411986045515</c:v>
                </c:pt>
                <c:pt idx="9">
                  <c:v>501.55389951693655</c:v>
                </c:pt>
                <c:pt idx="10">
                  <c:v>486.03647859090614</c:v>
                </c:pt>
                <c:pt idx="11">
                  <c:v>509.94732061255479</c:v>
                </c:pt>
                <c:pt idx="12">
                  <c:v>516.31537583087731</c:v>
                </c:pt>
                <c:pt idx="13">
                  <c:v>513.59092232380806</c:v>
                </c:pt>
                <c:pt idx="14">
                  <c:v>542.59946648478285</c:v>
                </c:pt>
                <c:pt idx="15">
                  <c:v>550.64584132453274</c:v>
                </c:pt>
                <c:pt idx="16">
                  <c:v>580.55159744803348</c:v>
                </c:pt>
                <c:pt idx="17">
                  <c:v>599.2098405844913</c:v>
                </c:pt>
                <c:pt idx="18">
                  <c:v>618.71873467882745</c:v>
                </c:pt>
                <c:pt idx="19">
                  <c:v>637.95784855136617</c:v>
                </c:pt>
                <c:pt idx="20">
                  <c:v>647.64693480823462</c:v>
                </c:pt>
                <c:pt idx="21">
                  <c:v>660.14983532613405</c:v>
                </c:pt>
                <c:pt idx="22">
                  <c:v>666.57836698592257</c:v>
                </c:pt>
                <c:pt idx="23">
                  <c:v>675.44484700728276</c:v>
                </c:pt>
                <c:pt idx="24">
                  <c:v>684.54885617816069</c:v>
                </c:pt>
                <c:pt idx="25">
                  <c:v>694.01849863751738</c:v>
                </c:pt>
                <c:pt idx="26">
                  <c:v>705.69003432865975</c:v>
                </c:pt>
                <c:pt idx="27">
                  <c:v>716.49782699132857</c:v>
                </c:pt>
                <c:pt idx="28">
                  <c:v>728.35045292228767</c:v>
                </c:pt>
                <c:pt idx="29">
                  <c:v>739.22812957804763</c:v>
                </c:pt>
                <c:pt idx="30">
                  <c:v>749.51356859133659</c:v>
                </c:pt>
                <c:pt idx="31">
                  <c:v>759.08746778872546</c:v>
                </c:pt>
                <c:pt idx="32">
                  <c:v>767.46774103542202</c:v>
                </c:pt>
                <c:pt idx="33">
                  <c:v>775.36364189485835</c:v>
                </c:pt>
                <c:pt idx="34">
                  <c:v>782.41613723728381</c:v>
                </c:pt>
                <c:pt idx="35">
                  <c:v>789.21864200726816</c:v>
                </c:pt>
                <c:pt idx="36">
                  <c:v>795.84857545695206</c:v>
                </c:pt>
                <c:pt idx="37">
                  <c:v>802.46866551766277</c:v>
                </c:pt>
                <c:pt idx="38">
                  <c:v>809.26105883633932</c:v>
                </c:pt>
                <c:pt idx="39">
                  <c:v>816.05380053266856</c:v>
                </c:pt>
                <c:pt idx="40">
                  <c:v>822.85894187279098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48-4B54-9413-AFE8BC79C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387464"/>
        <c:axId val="1"/>
      </c:lineChart>
      <c:catAx>
        <c:axId val="53738746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73874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Estimates'!$C$18:$AQ$18</c:f>
              <c:numCache>
                <c:formatCode>General</c:formatCode>
                <c:ptCount val="41"/>
                <c:pt idx="0">
                  <c:v>45.913440344365497</c:v>
                </c:pt>
                <c:pt idx="1">
                  <c:v>-17.884061993686181</c:v>
                </c:pt>
                <c:pt idx="2">
                  <c:v>78.572986193825074</c:v>
                </c:pt>
                <c:pt idx="3">
                  <c:v>16.934880564370786</c:v>
                </c:pt>
                <c:pt idx="4">
                  <c:v>76.596319388564666</c:v>
                </c:pt>
                <c:pt idx="5">
                  <c:v>67.091922918827365</c:v>
                </c:pt>
                <c:pt idx="6">
                  <c:v>65.986878232200823</c:v>
                </c:pt>
                <c:pt idx="7">
                  <c:v>90.373613113427467</c:v>
                </c:pt>
                <c:pt idx="8">
                  <c:v>74.760022144785552</c:v>
                </c:pt>
                <c:pt idx="9">
                  <c:v>95.284347014426956</c:v>
                </c:pt>
                <c:pt idx="10">
                  <c:v>85.915135182462251</c:v>
                </c:pt>
                <c:pt idx="11">
                  <c:v>90.614853975162987</c:v>
                </c:pt>
                <c:pt idx="12">
                  <c:v>93.311026471047072</c:v>
                </c:pt>
                <c:pt idx="13">
                  <c:v>90.750972968620772</c:v>
                </c:pt>
                <c:pt idx="14">
                  <c:v>97.999282065655052</c:v>
                </c:pt>
                <c:pt idx="15">
                  <c:v>97.527902202630372</c:v>
                </c:pt>
                <c:pt idx="16">
                  <c:v>104.44166333909882</c:v>
                </c:pt>
                <c:pt idx="17">
                  <c:v>108.67698024500297</c:v>
                </c:pt>
                <c:pt idx="18">
                  <c:v>113.32949239529465</c:v>
                </c:pt>
                <c:pt idx="19">
                  <c:v>118.73083882103674</c:v>
                </c:pt>
                <c:pt idx="20">
                  <c:v>121.21599507554274</c:v>
                </c:pt>
                <c:pt idx="21">
                  <c:v>124.87455298251905</c:v>
                </c:pt>
                <c:pt idx="22">
                  <c:v>126.45404159629727</c:v>
                </c:pt>
                <c:pt idx="23">
                  <c:v>128.43544712771143</c:v>
                </c:pt>
                <c:pt idx="24">
                  <c:v>130.29898783399136</c:v>
                </c:pt>
                <c:pt idx="25">
                  <c:v>132.0550635983578</c:v>
                </c:pt>
                <c:pt idx="26">
                  <c:v>134.57285929061101</c:v>
                </c:pt>
                <c:pt idx="27">
                  <c:v>136.8802456669527</c:v>
                </c:pt>
                <c:pt idx="28">
                  <c:v>139.65404522744882</c:v>
                </c:pt>
                <c:pt idx="29">
                  <c:v>142.2703556578544</c:v>
                </c:pt>
                <c:pt idx="30">
                  <c:v>144.79587421797049</c:v>
                </c:pt>
                <c:pt idx="31">
                  <c:v>147.19942790595289</c:v>
                </c:pt>
                <c:pt idx="32">
                  <c:v>149.26237350208064</c:v>
                </c:pt>
                <c:pt idx="33">
                  <c:v>151.20394682450987</c:v>
                </c:pt>
                <c:pt idx="34">
                  <c:v>152.8834033040946</c:v>
                </c:pt>
                <c:pt idx="35">
                  <c:v>154.46994458287415</c:v>
                </c:pt>
                <c:pt idx="36">
                  <c:v>155.98532431399005</c:v>
                </c:pt>
                <c:pt idx="37">
                  <c:v>157.47098447503706</c:v>
                </c:pt>
                <c:pt idx="38">
                  <c:v>159.00273988611835</c:v>
                </c:pt>
                <c:pt idx="39">
                  <c:v>160.54064084920006</c:v>
                </c:pt>
                <c:pt idx="40">
                  <c:v>162.11113285523928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33-4FEC-96E4-177D7213E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056464"/>
        <c:axId val="1"/>
      </c:lineChart>
      <c:catAx>
        <c:axId val="53805646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0564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Estimates'!$C$19:$AQ$19</c:f>
              <c:numCache>
                <c:formatCode>General</c:formatCode>
                <c:ptCount val="41"/>
                <c:pt idx="0">
                  <c:v>1.2504012500621318</c:v>
                </c:pt>
                <c:pt idx="1">
                  <c:v>13.94412542541318</c:v>
                </c:pt>
                <c:pt idx="2">
                  <c:v>95.643716003274662</c:v>
                </c:pt>
                <c:pt idx="3">
                  <c:v>24.986720492688956</c:v>
                </c:pt>
                <c:pt idx="4">
                  <c:v>79.593446676876056</c:v>
                </c:pt>
                <c:pt idx="5">
                  <c:v>57.633119968528931</c:v>
                </c:pt>
                <c:pt idx="6">
                  <c:v>71.745588978893508</c:v>
                </c:pt>
                <c:pt idx="7">
                  <c:v>76.459671847054736</c:v>
                </c:pt>
                <c:pt idx="8">
                  <c:v>61.052567411913891</c:v>
                </c:pt>
                <c:pt idx="9">
                  <c:v>78.937988651995198</c:v>
                </c:pt>
                <c:pt idx="10">
                  <c:v>70.450896744312246</c:v>
                </c:pt>
                <c:pt idx="11">
                  <c:v>81.37259207599817</c:v>
                </c:pt>
                <c:pt idx="12">
                  <c:v>82.673610786706561</c:v>
                </c:pt>
                <c:pt idx="13">
                  <c:v>84.912071647050681</c:v>
                </c:pt>
                <c:pt idx="14">
                  <c:v>92.029458375175949</c:v>
                </c:pt>
                <c:pt idx="15">
                  <c:v>92.050129348144083</c:v>
                </c:pt>
                <c:pt idx="16">
                  <c:v>97.820628762063563</c:v>
                </c:pt>
                <c:pt idx="17">
                  <c:v>98.573443295583857</c:v>
                </c:pt>
                <c:pt idx="18">
                  <c:v>101.02213271057316</c:v>
                </c:pt>
                <c:pt idx="19">
                  <c:v>103.08788702437516</c:v>
                </c:pt>
                <c:pt idx="20">
                  <c:v>103.93991818087535</c:v>
                </c:pt>
                <c:pt idx="21">
                  <c:v>106.38936503117773</c:v>
                </c:pt>
                <c:pt idx="22">
                  <c:v>107.56416071274863</c:v>
                </c:pt>
                <c:pt idx="23">
                  <c:v>109.97376201969702</c:v>
                </c:pt>
                <c:pt idx="24">
                  <c:v>112.08208647142924</c:v>
                </c:pt>
                <c:pt idx="25">
                  <c:v>114.25977666755969</c:v>
                </c:pt>
                <c:pt idx="26">
                  <c:v>116.61042996441005</c:v>
                </c:pt>
                <c:pt idx="27">
                  <c:v>118.43371868916462</c:v>
                </c:pt>
                <c:pt idx="28">
                  <c:v>120.37957897888933</c:v>
                </c:pt>
                <c:pt idx="29">
                  <c:v>121.8955506913253</c:v>
                </c:pt>
                <c:pt idx="30">
                  <c:v>123.35722688551742</c:v>
                </c:pt>
                <c:pt idx="31">
                  <c:v>124.71464765773661</c:v>
                </c:pt>
                <c:pt idx="32">
                  <c:v>125.97068348384281</c:v>
                </c:pt>
                <c:pt idx="33">
                  <c:v>127.30680748503903</c:v>
                </c:pt>
                <c:pt idx="34">
                  <c:v>128.58365589238741</c:v>
                </c:pt>
                <c:pt idx="35">
                  <c:v>129.9274835305292</c:v>
                </c:pt>
                <c:pt idx="36">
                  <c:v>131.24869952987589</c:v>
                </c:pt>
                <c:pt idx="37">
                  <c:v>132.55018692512411</c:v>
                </c:pt>
                <c:pt idx="38">
                  <c:v>133.82217500132188</c:v>
                </c:pt>
                <c:pt idx="39">
                  <c:v>135.0134851293837</c:v>
                </c:pt>
                <c:pt idx="40">
                  <c:v>136.14951610757618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02-4DB8-B524-375E6C25E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062368"/>
        <c:axId val="1"/>
      </c:lineChart>
      <c:catAx>
        <c:axId val="53806236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0623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Estimates'!$C$20:$AQ$20</c:f>
              <c:numCache>
                <c:formatCode>General</c:formatCode>
                <c:ptCount val="41"/>
                <c:pt idx="0">
                  <c:v>7.9722354216487465</c:v>
                </c:pt>
                <c:pt idx="1">
                  <c:v>85.023074738643103</c:v>
                </c:pt>
                <c:pt idx="2">
                  <c:v>370.01291395657393</c:v>
                </c:pt>
                <c:pt idx="3">
                  <c:v>180.89326518047275</c:v>
                </c:pt>
                <c:pt idx="4">
                  <c:v>258.74721188601353</c:v>
                </c:pt>
                <c:pt idx="5">
                  <c:v>298.28210882771617</c:v>
                </c:pt>
                <c:pt idx="6">
                  <c:v>303.33523025425251</c:v>
                </c:pt>
                <c:pt idx="7">
                  <c:v>347.7732474625023</c:v>
                </c:pt>
                <c:pt idx="8">
                  <c:v>285.21780473174056</c:v>
                </c:pt>
                <c:pt idx="9">
                  <c:v>324.94164302339613</c:v>
                </c:pt>
                <c:pt idx="10">
                  <c:v>311.63144002847093</c:v>
                </c:pt>
                <c:pt idx="11">
                  <c:v>317.99724006210477</c:v>
                </c:pt>
                <c:pt idx="12">
                  <c:v>327.0237193594063</c:v>
                </c:pt>
                <c:pt idx="13">
                  <c:v>322.56801508343375</c:v>
                </c:pt>
                <c:pt idx="14">
                  <c:v>347.50037616166895</c:v>
                </c:pt>
                <c:pt idx="15">
                  <c:v>355.91838124226985</c:v>
                </c:pt>
                <c:pt idx="16">
                  <c:v>377.76107598110076</c:v>
                </c:pt>
                <c:pt idx="17">
                  <c:v>392.72427885568356</c:v>
                </c:pt>
                <c:pt idx="18">
                  <c:v>404.02456688075273</c:v>
                </c:pt>
                <c:pt idx="19">
                  <c:v>416.10616201287678</c:v>
                </c:pt>
                <c:pt idx="20">
                  <c:v>419.54367271155428</c:v>
                </c:pt>
                <c:pt idx="21">
                  <c:v>425.4232630501358</c:v>
                </c:pt>
                <c:pt idx="22">
                  <c:v>427.9214383883027</c:v>
                </c:pt>
                <c:pt idx="23">
                  <c:v>432.52489432834534</c:v>
                </c:pt>
                <c:pt idx="24">
                  <c:v>438.87672085732299</c:v>
                </c:pt>
                <c:pt idx="25">
                  <c:v>445.68774427604694</c:v>
                </c:pt>
                <c:pt idx="26">
                  <c:v>454.66527424567022</c:v>
                </c:pt>
                <c:pt idx="27">
                  <c:v>462.90374310177668</c:v>
                </c:pt>
                <c:pt idx="28">
                  <c:v>471.50601960455464</c:v>
                </c:pt>
                <c:pt idx="29">
                  <c:v>479.11368506120795</c:v>
                </c:pt>
                <c:pt idx="30">
                  <c:v>485.7384386432546</c:v>
                </c:pt>
                <c:pt idx="31">
                  <c:v>491.67524130956099</c:v>
                </c:pt>
                <c:pt idx="32">
                  <c:v>496.57705395095024</c:v>
                </c:pt>
                <c:pt idx="33">
                  <c:v>501.1955972139242</c:v>
                </c:pt>
                <c:pt idx="34">
                  <c:v>505.39828828544438</c:v>
                </c:pt>
                <c:pt idx="35">
                  <c:v>509.6240707202677</c:v>
                </c:pt>
                <c:pt idx="36">
                  <c:v>513.99274151590441</c:v>
                </c:pt>
                <c:pt idx="37">
                  <c:v>518.51088313020716</c:v>
                </c:pt>
                <c:pt idx="38">
                  <c:v>523.26687184422815</c:v>
                </c:pt>
                <c:pt idx="39">
                  <c:v>528.03333418066768</c:v>
                </c:pt>
                <c:pt idx="40">
                  <c:v>532.74756330724654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E9-4442-ACE3-A54E2A8EC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055152"/>
        <c:axId val="1"/>
      </c:lineChart>
      <c:catAx>
        <c:axId val="53805515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0551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Estimates'!$C$21:$AQ$21</c:f>
              <c:numCache>
                <c:formatCode>General</c:formatCode>
                <c:ptCount val="41"/>
                <c:pt idx="0">
                  <c:v>-14.450331221910952</c:v>
                </c:pt>
                <c:pt idx="1">
                  <c:v>-4.8492468641690065</c:v>
                </c:pt>
                <c:pt idx="2">
                  <c:v>3.138059318832449</c:v>
                </c:pt>
                <c:pt idx="3">
                  <c:v>4.9707900801703895</c:v>
                </c:pt>
                <c:pt idx="4">
                  <c:v>5.8113471291414553</c:v>
                </c:pt>
                <c:pt idx="5">
                  <c:v>1.6886061693870005</c:v>
                </c:pt>
                <c:pt idx="6">
                  <c:v>2.5369884970692458</c:v>
                </c:pt>
                <c:pt idx="7">
                  <c:v>1.1164818429311092</c:v>
                </c:pt>
                <c:pt idx="8">
                  <c:v>0.26812220986508983</c:v>
                </c:pt>
                <c:pt idx="9">
                  <c:v>2.3476345871926187E-2</c:v>
                </c:pt>
                <c:pt idx="10">
                  <c:v>-0.53436178377113264</c:v>
                </c:pt>
                <c:pt idx="11">
                  <c:v>0.38637337613837675</c:v>
                </c:pt>
                <c:pt idx="12">
                  <c:v>0.38070425716340656</c:v>
                </c:pt>
                <c:pt idx="13">
                  <c:v>0.72910164885782569</c:v>
                </c:pt>
                <c:pt idx="14">
                  <c:v>0.72907407622431164</c:v>
                </c:pt>
                <c:pt idx="15">
                  <c:v>0.5543411545250474</c:v>
                </c:pt>
                <c:pt idx="16">
                  <c:v>0.50463570643693234</c:v>
                </c:pt>
                <c:pt idx="17">
                  <c:v>0.11915895038493053</c:v>
                </c:pt>
                <c:pt idx="18">
                  <c:v>-0.10526370750595941</c:v>
                </c:pt>
                <c:pt idx="19">
                  <c:v>-0.43958059328640003</c:v>
                </c:pt>
                <c:pt idx="20">
                  <c:v>-0.67631990804096431</c:v>
                </c:pt>
                <c:pt idx="21">
                  <c:v>-0.82373293116927526</c:v>
                </c:pt>
                <c:pt idx="22">
                  <c:v>-0.94923741784078297</c:v>
                </c:pt>
                <c:pt idx="23">
                  <c:v>-0.95593767011380537</c:v>
                </c:pt>
                <c:pt idx="24">
                  <c:v>-0.97095094662946402</c:v>
                </c:pt>
                <c:pt idx="25">
                  <c:v>-0.95225668459378721</c:v>
                </c:pt>
                <c:pt idx="26">
                  <c:v>-0.96764847507182428</c:v>
                </c:pt>
                <c:pt idx="27">
                  <c:v>-1.0291238687078388</c:v>
                </c:pt>
                <c:pt idx="28">
                  <c:v>-1.1214396089513006</c:v>
                </c:pt>
                <c:pt idx="29">
                  <c:v>-1.2569456034921211</c:v>
                </c:pt>
                <c:pt idx="30">
                  <c:v>-1.3932880648978871</c:v>
                </c:pt>
                <c:pt idx="31">
                  <c:v>-1.5288423937319946</c:v>
                </c:pt>
                <c:pt idx="32">
                  <c:v>-1.6417765006936613</c:v>
                </c:pt>
                <c:pt idx="33">
                  <c:v>-1.7275246701142364</c:v>
                </c:pt>
                <c:pt idx="34">
                  <c:v>-1.7916968568708778</c:v>
                </c:pt>
                <c:pt idx="35">
                  <c:v>-1.8357015288540386</c:v>
                </c:pt>
                <c:pt idx="36">
                  <c:v>-1.8739384225783668</c:v>
                </c:pt>
                <c:pt idx="37">
                  <c:v>-1.9107484363213221</c:v>
                </c:pt>
                <c:pt idx="38">
                  <c:v>-1.9537149678725347</c:v>
                </c:pt>
                <c:pt idx="39">
                  <c:v>-2.0052019360930511</c:v>
                </c:pt>
                <c:pt idx="40">
                  <c:v>-2.064031589002973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BB-4D1C-8BB4-D17FC8937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053184"/>
        <c:axId val="1"/>
      </c:lineChart>
      <c:catAx>
        <c:axId val="53805318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05318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Estimates'!$C$25:$AQ$25</c:f>
              <c:numCache>
                <c:formatCode>General</c:formatCode>
                <c:ptCount val="41"/>
                <c:pt idx="0">
                  <c:v>27.3830012845618</c:v>
                </c:pt>
                <c:pt idx="1">
                  <c:v>-18.050817763574859</c:v>
                </c:pt>
                <c:pt idx="2">
                  <c:v>242.09066129909763</c:v>
                </c:pt>
                <c:pt idx="3">
                  <c:v>105.57855698499358</c:v>
                </c:pt>
                <c:pt idx="4">
                  <c:v>217.09529410126683</c:v>
                </c:pt>
                <c:pt idx="5">
                  <c:v>296.68741184648934</c:v>
                </c:pt>
                <c:pt idx="6">
                  <c:v>302.70607790675098</c:v>
                </c:pt>
                <c:pt idx="7">
                  <c:v>407.69417149642987</c:v>
                </c:pt>
                <c:pt idx="8">
                  <c:v>377.4088537015117</c:v>
                </c:pt>
                <c:pt idx="9">
                  <c:v>446.77389598638666</c:v>
                </c:pt>
                <c:pt idx="10">
                  <c:v>451.46332906462942</c:v>
                </c:pt>
                <c:pt idx="11">
                  <c:v>467.0060816613896</c:v>
                </c:pt>
                <c:pt idx="12">
                  <c:v>491.62556143475314</c:v>
                </c:pt>
                <c:pt idx="13">
                  <c:v>491.05823980804865</c:v>
                </c:pt>
                <c:pt idx="14">
                  <c:v>523.58784833564778</c:v>
                </c:pt>
                <c:pt idx="15">
                  <c:v>537.87253778176614</c:v>
                </c:pt>
                <c:pt idx="16">
                  <c:v>568.88643327983254</c:v>
                </c:pt>
                <c:pt idx="17">
                  <c:v>597.91608210114396</c:v>
                </c:pt>
                <c:pt idx="18">
                  <c:v>623.85916524595427</c:v>
                </c:pt>
                <c:pt idx="19">
                  <c:v>653.74997065052025</c:v>
                </c:pt>
                <c:pt idx="20">
                  <c:v>673.53642338018074</c:v>
                </c:pt>
                <c:pt idx="21">
                  <c:v>694.90775269779556</c:v>
                </c:pt>
                <c:pt idx="22">
                  <c:v>710.50344914204072</c:v>
                </c:pt>
                <c:pt idx="23">
                  <c:v>725.35009571625437</c:v>
                </c:pt>
                <c:pt idx="24">
                  <c:v>740.40995749621629</c:v>
                </c:pt>
                <c:pt idx="25">
                  <c:v>754.3856361156146</c:v>
                </c:pt>
                <c:pt idx="26">
                  <c:v>770.5842050170437</c:v>
                </c:pt>
                <c:pt idx="27">
                  <c:v>786.28727942350474</c:v>
                </c:pt>
                <c:pt idx="28">
                  <c:v>803.03457731788603</c:v>
                </c:pt>
                <c:pt idx="29">
                  <c:v>819.52188534695199</c:v>
                </c:pt>
                <c:pt idx="30">
                  <c:v>835.33318887609619</c:v>
                </c:pt>
                <c:pt idx="31">
                  <c:v>850.61001440200141</c:v>
                </c:pt>
                <c:pt idx="32">
                  <c:v>864.48407005429851</c:v>
                </c:pt>
                <c:pt idx="33">
                  <c:v>877.53592758931893</c:v>
                </c:pt>
                <c:pt idx="34">
                  <c:v>889.45809554648963</c:v>
                </c:pt>
                <c:pt idx="35">
                  <c:v>900.6597047897659</c:v>
                </c:pt>
                <c:pt idx="36">
                  <c:v>911.39851159410046</c:v>
                </c:pt>
                <c:pt idx="37">
                  <c:v>921.80173748721484</c:v>
                </c:pt>
                <c:pt idx="38">
                  <c:v>932.18790390114862</c:v>
                </c:pt>
                <c:pt idx="39">
                  <c:v>942.47806808870951</c:v>
                </c:pt>
                <c:pt idx="40">
                  <c:v>952.72905029135825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8-491D-BE56-EE20E32FE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059416"/>
        <c:axId val="1"/>
      </c:lineChart>
      <c:catAx>
        <c:axId val="53805941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05941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Estimates'!$C$22:$AQ$22</c:f>
              <c:numCache>
                <c:formatCode>General</c:formatCode>
                <c:ptCount val="41"/>
                <c:pt idx="0">
                  <c:v>41.817082534068973</c:v>
                </c:pt>
                <c:pt idx="1">
                  <c:v>-0.32545960673198332</c:v>
                </c:pt>
                <c:pt idx="2">
                  <c:v>104.83561692413969</c:v>
                </c:pt>
                <c:pt idx="3">
                  <c:v>51.123323607766089</c:v>
                </c:pt>
                <c:pt idx="4">
                  <c:v>103.83479164913257</c:v>
                </c:pt>
                <c:pt idx="5">
                  <c:v>111.9486010217113</c:v>
                </c:pt>
                <c:pt idx="6">
                  <c:v>111.43085528533511</c:v>
                </c:pt>
                <c:pt idx="7">
                  <c:v>140.4432979630341</c:v>
                </c:pt>
                <c:pt idx="8">
                  <c:v>123.24353517792844</c:v>
                </c:pt>
                <c:pt idx="9">
                  <c:v>143.36157161869883</c:v>
                </c:pt>
                <c:pt idx="10">
                  <c:v>137.58587050647006</c:v>
                </c:pt>
                <c:pt idx="11">
                  <c:v>141.0945056685118</c:v>
                </c:pt>
                <c:pt idx="12">
                  <c:v>145.2718222740796</c:v>
                </c:pt>
                <c:pt idx="13">
                  <c:v>142.10040063191235</c:v>
                </c:pt>
                <c:pt idx="14">
                  <c:v>150.03295838090446</c:v>
                </c:pt>
                <c:pt idx="15">
                  <c:v>150.55368265395347</c:v>
                </c:pt>
                <c:pt idx="16">
                  <c:v>157.61762392680234</c:v>
                </c:pt>
                <c:pt idx="17">
                  <c:v>162.71515480287511</c:v>
                </c:pt>
                <c:pt idx="18">
                  <c:v>167.26080378186748</c:v>
                </c:pt>
                <c:pt idx="19">
                  <c:v>172.86692794540022</c:v>
                </c:pt>
                <c:pt idx="20">
                  <c:v>175.20348901979938</c:v>
                </c:pt>
                <c:pt idx="21">
                  <c:v>178.61278550462151</c:v>
                </c:pt>
                <c:pt idx="22">
                  <c:v>180.16701052301647</c:v>
                </c:pt>
                <c:pt idx="23">
                  <c:v>182.04617540179865</c:v>
                </c:pt>
                <c:pt idx="24">
                  <c:v>184.11612743488871</c:v>
                </c:pt>
                <c:pt idx="25">
                  <c:v>186.04557874929699</c:v>
                </c:pt>
                <c:pt idx="26">
                  <c:v>188.79836974750833</c:v>
                </c:pt>
                <c:pt idx="27">
                  <c:v>191.32124783099781</c:v>
                </c:pt>
                <c:pt idx="28">
                  <c:v>194.21936156553929</c:v>
                </c:pt>
                <c:pt idx="29">
                  <c:v>196.95227148614379</c:v>
                </c:pt>
                <c:pt idx="30">
                  <c:v>199.51021005706716</c:v>
                </c:pt>
                <c:pt idx="31">
                  <c:v>201.94584229327535</c:v>
                </c:pt>
                <c:pt idx="32">
                  <c:v>204.02187630687629</c:v>
                </c:pt>
                <c:pt idx="33">
                  <c:v>205.9765836752882</c:v>
                </c:pt>
                <c:pt idx="34">
                  <c:v>207.68711090712773</c:v>
                </c:pt>
                <c:pt idx="35">
                  <c:v>209.30649630766328</c:v>
                </c:pt>
                <c:pt idx="36">
                  <c:v>210.87829127512575</c:v>
                </c:pt>
                <c:pt idx="37">
                  <c:v>212.42808403612392</c:v>
                </c:pt>
                <c:pt idx="38">
                  <c:v>214.03550993707975</c:v>
                </c:pt>
                <c:pt idx="39">
                  <c:v>215.65215481112196</c:v>
                </c:pt>
                <c:pt idx="40">
                  <c:v>217.29416427251829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5C-4DF4-80E2-37C4785E8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069912"/>
        <c:axId val="1"/>
      </c:lineChart>
      <c:catAx>
        <c:axId val="53806991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0699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Estimates'!$C$23:$AQ$23</c:f>
              <c:numCache>
                <c:formatCode>General</c:formatCode>
                <c:ptCount val="41"/>
                <c:pt idx="0">
                  <c:v>-7.773418783265635</c:v>
                </c:pt>
                <c:pt idx="1">
                  <c:v>84.553057463998172</c:v>
                </c:pt>
                <c:pt idx="2">
                  <c:v>175.92094771843048</c:v>
                </c:pt>
                <c:pt idx="3">
                  <c:v>91.89719250331288</c:v>
                </c:pt>
                <c:pt idx="4">
                  <c:v>93.112629366783452</c:v>
                </c:pt>
                <c:pt idx="5">
                  <c:v>101.42681263076683</c:v>
                </c:pt>
                <c:pt idx="6">
                  <c:v>117.31879060007432</c:v>
                </c:pt>
                <c:pt idx="7">
                  <c:v>125.33604593316664</c:v>
                </c:pt>
                <c:pt idx="8">
                  <c:v>107.56846186576907</c:v>
                </c:pt>
                <c:pt idx="9">
                  <c:v>118.90979998550436</c:v>
                </c:pt>
                <c:pt idx="10">
                  <c:v>116.40217793558193</c:v>
                </c:pt>
                <c:pt idx="11">
                  <c:v>118.83352052223455</c:v>
                </c:pt>
                <c:pt idx="12">
                  <c:v>117.25277101147556</c:v>
                </c:pt>
                <c:pt idx="13">
                  <c:v>114.24780621906693</c:v>
                </c:pt>
                <c:pt idx="14">
                  <c:v>119.35722868837209</c:v>
                </c:pt>
                <c:pt idx="15">
                  <c:v>121.73883298036409</c:v>
                </c:pt>
                <c:pt idx="16">
                  <c:v>128.52760383332924</c:v>
                </c:pt>
                <c:pt idx="17">
                  <c:v>133.13126261650862</c:v>
                </c:pt>
                <c:pt idx="18">
                  <c:v>137.25656011397018</c:v>
                </c:pt>
                <c:pt idx="19">
                  <c:v>140.82433310221364</c:v>
                </c:pt>
                <c:pt idx="20">
                  <c:v>141.88989888140338</c:v>
                </c:pt>
                <c:pt idx="21">
                  <c:v>143.08466998030872</c:v>
                </c:pt>
                <c:pt idx="22">
                  <c:v>143.09386874357443</c:v>
                </c:pt>
                <c:pt idx="23">
                  <c:v>143.76388806691764</c:v>
                </c:pt>
                <c:pt idx="24">
                  <c:v>144.86363989462222</c:v>
                </c:pt>
                <c:pt idx="25">
                  <c:v>146.31344514502095</c:v>
                </c:pt>
                <c:pt idx="26">
                  <c:v>148.40147065359255</c:v>
                </c:pt>
                <c:pt idx="27">
                  <c:v>150.4298354274602</c:v>
                </c:pt>
                <c:pt idx="28">
                  <c:v>152.67249989007291</c:v>
                </c:pt>
                <c:pt idx="29">
                  <c:v>154.69751282614936</c:v>
                </c:pt>
                <c:pt idx="30">
                  <c:v>156.52260833618041</c:v>
                </c:pt>
                <c:pt idx="31">
                  <c:v>158.12645632861998</c:v>
                </c:pt>
                <c:pt idx="32">
                  <c:v>159.41422387554778</c:v>
                </c:pt>
                <c:pt idx="33">
                  <c:v>160.5440328284316</c:v>
                </c:pt>
                <c:pt idx="34">
                  <c:v>161.48128234536898</c:v>
                </c:pt>
                <c:pt idx="35">
                  <c:v>162.37601836170725</c:v>
                </c:pt>
                <c:pt idx="36">
                  <c:v>163.28626009378135</c:v>
                </c:pt>
                <c:pt idx="37">
                  <c:v>164.26588244548765</c:v>
                </c:pt>
                <c:pt idx="38">
                  <c:v>165.35696251944168</c:v>
                </c:pt>
                <c:pt idx="39">
                  <c:v>166.5108138716663</c:v>
                </c:pt>
                <c:pt idx="40">
                  <c:v>167.70063668309416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8E-4F81-BFB2-3AD630CC0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070240"/>
        <c:axId val="1"/>
      </c:lineChart>
      <c:catAx>
        <c:axId val="53807024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0702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Estimates'!$C$24:$AQ$24</c:f>
              <c:numCache>
                <c:formatCode>General</c:formatCode>
                <c:ptCount val="41"/>
                <c:pt idx="0">
                  <c:v>31.079295804906096</c:v>
                </c:pt>
                <c:pt idx="1">
                  <c:v>125.41490848715273</c:v>
                </c:pt>
                <c:pt idx="2">
                  <c:v>172.41278063685721</c:v>
                </c:pt>
                <c:pt idx="3">
                  <c:v>122.56748894877747</c:v>
                </c:pt>
                <c:pt idx="4">
                  <c:v>144.81890219706003</c:v>
                </c:pt>
                <c:pt idx="5">
                  <c:v>143.13567387254756</c:v>
                </c:pt>
                <c:pt idx="6">
                  <c:v>163.41969476850119</c:v>
                </c:pt>
                <c:pt idx="7">
                  <c:v>162.53754841311871</c:v>
                </c:pt>
                <c:pt idx="8">
                  <c:v>156.3019900624198</c:v>
                </c:pt>
                <c:pt idx="9">
                  <c:v>165.76492893141682</c:v>
                </c:pt>
                <c:pt idx="10">
                  <c:v>163.78199504992284</c:v>
                </c:pt>
                <c:pt idx="11">
                  <c:v>168.71550917989214</c:v>
                </c:pt>
                <c:pt idx="12">
                  <c:v>166.14106453988921</c:v>
                </c:pt>
                <c:pt idx="13">
                  <c:v>165.93909685760798</c:v>
                </c:pt>
                <c:pt idx="14">
                  <c:v>168.50084271961521</c:v>
                </c:pt>
                <c:pt idx="15">
                  <c:v>169.68027118195982</c:v>
                </c:pt>
                <c:pt idx="16">
                  <c:v>174.20045626342826</c:v>
                </c:pt>
                <c:pt idx="17">
                  <c:v>176.598536825217</c:v>
                </c:pt>
                <c:pt idx="18">
                  <c:v>180.08378854606036</c:v>
                </c:pt>
                <c:pt idx="19">
                  <c:v>182.63591962816622</c:v>
                </c:pt>
                <c:pt idx="20">
                  <c:v>184.18336637157969</c:v>
                </c:pt>
                <c:pt idx="21">
                  <c:v>185.69034785936333</c:v>
                </c:pt>
                <c:pt idx="22">
                  <c:v>186.23790358086455</c:v>
                </c:pt>
                <c:pt idx="23">
                  <c:v>187.28603540163775</c:v>
                </c:pt>
                <c:pt idx="24">
                  <c:v>188.20380136378529</c:v>
                </c:pt>
                <c:pt idx="25">
                  <c:v>189.40577892411454</c:v>
                </c:pt>
                <c:pt idx="26">
                  <c:v>190.83987421081804</c:v>
                </c:pt>
                <c:pt idx="27">
                  <c:v>192.24963718478392</c:v>
                </c:pt>
                <c:pt idx="28">
                  <c:v>193.84859553342375</c:v>
                </c:pt>
                <c:pt idx="29">
                  <c:v>195.30474490660393</c:v>
                </c:pt>
                <c:pt idx="30">
                  <c:v>196.74389195874377</c:v>
                </c:pt>
                <c:pt idx="31">
                  <c:v>198.04551809058714</c:v>
                </c:pt>
                <c:pt idx="32">
                  <c:v>199.19604637822169</c:v>
                </c:pt>
                <c:pt idx="33">
                  <c:v>200.24209481817147</c:v>
                </c:pt>
                <c:pt idx="34">
                  <c:v>201.13885341456384</c:v>
                </c:pt>
                <c:pt idx="35">
                  <c:v>201.98432889882366</c:v>
                </c:pt>
                <c:pt idx="36">
                  <c:v>202.78395639739958</c:v>
                </c:pt>
                <c:pt idx="37">
                  <c:v>203.59750055373516</c:v>
                </c:pt>
                <c:pt idx="38">
                  <c:v>204.44753410809756</c:v>
                </c:pt>
                <c:pt idx="39">
                  <c:v>205.32444228660026</c:v>
                </c:pt>
                <c:pt idx="40">
                  <c:v>206.22540561083406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EC-43FB-A8EE-C9E6A4BC8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067944"/>
        <c:axId val="1"/>
      </c:lineChart>
      <c:catAx>
        <c:axId val="53806794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0679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Estimates'!$C$27:$AQ$27</c:f>
              <c:numCache>
                <c:formatCode>General</c:formatCode>
                <c:ptCount val="41"/>
                <c:pt idx="0">
                  <c:v>23.785248802357863</c:v>
                </c:pt>
                <c:pt idx="1">
                  <c:v>-0.11181165470699851</c:v>
                </c:pt>
                <c:pt idx="2">
                  <c:v>14.216796866299324</c:v>
                </c:pt>
                <c:pt idx="3">
                  <c:v>8.5216174371878868</c:v>
                </c:pt>
                <c:pt idx="4">
                  <c:v>12.708832051558954</c:v>
                </c:pt>
                <c:pt idx="5">
                  <c:v>24.269942136988856</c:v>
                </c:pt>
                <c:pt idx="6">
                  <c:v>21.631289952610729</c:v>
                </c:pt>
                <c:pt idx="7">
                  <c:v>29.169867689992287</c:v>
                </c:pt>
                <c:pt idx="8">
                  <c:v>27.447041372566186</c:v>
                </c:pt>
                <c:pt idx="9">
                  <c:v>30.556251923695452</c:v>
                </c:pt>
                <c:pt idx="10">
                  <c:v>32.085255631150233</c:v>
                </c:pt>
                <c:pt idx="11">
                  <c:v>31.756476893598794</c:v>
                </c:pt>
                <c:pt idx="12">
                  <c:v>34.397231019445499</c:v>
                </c:pt>
                <c:pt idx="13">
                  <c:v>34.784870742379979</c:v>
                </c:pt>
                <c:pt idx="14">
                  <c:v>37.666492402148663</c:v>
                </c:pt>
                <c:pt idx="15">
                  <c:v>39.737728701969075</c:v>
                </c:pt>
                <c:pt idx="16">
                  <c:v>42.200956225137354</c:v>
                </c:pt>
                <c:pt idx="17">
                  <c:v>45.030227215448512</c:v>
                </c:pt>
                <c:pt idx="18">
                  <c:v>47.065139999246789</c:v>
                </c:pt>
                <c:pt idx="19">
                  <c:v>49.422431526252822</c:v>
                </c:pt>
                <c:pt idx="20">
                  <c:v>50.959790469521309</c:v>
                </c:pt>
                <c:pt idx="21">
                  <c:v>52.448728101683805</c:v>
                </c:pt>
                <c:pt idx="22">
                  <c:v>53.70692848838361</c:v>
                </c:pt>
                <c:pt idx="23">
                  <c:v>54.82562002321869</c:v>
                </c:pt>
                <c:pt idx="24">
                  <c:v>56.130623689384691</c:v>
                </c:pt>
                <c:pt idx="25">
                  <c:v>57.387200450398041</c:v>
                </c:pt>
                <c:pt idx="26">
                  <c:v>58.849295459103729</c:v>
                </c:pt>
                <c:pt idx="27">
                  <c:v>60.319052206420643</c:v>
                </c:pt>
                <c:pt idx="28">
                  <c:v>61.806439802584684</c:v>
                </c:pt>
                <c:pt idx="29">
                  <c:v>63.26359851035847</c:v>
                </c:pt>
                <c:pt idx="30">
                  <c:v>64.596541374543165</c:v>
                </c:pt>
                <c:pt idx="31">
                  <c:v>65.851449545216539</c:v>
                </c:pt>
                <c:pt idx="32">
                  <c:v>66.972369212424084</c:v>
                </c:pt>
                <c:pt idx="33">
                  <c:v>68.012566680870279</c:v>
                </c:pt>
                <c:pt idx="34">
                  <c:v>68.982504109584639</c:v>
                </c:pt>
                <c:pt idx="35">
                  <c:v>69.907091095272534</c:v>
                </c:pt>
                <c:pt idx="36">
                  <c:v>70.821431939026269</c:v>
                </c:pt>
                <c:pt idx="37">
                  <c:v>71.725067578621108</c:v>
                </c:pt>
                <c:pt idx="38">
                  <c:v>72.635664254965647</c:v>
                </c:pt>
                <c:pt idx="39">
                  <c:v>73.540516519911492</c:v>
                </c:pt>
                <c:pt idx="40">
                  <c:v>74.43222496265841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A7-4163-A1AB-6F053806E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071552"/>
        <c:axId val="1"/>
      </c:lineChart>
      <c:catAx>
        <c:axId val="53807155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0715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Estimates'!$C$26:$AQ$26</c:f>
              <c:numCache>
                <c:formatCode>General</c:formatCode>
                <c:ptCount val="41"/>
                <c:pt idx="0">
                  <c:v>-18.195685705965531</c:v>
                </c:pt>
                <c:pt idx="1">
                  <c:v>-55.341177192554248</c:v>
                </c:pt>
                <c:pt idx="2">
                  <c:v>45.897797347323511</c:v>
                </c:pt>
                <c:pt idx="3">
                  <c:v>13.916925456163739</c:v>
                </c:pt>
                <c:pt idx="4">
                  <c:v>44.494242305829133</c:v>
                </c:pt>
                <c:pt idx="5">
                  <c:v>61.026830867172706</c:v>
                </c:pt>
                <c:pt idx="6">
                  <c:v>52.672348519689102</c:v>
                </c:pt>
                <c:pt idx="7">
                  <c:v>91.757228556182312</c:v>
                </c:pt>
                <c:pt idx="8">
                  <c:v>77.96666294717464</c:v>
                </c:pt>
                <c:pt idx="9">
                  <c:v>97.579522331951637</c:v>
                </c:pt>
                <c:pt idx="10">
                  <c:v>95.587338370877873</c:v>
                </c:pt>
                <c:pt idx="11">
                  <c:v>98.461937231298521</c:v>
                </c:pt>
                <c:pt idx="12">
                  <c:v>106.73312276656549</c:v>
                </c:pt>
                <c:pt idx="13">
                  <c:v>104.53468598995867</c:v>
                </c:pt>
                <c:pt idx="14">
                  <c:v>114.41363321865899</c:v>
                </c:pt>
                <c:pt idx="15">
                  <c:v>117.69699233275361</c:v>
                </c:pt>
                <c:pt idx="16">
                  <c:v>126.91257948867384</c:v>
                </c:pt>
                <c:pt idx="17">
                  <c:v>135.6350736338986</c:v>
                </c:pt>
                <c:pt idx="18">
                  <c:v>142.80168415409688</c:v>
                </c:pt>
                <c:pt idx="19">
                  <c:v>151.60405616976399</c:v>
                </c:pt>
                <c:pt idx="20">
                  <c:v>156.79045660465749</c:v>
                </c:pt>
                <c:pt idx="21">
                  <c:v>162.74467645514127</c:v>
                </c:pt>
                <c:pt idx="22">
                  <c:v>166.81271615616967</c:v>
                </c:pt>
                <c:pt idx="23">
                  <c:v>170.66174466138364</c:v>
                </c:pt>
                <c:pt idx="24">
                  <c:v>174.76496576918493</c:v>
                </c:pt>
                <c:pt idx="25">
                  <c:v>178.51143565881301</c:v>
                </c:pt>
                <c:pt idx="26">
                  <c:v>183.12945299538208</c:v>
                </c:pt>
                <c:pt idx="27">
                  <c:v>187.57702515144592</c:v>
                </c:pt>
                <c:pt idx="28">
                  <c:v>192.389101583208</c:v>
                </c:pt>
                <c:pt idx="29">
                  <c:v>197.12656585485604</c:v>
                </c:pt>
                <c:pt idx="30">
                  <c:v>201.61914037974532</c:v>
                </c:pt>
                <c:pt idx="31">
                  <c:v>205.95944326310504</c:v>
                </c:pt>
                <c:pt idx="32">
                  <c:v>209.83264537371392</c:v>
                </c:pt>
                <c:pt idx="33">
                  <c:v>213.4669359094251</c:v>
                </c:pt>
                <c:pt idx="34">
                  <c:v>216.75911063276121</c:v>
                </c:pt>
                <c:pt idx="35">
                  <c:v>219.8482696696243</c:v>
                </c:pt>
                <c:pt idx="36">
                  <c:v>222.82623547555576</c:v>
                </c:pt>
                <c:pt idx="37">
                  <c:v>225.72140409536954</c:v>
                </c:pt>
                <c:pt idx="38">
                  <c:v>228.64150524308207</c:v>
                </c:pt>
                <c:pt idx="39">
                  <c:v>231.54833960412253</c:v>
                </c:pt>
                <c:pt idx="40">
                  <c:v>234.45748003295327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40-4823-A4AE-3659954B9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064336"/>
        <c:axId val="1"/>
      </c:lineChart>
      <c:catAx>
        <c:axId val="53806433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0643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Estimates'!$C$28:$AQ$28</c:f>
              <c:numCache>
                <c:formatCode>General</c:formatCode>
                <c:ptCount val="41"/>
                <c:pt idx="0">
                  <c:v>-45.000912486619242</c:v>
                </c:pt>
                <c:pt idx="1">
                  <c:v>-57.271183407656203</c:v>
                </c:pt>
                <c:pt idx="2">
                  <c:v>58.476291688900034</c:v>
                </c:pt>
                <c:pt idx="3">
                  <c:v>51.511057380198011</c:v>
                </c:pt>
                <c:pt idx="4">
                  <c:v>89.934558687179958</c:v>
                </c:pt>
                <c:pt idx="5">
                  <c:v>49.218133339051363</c:v>
                </c:pt>
                <c:pt idx="6">
                  <c:v>37.333872456811974</c:v>
                </c:pt>
                <c:pt idx="7">
                  <c:v>62.664330262874543</c:v>
                </c:pt>
                <c:pt idx="8">
                  <c:v>43.917264264795655</c:v>
                </c:pt>
                <c:pt idx="9">
                  <c:v>60.972760038466106</c:v>
                </c:pt>
                <c:pt idx="10">
                  <c:v>49.55967546381433</c:v>
                </c:pt>
                <c:pt idx="11">
                  <c:v>59.29790456189064</c:v>
                </c:pt>
                <c:pt idx="12">
                  <c:v>64.229718244341683</c:v>
                </c:pt>
                <c:pt idx="13">
                  <c:v>61.616544881699042</c:v>
                </c:pt>
                <c:pt idx="14">
                  <c:v>65.750677415191021</c:v>
                </c:pt>
                <c:pt idx="15">
                  <c:v>60.391255732634207</c:v>
                </c:pt>
                <c:pt idx="16">
                  <c:v>62.211268783046528</c:v>
                </c:pt>
                <c:pt idx="17">
                  <c:v>60.479257069240809</c:v>
                </c:pt>
                <c:pt idx="18">
                  <c:v>60.039428864366556</c:v>
                </c:pt>
                <c:pt idx="19">
                  <c:v>61.270767563124743</c:v>
                </c:pt>
                <c:pt idx="20">
                  <c:v>61.092778012469417</c:v>
                </c:pt>
                <c:pt idx="21">
                  <c:v>63.379018686602912</c:v>
                </c:pt>
                <c:pt idx="22">
                  <c:v>64.154493247620124</c:v>
                </c:pt>
                <c:pt idx="23">
                  <c:v>65.653357613232259</c:v>
                </c:pt>
                <c:pt idx="24">
                  <c:v>66.724260587992916</c:v>
                </c:pt>
                <c:pt idx="25">
                  <c:v>67.278099501880618</c:v>
                </c:pt>
                <c:pt idx="26">
                  <c:v>68.027192866499675</c:v>
                </c:pt>
                <c:pt idx="27">
                  <c:v>68.0739314217128</c:v>
                </c:pt>
                <c:pt idx="28">
                  <c:v>68.350904130588503</c:v>
                </c:pt>
                <c:pt idx="29">
                  <c:v>68.422673141764733</c:v>
                </c:pt>
                <c:pt idx="30">
                  <c:v>68.622859752984596</c:v>
                </c:pt>
                <c:pt idx="31">
                  <c:v>69.019171245860733</c:v>
                </c:pt>
                <c:pt idx="32">
                  <c:v>69.450675772520924</c:v>
                </c:pt>
                <c:pt idx="33">
                  <c:v>70.098527458015369</c:v>
                </c:pt>
                <c:pt idx="34">
                  <c:v>70.711314174365384</c:v>
                </c:pt>
                <c:pt idx="35">
                  <c:v>71.346419876048643</c:v>
                </c:pt>
                <c:pt idx="36">
                  <c:v>71.896914905163712</c:v>
                </c:pt>
                <c:pt idx="37">
                  <c:v>72.33218276986041</c:v>
                </c:pt>
                <c:pt idx="38">
                  <c:v>72.693664972200665</c:v>
                </c:pt>
                <c:pt idx="39">
                  <c:v>72.956560225399414</c:v>
                </c:pt>
                <c:pt idx="40">
                  <c:v>73.198972226107585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DE-4478-9615-17FA77CBE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045968"/>
        <c:axId val="1"/>
      </c:lineChart>
      <c:catAx>
        <c:axId val="53804596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0459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Estimates'!$C$29:$AQ$29</c:f>
              <c:numCache>
                <c:formatCode>General</c:formatCode>
                <c:ptCount val="41"/>
                <c:pt idx="0">
                  <c:v>-121.16848519699698</c:v>
                </c:pt>
                <c:pt idx="1">
                  <c:v>13.114797872689714</c:v>
                </c:pt>
                <c:pt idx="2">
                  <c:v>160.33068624883998</c:v>
                </c:pt>
                <c:pt idx="3">
                  <c:v>125.85407062482059</c:v>
                </c:pt>
                <c:pt idx="4">
                  <c:v>133.06572249489543</c:v>
                </c:pt>
                <c:pt idx="5">
                  <c:v>92.71808341011041</c:v>
                </c:pt>
                <c:pt idx="6">
                  <c:v>114.35268699598191</c:v>
                </c:pt>
                <c:pt idx="7">
                  <c:v>128.71863653880581</c:v>
                </c:pt>
                <c:pt idx="8">
                  <c:v>123.21631081451486</c:v>
                </c:pt>
                <c:pt idx="9">
                  <c:v>136.65679601876067</c:v>
                </c:pt>
                <c:pt idx="10">
                  <c:v>133.80525272125627</c:v>
                </c:pt>
                <c:pt idx="11">
                  <c:v>144.70656436891221</c:v>
                </c:pt>
                <c:pt idx="12">
                  <c:v>142.29893091032545</c:v>
                </c:pt>
                <c:pt idx="13">
                  <c:v>136.51970233953628</c:v>
                </c:pt>
                <c:pt idx="14">
                  <c:v>132.32936608797263</c:v>
                </c:pt>
                <c:pt idx="15">
                  <c:v>125.07008782400614</c:v>
                </c:pt>
                <c:pt idx="16">
                  <c:v>124.34141040020367</c:v>
                </c:pt>
                <c:pt idx="17">
                  <c:v>122.00332938718365</c:v>
                </c:pt>
                <c:pt idx="18">
                  <c:v>122.84814203535633</c:v>
                </c:pt>
                <c:pt idx="19">
                  <c:v>124.35972006155694</c:v>
                </c:pt>
                <c:pt idx="20">
                  <c:v>125.51016844119481</c:v>
                </c:pt>
                <c:pt idx="21">
                  <c:v>127.27937105470356</c:v>
                </c:pt>
                <c:pt idx="22">
                  <c:v>127.24423459665469</c:v>
                </c:pt>
                <c:pt idx="23">
                  <c:v>127.21619118161809</c:v>
                </c:pt>
                <c:pt idx="24">
                  <c:v>126.22774592590673</c:v>
                </c:pt>
                <c:pt idx="25">
                  <c:v>124.93864930921436</c:v>
                </c:pt>
                <c:pt idx="26">
                  <c:v>123.62475594874076</c:v>
                </c:pt>
                <c:pt idx="27">
                  <c:v>122.11107441814286</c:v>
                </c:pt>
                <c:pt idx="28">
                  <c:v>121.06853667878036</c:v>
                </c:pt>
                <c:pt idx="29">
                  <c:v>120.21345073470329</c:v>
                </c:pt>
                <c:pt idx="30">
                  <c:v>119.83079741636816</c:v>
                </c:pt>
                <c:pt idx="31">
                  <c:v>119.74845889435335</c:v>
                </c:pt>
                <c:pt idx="32">
                  <c:v>119.81221384484927</c:v>
                </c:pt>
                <c:pt idx="33">
                  <c:v>119.95072949804019</c:v>
                </c:pt>
                <c:pt idx="34">
                  <c:v>119.91337453803121</c:v>
                </c:pt>
                <c:pt idx="35">
                  <c:v>119.70931658248233</c:v>
                </c:pt>
                <c:pt idx="36">
                  <c:v>119.27131043135377</c:v>
                </c:pt>
                <c:pt idx="37">
                  <c:v>118.67958195943078</c:v>
                </c:pt>
                <c:pt idx="38">
                  <c:v>118.03207483038393</c:v>
                </c:pt>
                <c:pt idx="39">
                  <c:v>117.40243384626177</c:v>
                </c:pt>
                <c:pt idx="40">
                  <c:v>116.88417554055084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4C-455D-9510-FC74CA0D4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051872"/>
        <c:axId val="1"/>
      </c:lineChart>
      <c:catAx>
        <c:axId val="53805187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0518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Estimates'!$C$30:$AQ$30</c:f>
              <c:numCache>
                <c:formatCode>General</c:formatCode>
                <c:ptCount val="41"/>
                <c:pt idx="0">
                  <c:v>19.079979157966637</c:v>
                </c:pt>
                <c:pt idx="1">
                  <c:v>-5.1715276612248484</c:v>
                </c:pt>
                <c:pt idx="2">
                  <c:v>10.550534093271857</c:v>
                </c:pt>
                <c:pt idx="3">
                  <c:v>16.377516597654882</c:v>
                </c:pt>
                <c:pt idx="4">
                  <c:v>16.659835510849966</c:v>
                </c:pt>
                <c:pt idx="5">
                  <c:v>28.586574766762922</c:v>
                </c:pt>
                <c:pt idx="6">
                  <c:v>20.563153683877943</c:v>
                </c:pt>
                <c:pt idx="7">
                  <c:v>29.874704692356321</c:v>
                </c:pt>
                <c:pt idx="8">
                  <c:v>27.362929571778249</c:v>
                </c:pt>
                <c:pt idx="9">
                  <c:v>29.324252305183919</c:v>
                </c:pt>
                <c:pt idx="10">
                  <c:v>30.733562612116422</c:v>
                </c:pt>
                <c:pt idx="11">
                  <c:v>29.197011105445345</c:v>
                </c:pt>
                <c:pt idx="12">
                  <c:v>32.067389798294329</c:v>
                </c:pt>
                <c:pt idx="13">
                  <c:v>31.395729821114553</c:v>
                </c:pt>
                <c:pt idx="14">
                  <c:v>33.506200316397425</c:v>
                </c:pt>
                <c:pt idx="15">
                  <c:v>34.774366617005136</c:v>
                </c:pt>
                <c:pt idx="16">
                  <c:v>36.284345293705258</c:v>
                </c:pt>
                <c:pt idx="17">
                  <c:v>38.573096429481936</c:v>
                </c:pt>
                <c:pt idx="18">
                  <c:v>39.771304968979962</c:v>
                </c:pt>
                <c:pt idx="19">
                  <c:v>41.566329822122789</c:v>
                </c:pt>
                <c:pt idx="20">
                  <c:v>42.496318056488704</c:v>
                </c:pt>
                <c:pt idx="21">
                  <c:v>43.448749132058339</c:v>
                </c:pt>
                <c:pt idx="22">
                  <c:v>44.266922462309701</c:v>
                </c:pt>
                <c:pt idx="23">
                  <c:v>44.884602034206736</c:v>
                </c:pt>
                <c:pt idx="24">
                  <c:v>45.767612642012253</c:v>
                </c:pt>
                <c:pt idx="25">
                  <c:v>46.542262188738796</c:v>
                </c:pt>
                <c:pt idx="26">
                  <c:v>47.531791781583678</c:v>
                </c:pt>
                <c:pt idx="27">
                  <c:v>48.51402244514852</c:v>
                </c:pt>
                <c:pt idx="28">
                  <c:v>49.50008645280991</c:v>
                </c:pt>
                <c:pt idx="29">
                  <c:v>50.490272190988897</c:v>
                </c:pt>
                <c:pt idx="30">
                  <c:v>51.368465098590718</c:v>
                </c:pt>
                <c:pt idx="31">
                  <c:v>52.215557855826738</c:v>
                </c:pt>
                <c:pt idx="32">
                  <c:v>52.956555720415125</c:v>
                </c:pt>
                <c:pt idx="33">
                  <c:v>53.643813246164349</c:v>
                </c:pt>
                <c:pt idx="34">
                  <c:v>54.281691366941651</c:v>
                </c:pt>
                <c:pt idx="35">
                  <c:v>54.879873851056921</c:v>
                </c:pt>
                <c:pt idx="36">
                  <c:v>55.476353818188777</c:v>
                </c:pt>
                <c:pt idx="37">
                  <c:v>56.062238075295014</c:v>
                </c:pt>
                <c:pt idx="38">
                  <c:v>56.65999741996319</c:v>
                </c:pt>
                <c:pt idx="39">
                  <c:v>57.258020749236394</c:v>
                </c:pt>
                <c:pt idx="40">
                  <c:v>57.851025194177872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69-4C68-9B13-52BB207BD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048264"/>
        <c:axId val="1"/>
      </c:lineChart>
      <c:catAx>
        <c:axId val="53804826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048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Estimates'!$C$31:$AQ$31</c:f>
              <c:numCache>
                <c:formatCode>General</c:formatCode>
                <c:ptCount val="41"/>
                <c:pt idx="0">
                  <c:v>-103.69914670686022</c:v>
                </c:pt>
                <c:pt idx="1">
                  <c:v>81.129733912958997</c:v>
                </c:pt>
                <c:pt idx="2">
                  <c:v>63.435475040914532</c:v>
                </c:pt>
                <c:pt idx="3">
                  <c:v>90.624887375015433</c:v>
                </c:pt>
                <c:pt idx="4">
                  <c:v>57.472541505533279</c:v>
                </c:pt>
                <c:pt idx="5">
                  <c:v>108.55447171900927</c:v>
                </c:pt>
                <c:pt idx="6">
                  <c:v>95.905967805870475</c:v>
                </c:pt>
                <c:pt idx="7">
                  <c:v>119.47680050224766</c:v>
                </c:pt>
                <c:pt idx="8">
                  <c:v>106.68719272974344</c:v>
                </c:pt>
                <c:pt idx="9">
                  <c:v>114.26469193917224</c:v>
                </c:pt>
                <c:pt idx="10">
                  <c:v>126.81805288880031</c:v>
                </c:pt>
                <c:pt idx="11">
                  <c:v>133.80338486955947</c:v>
                </c:pt>
                <c:pt idx="12">
                  <c:v>151.62329628388261</c:v>
                </c:pt>
                <c:pt idx="13">
                  <c:v>163.02188338514759</c:v>
                </c:pt>
                <c:pt idx="14">
                  <c:v>184.05873946231034</c:v>
                </c:pt>
                <c:pt idx="15">
                  <c:v>204.9599991541028</c:v>
                </c:pt>
                <c:pt idx="16">
                  <c:v>226.10850044435571</c:v>
                </c:pt>
                <c:pt idx="17">
                  <c:v>247.79377630494827</c:v>
                </c:pt>
                <c:pt idx="18">
                  <c:v>264.76563987767258</c:v>
                </c:pt>
                <c:pt idx="19">
                  <c:v>281.10090364529151</c:v>
                </c:pt>
                <c:pt idx="20">
                  <c:v>293.55136628509939</c:v>
                </c:pt>
                <c:pt idx="21">
                  <c:v>304.96447232538009</c:v>
                </c:pt>
                <c:pt idx="22">
                  <c:v>315.94882804083778</c:v>
                </c:pt>
                <c:pt idx="23">
                  <c:v>327.00951796832152</c:v>
                </c:pt>
                <c:pt idx="24">
                  <c:v>339.55937288615462</c:v>
                </c:pt>
                <c:pt idx="25">
                  <c:v>352.48564166817664</c:v>
                </c:pt>
                <c:pt idx="26">
                  <c:v>366.15657101132439</c:v>
                </c:pt>
                <c:pt idx="27">
                  <c:v>379.59957945425504</c:v>
                </c:pt>
                <c:pt idx="28">
                  <c:v>392.48164662621429</c:v>
                </c:pt>
                <c:pt idx="29">
                  <c:v>404.62332327061449</c:v>
                </c:pt>
                <c:pt idx="30">
                  <c:v>415.70267739099751</c:v>
                </c:pt>
                <c:pt idx="31">
                  <c:v>426.01146908477165</c:v>
                </c:pt>
                <c:pt idx="32">
                  <c:v>435.52443413875181</c:v>
                </c:pt>
                <c:pt idx="33">
                  <c:v>444.53489846229797</c:v>
                </c:pt>
                <c:pt idx="34">
                  <c:v>453.20355425940147</c:v>
                </c:pt>
                <c:pt idx="35">
                  <c:v>461.65968481205618</c:v>
                </c:pt>
                <c:pt idx="36">
                  <c:v>470.05824910643702</c:v>
                </c:pt>
                <c:pt idx="37">
                  <c:v>478.38606671380774</c:v>
                </c:pt>
                <c:pt idx="38">
                  <c:v>486.65953353656062</c:v>
                </c:pt>
                <c:pt idx="39">
                  <c:v>494.78026941551212</c:v>
                </c:pt>
                <c:pt idx="40">
                  <c:v>502.65399591515325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57-49D3-A77D-A96331016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044328"/>
        <c:axId val="1"/>
      </c:lineChart>
      <c:catAx>
        <c:axId val="53804432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0443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Estimates'!$C$32:$AQ$32</c:f>
              <c:numCache>
                <c:formatCode>General</c:formatCode>
                <c:ptCount val="41"/>
                <c:pt idx="0">
                  <c:v>-11.182028614536494</c:v>
                </c:pt>
                <c:pt idx="1">
                  <c:v>0.19498881914153585</c:v>
                </c:pt>
                <c:pt idx="2">
                  <c:v>27.335167201664266</c:v>
                </c:pt>
                <c:pt idx="3">
                  <c:v>35.418246372402898</c:v>
                </c:pt>
                <c:pt idx="4">
                  <c:v>36.34753534742439</c:v>
                </c:pt>
                <c:pt idx="5">
                  <c:v>36.455366974147076</c:v>
                </c:pt>
                <c:pt idx="6">
                  <c:v>36.556087613827913</c:v>
                </c:pt>
                <c:pt idx="7">
                  <c:v>42.872551325294538</c:v>
                </c:pt>
                <c:pt idx="8">
                  <c:v>40.734287417861253</c:v>
                </c:pt>
                <c:pt idx="9">
                  <c:v>43.802363857581675</c:v>
                </c:pt>
                <c:pt idx="10">
                  <c:v>45.21176460211408</c:v>
                </c:pt>
                <c:pt idx="11">
                  <c:v>48.619943459940473</c:v>
                </c:pt>
                <c:pt idx="12">
                  <c:v>51.775762098723575</c:v>
                </c:pt>
                <c:pt idx="13">
                  <c:v>52.893050228518241</c:v>
                </c:pt>
                <c:pt idx="14">
                  <c:v>54.904789263792821</c:v>
                </c:pt>
                <c:pt idx="15">
                  <c:v>55.794127441154174</c:v>
                </c:pt>
                <c:pt idx="16">
                  <c:v>57.456048281219161</c:v>
                </c:pt>
                <c:pt idx="17">
                  <c:v>58.946795066199336</c:v>
                </c:pt>
                <c:pt idx="18">
                  <c:v>60.442944287091876</c:v>
                </c:pt>
                <c:pt idx="19">
                  <c:v>62.306773258079851</c:v>
                </c:pt>
                <c:pt idx="20">
                  <c:v>63.911991850308773</c:v>
                </c:pt>
                <c:pt idx="21">
                  <c:v>65.740775425445747</c:v>
                </c:pt>
                <c:pt idx="22">
                  <c:v>67.336236127110112</c:v>
                </c:pt>
                <c:pt idx="23">
                  <c:v>68.903115869061594</c:v>
                </c:pt>
                <c:pt idx="24">
                  <c:v>70.412841071577944</c:v>
                </c:pt>
                <c:pt idx="25">
                  <c:v>71.778992719233202</c:v>
                </c:pt>
                <c:pt idx="26">
                  <c:v>73.125886780959405</c:v>
                </c:pt>
                <c:pt idx="27">
                  <c:v>74.330377340585912</c:v>
                </c:pt>
                <c:pt idx="28">
                  <c:v>75.505887512971825</c:v>
                </c:pt>
                <c:pt idx="29">
                  <c:v>76.632478709151229</c:v>
                </c:pt>
                <c:pt idx="30">
                  <c:v>77.740975624818148</c:v>
                </c:pt>
                <c:pt idx="31">
                  <c:v>78.863480492303566</c:v>
                </c:pt>
                <c:pt idx="32">
                  <c:v>79.969575352904357</c:v>
                </c:pt>
                <c:pt idx="33">
                  <c:v>81.076618001634372</c:v>
                </c:pt>
                <c:pt idx="34">
                  <c:v>82.1454015928595</c:v>
                </c:pt>
                <c:pt idx="35">
                  <c:v>83.169725993380268</c:v>
                </c:pt>
                <c:pt idx="36">
                  <c:v>84.138535126996615</c:v>
                </c:pt>
                <c:pt idx="37">
                  <c:v>85.047145670523975</c:v>
                </c:pt>
                <c:pt idx="38">
                  <c:v>85.90960632327419</c:v>
                </c:pt>
                <c:pt idx="39">
                  <c:v>86.729744733563265</c:v>
                </c:pt>
                <c:pt idx="40">
                  <c:v>87.522419594743624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52-47F3-8967-98E799B11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051544"/>
        <c:axId val="1"/>
      </c:lineChart>
      <c:catAx>
        <c:axId val="53805154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0515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Estimates'!$C$33:$AQ$33</c:f>
              <c:numCache>
                <c:formatCode>General</c:formatCode>
                <c:ptCount val="41"/>
                <c:pt idx="0">
                  <c:v>7.5556979594643527</c:v>
                </c:pt>
                <c:pt idx="1">
                  <c:v>11.125933566086097</c:v>
                </c:pt>
                <c:pt idx="2">
                  <c:v>3.1483597535978194</c:v>
                </c:pt>
                <c:pt idx="3">
                  <c:v>6.2219639551215487</c:v>
                </c:pt>
                <c:pt idx="4">
                  <c:v>4.6673553617524917</c:v>
                </c:pt>
                <c:pt idx="5">
                  <c:v>13.504028807018598</c:v>
                </c:pt>
                <c:pt idx="6">
                  <c:v>13.632666942421457</c:v>
                </c:pt>
                <c:pt idx="7">
                  <c:v>17.530036739613362</c:v>
                </c:pt>
                <c:pt idx="8">
                  <c:v>17.935851651560302</c:v>
                </c:pt>
                <c:pt idx="9">
                  <c:v>18.829875917826769</c:v>
                </c:pt>
                <c:pt idx="10">
                  <c:v>19.653854854541464</c:v>
                </c:pt>
                <c:pt idx="11">
                  <c:v>19.333291960195794</c:v>
                </c:pt>
                <c:pt idx="12">
                  <c:v>20.74838017189062</c:v>
                </c:pt>
                <c:pt idx="13">
                  <c:v>21.679101712785346</c:v>
                </c:pt>
                <c:pt idx="14">
                  <c:v>23.400503406018661</c:v>
                </c:pt>
                <c:pt idx="15">
                  <c:v>24.982390230173817</c:v>
                </c:pt>
                <c:pt idx="16">
                  <c:v>26.382093424958921</c:v>
                </c:pt>
                <c:pt idx="17">
                  <c:v>28.01773930289124</c:v>
                </c:pt>
                <c:pt idx="18">
                  <c:v>29.321492574988341</c:v>
                </c:pt>
                <c:pt idx="19">
                  <c:v>30.8032774095741</c:v>
                </c:pt>
                <c:pt idx="20">
                  <c:v>32.094443362893394</c:v>
                </c:pt>
                <c:pt idx="21">
                  <c:v>33.352038304586792</c:v>
                </c:pt>
                <c:pt idx="22">
                  <c:v>34.570655068357034</c:v>
                </c:pt>
                <c:pt idx="23">
                  <c:v>35.661047719195921</c:v>
                </c:pt>
                <c:pt idx="24">
                  <c:v>36.769144751353394</c:v>
                </c:pt>
                <c:pt idx="25">
                  <c:v>37.798428663260985</c:v>
                </c:pt>
                <c:pt idx="26">
                  <c:v>38.848292851145246</c:v>
                </c:pt>
                <c:pt idx="27">
                  <c:v>39.888600141162009</c:v>
                </c:pt>
                <c:pt idx="28">
                  <c:v>40.913358689665458</c:v>
                </c:pt>
                <c:pt idx="29">
                  <c:v>41.931175195604773</c:v>
                </c:pt>
                <c:pt idx="30">
                  <c:v>42.898796641149829</c:v>
                </c:pt>
                <c:pt idx="31">
                  <c:v>43.834473204797781</c:v>
                </c:pt>
                <c:pt idx="32">
                  <c:v>44.71710225359368</c:v>
                </c:pt>
                <c:pt idx="33">
                  <c:v>45.557260539052251</c:v>
                </c:pt>
                <c:pt idx="34">
                  <c:v>46.360410168648357</c:v>
                </c:pt>
                <c:pt idx="35">
                  <c:v>47.127657469916329</c:v>
                </c:pt>
                <c:pt idx="36">
                  <c:v>47.871195814124818</c:v>
                </c:pt>
                <c:pt idx="37">
                  <c:v>48.588701641055167</c:v>
                </c:pt>
                <c:pt idx="38">
                  <c:v>49.286726681350707</c:v>
                </c:pt>
                <c:pt idx="39">
                  <c:v>49.964656616942833</c:v>
                </c:pt>
                <c:pt idx="40">
                  <c:v>50.62268996762392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D2-41C1-B2B9-057C03479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696248"/>
        <c:axId val="1"/>
      </c:lineChart>
      <c:catAx>
        <c:axId val="53869624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6962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Estimates'!$C$34:$AQ$34</c:f>
              <c:numCache>
                <c:formatCode>General</c:formatCode>
                <c:ptCount val="41"/>
                <c:pt idx="0">
                  <c:v>-105.47101636578724</c:v>
                </c:pt>
                <c:pt idx="1">
                  <c:v>-86.342667837587314</c:v>
                </c:pt>
                <c:pt idx="2">
                  <c:v>-34.30143490142887</c:v>
                </c:pt>
                <c:pt idx="3">
                  <c:v>-19.24830334512497</c:v>
                </c:pt>
                <c:pt idx="4">
                  <c:v>27.818675829506624</c:v>
                </c:pt>
                <c:pt idx="5">
                  <c:v>-8.4052588687076213</c:v>
                </c:pt>
                <c:pt idx="6">
                  <c:v>14.944260593355478</c:v>
                </c:pt>
                <c:pt idx="7">
                  <c:v>22.658353573619753</c:v>
                </c:pt>
                <c:pt idx="8">
                  <c:v>18.29788942288009</c:v>
                </c:pt>
                <c:pt idx="9">
                  <c:v>24.307746029380809</c:v>
                </c:pt>
                <c:pt idx="10">
                  <c:v>14.305687705454696</c:v>
                </c:pt>
                <c:pt idx="11">
                  <c:v>24.386544664934082</c:v>
                </c:pt>
                <c:pt idx="12">
                  <c:v>25.003966518682905</c:v>
                </c:pt>
                <c:pt idx="13">
                  <c:v>29.681285744385061</c:v>
                </c:pt>
                <c:pt idx="14">
                  <c:v>35.943463419250087</c:v>
                </c:pt>
                <c:pt idx="15">
                  <c:v>39.96045004671992</c:v>
                </c:pt>
                <c:pt idx="16">
                  <c:v>48.990156105103075</c:v>
                </c:pt>
                <c:pt idx="17">
                  <c:v>53.924289807993873</c:v>
                </c:pt>
                <c:pt idx="18">
                  <c:v>60.114217519544333</c:v>
                </c:pt>
                <c:pt idx="19">
                  <c:v>64.097846136509233</c:v>
                </c:pt>
                <c:pt idx="20">
                  <c:v>66.751207841375916</c:v>
                </c:pt>
                <c:pt idx="21">
                  <c:v>69.418278752927804</c:v>
                </c:pt>
                <c:pt idx="22">
                  <c:v>70.751676374994133</c:v>
                </c:pt>
                <c:pt idx="23">
                  <c:v>73.088819518822532</c:v>
                </c:pt>
                <c:pt idx="24">
                  <c:v>75.397813107671652</c:v>
                </c:pt>
                <c:pt idx="25">
                  <c:v>78.489069701988186</c:v>
                </c:pt>
                <c:pt idx="26">
                  <c:v>82.040515518777795</c:v>
                </c:pt>
                <c:pt idx="27">
                  <c:v>85.545527392148344</c:v>
                </c:pt>
                <c:pt idx="28">
                  <c:v>89.165225065266966</c:v>
                </c:pt>
                <c:pt idx="29">
                  <c:v>92.300775432265624</c:v>
                </c:pt>
                <c:pt idx="30">
                  <c:v>95.181804614303189</c:v>
                </c:pt>
                <c:pt idx="31">
                  <c:v>97.647834405742927</c:v>
                </c:pt>
                <c:pt idx="32">
                  <c:v>99.803050156073482</c:v>
                </c:pt>
                <c:pt idx="33">
                  <c:v>101.80310805369287</c:v>
                </c:pt>
                <c:pt idx="34">
                  <c:v>103.65235419217427</c:v>
                </c:pt>
                <c:pt idx="35">
                  <c:v>105.52765959853396</c:v>
                </c:pt>
                <c:pt idx="36">
                  <c:v>107.4107764059997</c:v>
                </c:pt>
                <c:pt idx="37">
                  <c:v>109.36026878279893</c:v>
                </c:pt>
                <c:pt idx="38">
                  <c:v>111.35880341946137</c:v>
                </c:pt>
                <c:pt idx="39">
                  <c:v>113.35820722079124</c:v>
                </c:pt>
                <c:pt idx="40">
                  <c:v>115.33122955909036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06-4FFC-9F78-7F6F61A28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701168"/>
        <c:axId val="1"/>
      </c:lineChart>
      <c:catAx>
        <c:axId val="53870116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7011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Estimates'!$C$35:$AQ$35</c:f>
              <c:numCache>
                <c:formatCode>General</c:formatCode>
                <c:ptCount val="41"/>
                <c:pt idx="0">
                  <c:v>13.455982901970977</c:v>
                </c:pt>
                <c:pt idx="1">
                  <c:v>-85.456769324698115</c:v>
                </c:pt>
                <c:pt idx="2">
                  <c:v>22.874612954062325</c:v>
                </c:pt>
                <c:pt idx="3">
                  <c:v>-7.3660608158360468</c:v>
                </c:pt>
                <c:pt idx="4">
                  <c:v>-5.2045155823454037</c:v>
                </c:pt>
                <c:pt idx="5">
                  <c:v>10.29708698388337</c:v>
                </c:pt>
                <c:pt idx="6">
                  <c:v>-8.9771471088381318</c:v>
                </c:pt>
                <c:pt idx="7">
                  <c:v>20.366870031174468</c:v>
                </c:pt>
                <c:pt idx="8">
                  <c:v>8.8558945932581956</c:v>
                </c:pt>
                <c:pt idx="9">
                  <c:v>18.192069229737644</c:v>
                </c:pt>
                <c:pt idx="10">
                  <c:v>21.58551982513756</c:v>
                </c:pt>
                <c:pt idx="11">
                  <c:v>22.280768060186865</c:v>
                </c:pt>
                <c:pt idx="12">
                  <c:v>32.744922379882489</c:v>
                </c:pt>
                <c:pt idx="13">
                  <c:v>32.247509630696051</c:v>
                </c:pt>
                <c:pt idx="14">
                  <c:v>40.246956335714565</c:v>
                </c:pt>
                <c:pt idx="15">
                  <c:v>43.639487116942369</c:v>
                </c:pt>
                <c:pt idx="16">
                  <c:v>48.846399693190612</c:v>
                </c:pt>
                <c:pt idx="17">
                  <c:v>54.930698254221369</c:v>
                </c:pt>
                <c:pt idx="18">
                  <c:v>58.513930293711894</c:v>
                </c:pt>
                <c:pt idx="19">
                  <c:v>64.136349448334968</c:v>
                </c:pt>
                <c:pt idx="20">
                  <c:v>67.395862190374984</c:v>
                </c:pt>
                <c:pt idx="21">
                  <c:v>71.352701921022799</c:v>
                </c:pt>
                <c:pt idx="22">
                  <c:v>74.632269674189899</c:v>
                </c:pt>
                <c:pt idx="23">
                  <c:v>77.521820433424679</c:v>
                </c:pt>
                <c:pt idx="24">
                  <c:v>80.91306236228472</c:v>
                </c:pt>
                <c:pt idx="25">
                  <c:v>83.825739627560736</c:v>
                </c:pt>
                <c:pt idx="26">
                  <c:v>87.252257756904157</c:v>
                </c:pt>
                <c:pt idx="27">
                  <c:v>90.444512862485169</c:v>
                </c:pt>
                <c:pt idx="28">
                  <c:v>93.658430429966032</c:v>
                </c:pt>
                <c:pt idx="29">
                  <c:v>96.803569889281349</c:v>
                </c:pt>
                <c:pt idx="30">
                  <c:v>99.665356651583295</c:v>
                </c:pt>
                <c:pt idx="31">
                  <c:v>102.47247882289936</c:v>
                </c:pt>
                <c:pt idx="32">
                  <c:v>105.00865075338488</c:v>
                </c:pt>
                <c:pt idx="33">
                  <c:v>107.45693712669689</c:v>
                </c:pt>
                <c:pt idx="34">
                  <c:v>109.774136125414</c:v>
                </c:pt>
                <c:pt idx="35">
                  <c:v>111.99315320637331</c:v>
                </c:pt>
                <c:pt idx="36">
                  <c:v>114.17616157555916</c:v>
                </c:pt>
                <c:pt idx="37">
                  <c:v>116.28225390811238</c:v>
                </c:pt>
                <c:pt idx="38">
                  <c:v>118.3696009119239</c:v>
                </c:pt>
                <c:pt idx="39">
                  <c:v>120.40063373293711</c:v>
                </c:pt>
                <c:pt idx="40">
                  <c:v>122.38331624444007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4B-4FBB-A2E1-5BDAC528C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692968"/>
        <c:axId val="1"/>
      </c:lineChart>
      <c:catAx>
        <c:axId val="53869296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6929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Estimates'!$C$36:$AQ$36</c:f>
              <c:numCache>
                <c:formatCode>General</c:formatCode>
                <c:ptCount val="41"/>
                <c:pt idx="0">
                  <c:v>1187.1557665310625</c:v>
                </c:pt>
                <c:pt idx="1">
                  <c:v>173.37564319491634</c:v>
                </c:pt>
                <c:pt idx="2">
                  <c:v>1104.8910942051493</c:v>
                </c:pt>
                <c:pt idx="3">
                  <c:v>679.08286477029753</c:v>
                </c:pt>
                <c:pt idx="4">
                  <c:v>644.48231533761611</c:v>
                </c:pt>
                <c:pt idx="5">
                  <c:v>1224.7215263964767</c:v>
                </c:pt>
                <c:pt idx="6">
                  <c:v>944.76304500791412</c:v>
                </c:pt>
                <c:pt idx="7">
                  <c:v>1387.0110533297088</c:v>
                </c:pt>
                <c:pt idx="8">
                  <c:v>1225.2954496313021</c:v>
                </c:pt>
                <c:pt idx="9">
                  <c:v>1374.4514690550252</c:v>
                </c:pt>
                <c:pt idx="10">
                  <c:v>1456.4569256000229</c:v>
                </c:pt>
                <c:pt idx="11">
                  <c:v>1397.068024028028</c:v>
                </c:pt>
                <c:pt idx="12">
                  <c:v>1520.6907597579514</c:v>
                </c:pt>
                <c:pt idx="13">
                  <c:v>1473.2182380076968</c:v>
                </c:pt>
                <c:pt idx="14">
                  <c:v>1576.4618792067217</c:v>
                </c:pt>
                <c:pt idx="15">
                  <c:v>1625.4587374965963</c:v>
                </c:pt>
                <c:pt idx="16">
                  <c:v>1693.6018500637847</c:v>
                </c:pt>
                <c:pt idx="17">
                  <c:v>1791.6842220851008</c:v>
                </c:pt>
                <c:pt idx="18">
                  <c:v>1843.0851189964492</c:v>
                </c:pt>
                <c:pt idx="19">
                  <c:v>1927.5723416091364</c:v>
                </c:pt>
                <c:pt idx="20">
                  <c:v>1970.2575930790683</c:v>
                </c:pt>
                <c:pt idx="21">
                  <c:v>2017.7238501233076</c:v>
                </c:pt>
                <c:pt idx="22">
                  <c:v>2055.862576408831</c:v>
                </c:pt>
                <c:pt idx="23">
                  <c:v>2084.6384513273729</c:v>
                </c:pt>
                <c:pt idx="24">
                  <c:v>2123.6052212104846</c:v>
                </c:pt>
                <c:pt idx="25">
                  <c:v>2155.2566542642376</c:v>
                </c:pt>
                <c:pt idx="26">
                  <c:v>2196.7008323526129</c:v>
                </c:pt>
                <c:pt idx="27">
                  <c:v>2237.1210978242075</c:v>
                </c:pt>
                <c:pt idx="28">
                  <c:v>2279.1464822325215</c:v>
                </c:pt>
                <c:pt idx="29">
                  <c:v>2322.1962523380066</c:v>
                </c:pt>
                <c:pt idx="30">
                  <c:v>2361.093753735292</c:v>
                </c:pt>
                <c:pt idx="31">
                  <c:v>2399.3288685773837</c:v>
                </c:pt>
                <c:pt idx="32">
                  <c:v>2432.7413396011411</c:v>
                </c:pt>
                <c:pt idx="33">
                  <c:v>2463.7922180529577</c:v>
                </c:pt>
                <c:pt idx="34">
                  <c:v>2492.1712964722901</c:v>
                </c:pt>
                <c:pt idx="35">
                  <c:v>2518.4530854276695</c:v>
                </c:pt>
                <c:pt idx="36">
                  <c:v>2544.3583398717983</c:v>
                </c:pt>
                <c:pt idx="37">
                  <c:v>2569.5459498267883</c:v>
                </c:pt>
                <c:pt idx="38">
                  <c:v>2595.2370939536604</c:v>
                </c:pt>
                <c:pt idx="39">
                  <c:v>2620.9257402364178</c:v>
                </c:pt>
                <c:pt idx="40">
                  <c:v>2646.5433610919454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7D-4E2D-B749-029D184E3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694280"/>
        <c:axId val="1"/>
      </c:lineChart>
      <c:catAx>
        <c:axId val="53869428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6942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Estimates'!$C$37:$AQ$37</c:f>
              <c:numCache>
                <c:formatCode>General</c:formatCode>
                <c:ptCount val="41"/>
                <c:pt idx="0">
                  <c:v>0.33466678264690708</c:v>
                </c:pt>
                <c:pt idx="1">
                  <c:v>-6.7963464773047306</c:v>
                </c:pt>
                <c:pt idx="2">
                  <c:v>10.011465698893208</c:v>
                </c:pt>
                <c:pt idx="3">
                  <c:v>5.792080381806886</c:v>
                </c:pt>
                <c:pt idx="4">
                  <c:v>10.628062793599756</c:v>
                </c:pt>
                <c:pt idx="5">
                  <c:v>12.806194176024427</c:v>
                </c:pt>
                <c:pt idx="6">
                  <c:v>14.748707744615345</c:v>
                </c:pt>
                <c:pt idx="7">
                  <c:v>19.953988041964369</c:v>
                </c:pt>
                <c:pt idx="8">
                  <c:v>18.584330840167741</c:v>
                </c:pt>
                <c:pt idx="9">
                  <c:v>21.025991003693676</c:v>
                </c:pt>
                <c:pt idx="10">
                  <c:v>21.125421802051122</c:v>
                </c:pt>
                <c:pt idx="11">
                  <c:v>22.018975326120987</c:v>
                </c:pt>
                <c:pt idx="12">
                  <c:v>23.148580569805691</c:v>
                </c:pt>
                <c:pt idx="13">
                  <c:v>23.326968134596967</c:v>
                </c:pt>
                <c:pt idx="14">
                  <c:v>24.973541964018242</c:v>
                </c:pt>
                <c:pt idx="15">
                  <c:v>26.026015893255948</c:v>
                </c:pt>
                <c:pt idx="16">
                  <c:v>27.865378806426058</c:v>
                </c:pt>
                <c:pt idx="17">
                  <c:v>29.569252613131866</c:v>
                </c:pt>
                <c:pt idx="18">
                  <c:v>31.083343998938833</c:v>
                </c:pt>
                <c:pt idx="19">
                  <c:v>32.626395303716407</c:v>
                </c:pt>
                <c:pt idx="20">
                  <c:v>33.643931835310951</c:v>
                </c:pt>
                <c:pt idx="21">
                  <c:v>34.63320910710992</c:v>
                </c:pt>
                <c:pt idx="22">
                  <c:v>35.331965973520539</c:v>
                </c:pt>
                <c:pt idx="23">
                  <c:v>36.01337256660068</c:v>
                </c:pt>
                <c:pt idx="24">
                  <c:v>36.744419162833289</c:v>
                </c:pt>
                <c:pt idx="25">
                  <c:v>37.494624243402733</c:v>
                </c:pt>
                <c:pt idx="26">
                  <c:v>38.383644203817383</c:v>
                </c:pt>
                <c:pt idx="27">
                  <c:v>39.278016449186246</c:v>
                </c:pt>
                <c:pt idx="28">
                  <c:v>40.217539417123078</c:v>
                </c:pt>
                <c:pt idx="29">
                  <c:v>41.12575661434402</c:v>
                </c:pt>
                <c:pt idx="30">
                  <c:v>41.976707388219204</c:v>
                </c:pt>
                <c:pt idx="31">
                  <c:v>42.771240101400636</c:v>
                </c:pt>
                <c:pt idx="32">
                  <c:v>43.479403017985668</c:v>
                </c:pt>
                <c:pt idx="33">
                  <c:v>44.13336350693681</c:v>
                </c:pt>
                <c:pt idx="34">
                  <c:v>44.729867879226404</c:v>
                </c:pt>
                <c:pt idx="35">
                  <c:v>45.295115915966235</c:v>
                </c:pt>
                <c:pt idx="36">
                  <c:v>45.845530579708921</c:v>
                </c:pt>
                <c:pt idx="37">
                  <c:v>46.390317110987134</c:v>
                </c:pt>
                <c:pt idx="38">
                  <c:v>46.942446802631771</c:v>
                </c:pt>
                <c:pt idx="39">
                  <c:v>47.495938257851293</c:v>
                </c:pt>
                <c:pt idx="40">
                  <c:v>48.048465606752018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14-4468-BBE1-97C5BC832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704120"/>
        <c:axId val="1"/>
      </c:lineChart>
      <c:catAx>
        <c:axId val="53870412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7041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Estimates'!$C$38:$AQ$38</c:f>
              <c:numCache>
                <c:formatCode>General</c:formatCode>
                <c:ptCount val="41"/>
                <c:pt idx="0">
                  <c:v>-31.622172104295753</c:v>
                </c:pt>
                <c:pt idx="1">
                  <c:v>-155.35393311043947</c:v>
                </c:pt>
                <c:pt idx="2">
                  <c:v>-121.93636091775558</c:v>
                </c:pt>
                <c:pt idx="3">
                  <c:v>-34.30063068052624</c:v>
                </c:pt>
                <c:pt idx="4">
                  <c:v>57.852322356158375</c:v>
                </c:pt>
                <c:pt idx="5">
                  <c:v>34.80656413928849</c:v>
                </c:pt>
                <c:pt idx="6">
                  <c:v>35.895789726003237</c:v>
                </c:pt>
                <c:pt idx="7">
                  <c:v>34.443341530546718</c:v>
                </c:pt>
                <c:pt idx="8">
                  <c:v>27.866403682953234</c:v>
                </c:pt>
                <c:pt idx="9">
                  <c:v>20.123044087398952</c:v>
                </c:pt>
                <c:pt idx="10">
                  <c:v>-6.9518176094148107E-2</c:v>
                </c:pt>
                <c:pt idx="11">
                  <c:v>-0.39064491354671738</c:v>
                </c:pt>
                <c:pt idx="12">
                  <c:v>-1.1394345223615518</c:v>
                </c:pt>
                <c:pt idx="13">
                  <c:v>4.1745651897177387</c:v>
                </c:pt>
                <c:pt idx="14">
                  <c:v>10.642142219069241</c:v>
                </c:pt>
                <c:pt idx="15">
                  <c:v>16.046085412563521</c:v>
                </c:pt>
                <c:pt idx="16">
                  <c:v>25.189149482854912</c:v>
                </c:pt>
                <c:pt idx="17">
                  <c:v>31.196381606784612</c:v>
                </c:pt>
                <c:pt idx="18">
                  <c:v>36.921659049134149</c:v>
                </c:pt>
                <c:pt idx="19">
                  <c:v>39.371223927806746</c:v>
                </c:pt>
                <c:pt idx="20">
                  <c:v>39.567006540183982</c:v>
                </c:pt>
                <c:pt idx="21">
                  <c:v>38.863656884903016</c:v>
                </c:pt>
                <c:pt idx="22">
                  <c:v>37.036343441714443</c:v>
                </c:pt>
                <c:pt idx="23">
                  <c:v>36.282452821315019</c:v>
                </c:pt>
                <c:pt idx="24">
                  <c:v>36.335765127093346</c:v>
                </c:pt>
                <c:pt idx="25">
                  <c:v>37.986334586205558</c:v>
                </c:pt>
                <c:pt idx="26">
                  <c:v>40.811508790392537</c:v>
                </c:pt>
                <c:pt idx="27">
                  <c:v>44.091298390903681</c:v>
                </c:pt>
                <c:pt idx="28">
                  <c:v>47.469310190194918</c:v>
                </c:pt>
                <c:pt idx="29">
                  <c:v>50.193747487839964</c:v>
                </c:pt>
                <c:pt idx="30">
                  <c:v>52.263254342819678</c:v>
                </c:pt>
                <c:pt idx="31">
                  <c:v>53.562779288617179</c:v>
                </c:pt>
                <c:pt idx="32">
                  <c:v>54.30294562148719</c:v>
                </c:pt>
                <c:pt idx="33">
                  <c:v>54.771889034476587</c:v>
                </c:pt>
                <c:pt idx="34">
                  <c:v>55.159381688421092</c:v>
                </c:pt>
                <c:pt idx="35">
                  <c:v>55.720406147631572</c:v>
                </c:pt>
                <c:pt idx="36">
                  <c:v>56.507731469628112</c:v>
                </c:pt>
                <c:pt idx="37">
                  <c:v>57.567917538122259</c:v>
                </c:pt>
                <c:pt idx="38">
                  <c:v>58.84351239170649</c:v>
                </c:pt>
                <c:pt idx="39">
                  <c:v>60.23129931340398</c:v>
                </c:pt>
                <c:pt idx="40">
                  <c:v>61.630902935741119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D4-4A57-AFD2-321EB380A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709368"/>
        <c:axId val="1"/>
      </c:lineChart>
      <c:catAx>
        <c:axId val="53870936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7093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Estimates'!$C$39:$AQ$39</c:f>
              <c:numCache>
                <c:formatCode>General</c:formatCode>
                <c:ptCount val="41"/>
                <c:pt idx="0">
                  <c:v>19.84618404577698</c:v>
                </c:pt>
                <c:pt idx="1">
                  <c:v>-4.1691785111262707</c:v>
                </c:pt>
                <c:pt idx="2">
                  <c:v>19.272922954898768</c:v>
                </c:pt>
                <c:pt idx="3">
                  <c:v>5.654576788536275</c:v>
                </c:pt>
                <c:pt idx="4">
                  <c:v>11.739490400075855</c:v>
                </c:pt>
                <c:pt idx="5">
                  <c:v>15.947139285249841</c:v>
                </c:pt>
                <c:pt idx="6">
                  <c:v>15.255796536067329</c:v>
                </c:pt>
                <c:pt idx="7">
                  <c:v>21.979551580765929</c:v>
                </c:pt>
                <c:pt idx="8">
                  <c:v>17.901004904697555</c:v>
                </c:pt>
                <c:pt idx="9">
                  <c:v>21.485997832608913</c:v>
                </c:pt>
                <c:pt idx="10">
                  <c:v>20.835400730035666</c:v>
                </c:pt>
                <c:pt idx="11">
                  <c:v>21.111088108372613</c:v>
                </c:pt>
                <c:pt idx="12">
                  <c:v>22.549955493357615</c:v>
                </c:pt>
                <c:pt idx="13">
                  <c:v>22.155148467081471</c:v>
                </c:pt>
                <c:pt idx="14">
                  <c:v>24.444497059913232</c:v>
                </c:pt>
                <c:pt idx="15">
                  <c:v>25.330984463063789</c:v>
                </c:pt>
                <c:pt idx="16">
                  <c:v>27.291733011343076</c:v>
                </c:pt>
                <c:pt idx="17">
                  <c:v>28.956427100227408</c:v>
                </c:pt>
                <c:pt idx="18">
                  <c:v>30.17007186550715</c:v>
                </c:pt>
                <c:pt idx="19">
                  <c:v>31.614102748165408</c:v>
                </c:pt>
                <c:pt idx="20">
                  <c:v>32.262896745663312</c:v>
                </c:pt>
                <c:pt idx="21">
                  <c:v>33.085273028672255</c:v>
                </c:pt>
                <c:pt idx="22">
                  <c:v>33.582861822044357</c:v>
                </c:pt>
                <c:pt idx="23">
                  <c:v>34.130087599766881</c:v>
                </c:pt>
                <c:pt idx="24">
                  <c:v>34.809415236666808</c:v>
                </c:pt>
                <c:pt idx="25">
                  <c:v>35.472300560529426</c:v>
                </c:pt>
                <c:pt idx="26">
                  <c:v>36.339860878640167</c:v>
                </c:pt>
                <c:pt idx="27">
                  <c:v>37.169400058964911</c:v>
                </c:pt>
                <c:pt idx="28">
                  <c:v>38.052163072204678</c:v>
                </c:pt>
                <c:pt idx="29">
                  <c:v>38.885599882185531</c:v>
                </c:pt>
                <c:pt idx="30">
                  <c:v>39.636853355548432</c:v>
                </c:pt>
                <c:pt idx="31">
                  <c:v>40.333928946661615</c:v>
                </c:pt>
                <c:pt idx="32">
                  <c:v>40.926688783163272</c:v>
                </c:pt>
                <c:pt idx="33">
                  <c:v>41.476924530355113</c:v>
                </c:pt>
                <c:pt idx="34">
                  <c:v>41.974581228818884</c:v>
                </c:pt>
                <c:pt idx="35">
                  <c:v>42.455096763565585</c:v>
                </c:pt>
                <c:pt idx="36">
                  <c:v>42.93756025974254</c:v>
                </c:pt>
                <c:pt idx="37">
                  <c:v>43.423358231576699</c:v>
                </c:pt>
                <c:pt idx="38">
                  <c:v>43.926791566471124</c:v>
                </c:pt>
                <c:pt idx="39">
                  <c:v>44.431509300619936</c:v>
                </c:pt>
                <c:pt idx="40">
                  <c:v>44.933999609240033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38-4F1B-91C0-559E068A2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708384"/>
        <c:axId val="1"/>
      </c:lineChart>
      <c:catAx>
        <c:axId val="53870838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70838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Estimates'!$C$40:$AQ$40</c:f>
              <c:numCache>
                <c:formatCode>General</c:formatCode>
                <c:ptCount val="41"/>
                <c:pt idx="0">
                  <c:v>3.4319205874454992</c:v>
                </c:pt>
                <c:pt idx="1">
                  <c:v>-36.607918246332808</c:v>
                </c:pt>
                <c:pt idx="2">
                  <c:v>37.512815123357974</c:v>
                </c:pt>
                <c:pt idx="3">
                  <c:v>49.816301330942949</c:v>
                </c:pt>
                <c:pt idx="4">
                  <c:v>33.678775980160886</c:v>
                </c:pt>
                <c:pt idx="5">
                  <c:v>59.685220535144801</c:v>
                </c:pt>
                <c:pt idx="6">
                  <c:v>58.388706539602289</c:v>
                </c:pt>
                <c:pt idx="7">
                  <c:v>81.438197081466612</c:v>
                </c:pt>
                <c:pt idx="8">
                  <c:v>80.204675680257949</c:v>
                </c:pt>
                <c:pt idx="9">
                  <c:v>84.067264950001658</c:v>
                </c:pt>
                <c:pt idx="10">
                  <c:v>92.455161799196205</c:v>
                </c:pt>
                <c:pt idx="11">
                  <c:v>93.306198548661499</c:v>
                </c:pt>
                <c:pt idx="12">
                  <c:v>101.40756916368183</c:v>
                </c:pt>
                <c:pt idx="13">
                  <c:v>102.43743777255972</c:v>
                </c:pt>
                <c:pt idx="14">
                  <c:v>108.08939099592847</c:v>
                </c:pt>
                <c:pt idx="15">
                  <c:v>113.49659592726131</c:v>
                </c:pt>
                <c:pt idx="16">
                  <c:v>118.86634540353877</c:v>
                </c:pt>
                <c:pt idx="17">
                  <c:v>126.09717151040886</c:v>
                </c:pt>
                <c:pt idx="18">
                  <c:v>131.15017687508828</c:v>
                </c:pt>
                <c:pt idx="19">
                  <c:v>137.16937735612663</c:v>
                </c:pt>
                <c:pt idx="20">
                  <c:v>141.56226574349932</c:v>
                </c:pt>
                <c:pt idx="21">
                  <c:v>145.49218717898356</c:v>
                </c:pt>
                <c:pt idx="22">
                  <c:v>149.03860159750488</c:v>
                </c:pt>
                <c:pt idx="23">
                  <c:v>151.93475898146821</c:v>
                </c:pt>
                <c:pt idx="24">
                  <c:v>155.27273578797465</c:v>
                </c:pt>
                <c:pt idx="25">
                  <c:v>158.40673780223383</c:v>
                </c:pt>
                <c:pt idx="26">
                  <c:v>161.90151119008848</c:v>
                </c:pt>
                <c:pt idx="27">
                  <c:v>165.43718591227065</c:v>
                </c:pt>
                <c:pt idx="28">
                  <c:v>168.94598888694821</c:v>
                </c:pt>
                <c:pt idx="29">
                  <c:v>172.46460059675152</c:v>
                </c:pt>
                <c:pt idx="30">
                  <c:v>175.72461702758318</c:v>
                </c:pt>
                <c:pt idx="31">
                  <c:v>178.8574611482826</c:v>
                </c:pt>
                <c:pt idx="32">
                  <c:v>181.72469156095963</c:v>
                </c:pt>
                <c:pt idx="33">
                  <c:v>184.39798903805229</c:v>
                </c:pt>
                <c:pt idx="34">
                  <c:v>186.9046187105202</c:v>
                </c:pt>
                <c:pt idx="35">
                  <c:v>189.25723508760117</c:v>
                </c:pt>
                <c:pt idx="36">
                  <c:v>191.54616212356493</c:v>
                </c:pt>
                <c:pt idx="37">
                  <c:v>193.77100061800468</c:v>
                </c:pt>
                <c:pt idx="38">
                  <c:v>195.98517900518468</c:v>
                </c:pt>
                <c:pt idx="39">
                  <c:v>198.18123383321927</c:v>
                </c:pt>
                <c:pt idx="40">
                  <c:v>200.34783708601299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43-4F50-BEA8-7C3E6F8BC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712648"/>
        <c:axId val="1"/>
      </c:lineChart>
      <c:catAx>
        <c:axId val="53871264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7126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Estimates'!$C$41:$AQ$41</c:f>
              <c:numCache>
                <c:formatCode>General</c:formatCode>
                <c:ptCount val="41"/>
                <c:pt idx="0">
                  <c:v>-10.662273316920722</c:v>
                </c:pt>
                <c:pt idx="1">
                  <c:v>-111.32655993218613</c:v>
                </c:pt>
                <c:pt idx="2">
                  <c:v>-31.010311902959213</c:v>
                </c:pt>
                <c:pt idx="3">
                  <c:v>-0.96561825792080636</c:v>
                </c:pt>
                <c:pt idx="4">
                  <c:v>71.450633307901839</c:v>
                </c:pt>
                <c:pt idx="5">
                  <c:v>59.779865308297822</c:v>
                </c:pt>
                <c:pt idx="6">
                  <c:v>71.078864142820322</c:v>
                </c:pt>
                <c:pt idx="7">
                  <c:v>94.899884732235279</c:v>
                </c:pt>
                <c:pt idx="8">
                  <c:v>89.379831328354115</c:v>
                </c:pt>
                <c:pt idx="9">
                  <c:v>95.627942743721093</c:v>
                </c:pt>
                <c:pt idx="10">
                  <c:v>82.66324722875774</c:v>
                </c:pt>
                <c:pt idx="11">
                  <c:v>85.876542367324703</c:v>
                </c:pt>
                <c:pt idx="12">
                  <c:v>87.795423396477275</c:v>
                </c:pt>
                <c:pt idx="13">
                  <c:v>88.987350509712485</c:v>
                </c:pt>
                <c:pt idx="14">
                  <c:v>95.62141591084027</c:v>
                </c:pt>
                <c:pt idx="15">
                  <c:v>98.880553983853588</c:v>
                </c:pt>
                <c:pt idx="16">
                  <c:v>107.78097706664792</c:v>
                </c:pt>
                <c:pt idx="17">
                  <c:v>114.12022767743116</c:v>
                </c:pt>
                <c:pt idx="18">
                  <c:v>120.19224396840779</c:v>
                </c:pt>
                <c:pt idx="19">
                  <c:v>124.88716716651834</c:v>
                </c:pt>
                <c:pt idx="20">
                  <c:v>126.87536651302045</c:v>
                </c:pt>
                <c:pt idx="21">
                  <c:v>128.75644595488566</c:v>
                </c:pt>
                <c:pt idx="22">
                  <c:v>128.98936069766623</c:v>
                </c:pt>
                <c:pt idx="23">
                  <c:v>129.83668353786979</c:v>
                </c:pt>
                <c:pt idx="24">
                  <c:v>131.09094582077492</c:v>
                </c:pt>
                <c:pt idx="25">
                  <c:v>133.13193828855393</c:v>
                </c:pt>
                <c:pt idx="26">
                  <c:v>136.18038665663428</c:v>
                </c:pt>
                <c:pt idx="27">
                  <c:v>139.40113186165073</c:v>
                </c:pt>
                <c:pt idx="28">
                  <c:v>142.90315170419993</c:v>
                </c:pt>
                <c:pt idx="29">
                  <c:v>146.02083971044848</c:v>
                </c:pt>
                <c:pt idx="30">
                  <c:v>148.74528731937795</c:v>
                </c:pt>
                <c:pt idx="31">
                  <c:v>150.99848361178377</c:v>
                </c:pt>
                <c:pt idx="32">
                  <c:v>152.76470523678586</c:v>
                </c:pt>
                <c:pt idx="33">
                  <c:v>154.28802234698506</c:v>
                </c:pt>
                <c:pt idx="34">
                  <c:v>155.60564752428689</c:v>
                </c:pt>
                <c:pt idx="35">
                  <c:v>156.93151880410358</c:v>
                </c:pt>
                <c:pt idx="36">
                  <c:v>158.32216402406348</c:v>
                </c:pt>
                <c:pt idx="37">
                  <c:v>159.83246384212882</c:v>
                </c:pt>
                <c:pt idx="38">
                  <c:v>161.4809555193826</c:v>
                </c:pt>
                <c:pt idx="39">
                  <c:v>163.20013796869242</c:v>
                </c:pt>
                <c:pt idx="40">
                  <c:v>164.94742866502733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43-45BC-87FB-8446ADC52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707400"/>
        <c:axId val="1"/>
      </c:lineChart>
      <c:catAx>
        <c:axId val="53870740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7074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50018615745381"/>
          <c:y val="0.14285769646614763"/>
          <c:w val="0.79750097351193061"/>
          <c:h val="0.70635194363817444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Estimates'!$C$42:$AQ$42</c:f>
              <c:numCache>
                <c:formatCode>General</c:formatCode>
                <c:ptCount val="41"/>
                <c:pt idx="0">
                  <c:v>7.9010797670499295</c:v>
                </c:pt>
                <c:pt idx="1">
                  <c:v>-12.125676470050651</c:v>
                </c:pt>
                <c:pt idx="2">
                  <c:v>1.3839121245468466</c:v>
                </c:pt>
                <c:pt idx="3">
                  <c:v>-1.2118241925912812</c:v>
                </c:pt>
                <c:pt idx="4">
                  <c:v>2.9988429497858262</c:v>
                </c:pt>
                <c:pt idx="5">
                  <c:v>11.723736619832172</c:v>
                </c:pt>
                <c:pt idx="6">
                  <c:v>8.5460400122647489</c:v>
                </c:pt>
                <c:pt idx="7">
                  <c:v>16.022739736935865</c:v>
                </c:pt>
                <c:pt idx="8">
                  <c:v>14.852493399202327</c:v>
                </c:pt>
                <c:pt idx="9">
                  <c:v>17.798285362396985</c:v>
                </c:pt>
                <c:pt idx="10">
                  <c:v>18.914289306354405</c:v>
                </c:pt>
                <c:pt idx="11">
                  <c:v>18.530957124069136</c:v>
                </c:pt>
                <c:pt idx="12">
                  <c:v>20.689524809436939</c:v>
                </c:pt>
                <c:pt idx="13">
                  <c:v>20.474236252562537</c:v>
                </c:pt>
                <c:pt idx="14">
                  <c:v>22.278245800669968</c:v>
                </c:pt>
                <c:pt idx="15">
                  <c:v>23.172990573989633</c:v>
                </c:pt>
                <c:pt idx="16">
                  <c:v>24.48728067321851</c:v>
                </c:pt>
                <c:pt idx="17">
                  <c:v>26.188550983109725</c:v>
                </c:pt>
                <c:pt idx="18">
                  <c:v>27.292859942968054</c:v>
                </c:pt>
                <c:pt idx="19">
                  <c:v>28.834451336964619</c:v>
                </c:pt>
                <c:pt idx="20">
                  <c:v>29.76261205879959</c:v>
                </c:pt>
                <c:pt idx="21">
                  <c:v>30.75687676313332</c:v>
                </c:pt>
                <c:pt idx="22">
                  <c:v>31.56140665379645</c:v>
                </c:pt>
                <c:pt idx="23">
                  <c:v>32.217329986896033</c:v>
                </c:pt>
                <c:pt idx="24">
                  <c:v>32.981817899844501</c:v>
                </c:pt>
                <c:pt idx="25">
                  <c:v>33.639714653493002</c:v>
                </c:pt>
                <c:pt idx="26">
                  <c:v>34.440501062571819</c:v>
                </c:pt>
                <c:pt idx="27">
                  <c:v>35.226693374880966</c:v>
                </c:pt>
                <c:pt idx="28">
                  <c:v>36.043166571892797</c:v>
                </c:pt>
                <c:pt idx="29">
                  <c:v>36.867895884900427</c:v>
                </c:pt>
                <c:pt idx="30">
                  <c:v>37.63095980608464</c:v>
                </c:pt>
                <c:pt idx="31">
                  <c:v>38.37497044540779</c:v>
                </c:pt>
                <c:pt idx="32">
                  <c:v>39.039941951262342</c:v>
                </c:pt>
                <c:pt idx="33">
                  <c:v>39.662018459192318</c:v>
                </c:pt>
                <c:pt idx="34">
                  <c:v>40.235201879040929</c:v>
                </c:pt>
                <c:pt idx="35">
                  <c:v>40.770887146911654</c:v>
                </c:pt>
                <c:pt idx="36">
                  <c:v>41.292846238623696</c:v>
                </c:pt>
                <c:pt idx="37">
                  <c:v>41.798290767019857</c:v>
                </c:pt>
                <c:pt idx="38">
                  <c:v>42.305759378068693</c:v>
                </c:pt>
                <c:pt idx="39">
                  <c:v>42.809036284366151</c:v>
                </c:pt>
                <c:pt idx="40">
                  <c:v>43.308553802129296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0B-46E0-A3DA-79722B2E4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687720"/>
        <c:axId val="1"/>
      </c:lineChart>
      <c:catAx>
        <c:axId val="53868772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6877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257969772992"/>
          <c:y val="0.1394422310756972"/>
          <c:w val="0.79448816006853085"/>
          <c:h val="0.7091633466135458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Estimates'!$C$43:$AQ$43</c:f>
              <c:numCache>
                <c:formatCode>General</c:formatCode>
                <c:ptCount val="41"/>
                <c:pt idx="0">
                  <c:v>16.672770687085951</c:v>
                </c:pt>
                <c:pt idx="1">
                  <c:v>11.469530309856387</c:v>
                </c:pt>
                <c:pt idx="2">
                  <c:v>18.97161471320991</c:v>
                </c:pt>
                <c:pt idx="3">
                  <c:v>10.768480232377888</c:v>
                </c:pt>
                <c:pt idx="4">
                  <c:v>13.076559486282173</c:v>
                </c:pt>
                <c:pt idx="5">
                  <c:v>15.876983140222103</c:v>
                </c:pt>
                <c:pt idx="6">
                  <c:v>15.384518997345548</c:v>
                </c:pt>
                <c:pt idx="7">
                  <c:v>17.903662471128886</c:v>
                </c:pt>
                <c:pt idx="8">
                  <c:v>15.961366624532292</c:v>
                </c:pt>
                <c:pt idx="9">
                  <c:v>17.377619581508259</c:v>
                </c:pt>
                <c:pt idx="10">
                  <c:v>16.94779686997353</c:v>
                </c:pt>
                <c:pt idx="11">
                  <c:v>16.49690120155454</c:v>
                </c:pt>
                <c:pt idx="12">
                  <c:v>16.542134773068437</c:v>
                </c:pt>
                <c:pt idx="13">
                  <c:v>15.814835049140463</c:v>
                </c:pt>
                <c:pt idx="14">
                  <c:v>16.363315440837187</c:v>
                </c:pt>
                <c:pt idx="15">
                  <c:v>16.444845035866042</c:v>
                </c:pt>
                <c:pt idx="16">
                  <c:v>17.067468022749566</c:v>
                </c:pt>
                <c:pt idx="17">
                  <c:v>17.701456200808295</c:v>
                </c:pt>
                <c:pt idx="18">
                  <c:v>18.184198161344344</c:v>
                </c:pt>
                <c:pt idx="19">
                  <c:v>18.783670013438588</c:v>
                </c:pt>
                <c:pt idx="20">
                  <c:v>18.999670835956564</c:v>
                </c:pt>
                <c:pt idx="21">
                  <c:v>19.225653637310444</c:v>
                </c:pt>
                <c:pt idx="22">
                  <c:v>19.266600527034285</c:v>
                </c:pt>
                <c:pt idx="23">
                  <c:v>19.286454086163801</c:v>
                </c:pt>
                <c:pt idx="24">
                  <c:v>19.355617921702592</c:v>
                </c:pt>
                <c:pt idx="25">
                  <c:v>19.42398553179504</c:v>
                </c:pt>
                <c:pt idx="26">
                  <c:v>19.605923167734208</c:v>
                </c:pt>
                <c:pt idx="27">
                  <c:v>19.806374575221977</c:v>
                </c:pt>
                <c:pt idx="28">
                  <c:v>20.060690785675629</c:v>
                </c:pt>
                <c:pt idx="29">
                  <c:v>20.320983567151067</c:v>
                </c:pt>
                <c:pt idx="30">
                  <c:v>20.5598560494421</c:v>
                </c:pt>
                <c:pt idx="31">
                  <c:v>20.78051572296355</c:v>
                </c:pt>
                <c:pt idx="32">
                  <c:v>20.952098065871962</c:v>
                </c:pt>
                <c:pt idx="33">
                  <c:v>21.095551777197333</c:v>
                </c:pt>
                <c:pt idx="34">
                  <c:v>21.205990694824504</c:v>
                </c:pt>
                <c:pt idx="35">
                  <c:v>21.300360002565125</c:v>
                </c:pt>
                <c:pt idx="36">
                  <c:v>21.392583021027487</c:v>
                </c:pt>
                <c:pt idx="37">
                  <c:v>21.488731401106421</c:v>
                </c:pt>
                <c:pt idx="38">
                  <c:v>21.600108559429888</c:v>
                </c:pt>
                <c:pt idx="39">
                  <c:v>21.722754875135273</c:v>
                </c:pt>
                <c:pt idx="40">
                  <c:v>21.85553639814793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1F-418E-9F2F-BAC0ABDDD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691000"/>
        <c:axId val="1"/>
      </c:lineChart>
      <c:catAx>
        <c:axId val="53869100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6910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541393868934712"/>
          <c:y val="0.15936254980079681"/>
          <c:w val="0.77193171388361992"/>
          <c:h val="0.66932270916334657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'Point Estimates'!$C$4:$AQ$4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'Point Estimates'!$C$44:$AQ$44</c:f>
              <c:numCache>
                <c:formatCode>General</c:formatCode>
                <c:ptCount val="41"/>
                <c:pt idx="0">
                  <c:v>244.36569232429935</c:v>
                </c:pt>
                <c:pt idx="1">
                  <c:v>-32.851277194936898</c:v>
                </c:pt>
                <c:pt idx="2">
                  <c:v>273.17002520213327</c:v>
                </c:pt>
                <c:pt idx="3">
                  <c:v>169.61765923258574</c:v>
                </c:pt>
                <c:pt idx="4">
                  <c:v>212.89303603889999</c:v>
                </c:pt>
                <c:pt idx="5">
                  <c:v>334.60821362466049</c:v>
                </c:pt>
                <c:pt idx="6">
                  <c:v>269.06664940432046</c:v>
                </c:pt>
                <c:pt idx="7">
                  <c:v>356.9744934831495</c:v>
                </c:pt>
                <c:pt idx="8">
                  <c:v>284.42046807655311</c:v>
                </c:pt>
                <c:pt idx="9">
                  <c:v>300.64572354517458</c:v>
                </c:pt>
                <c:pt idx="10">
                  <c:v>288.80107204751971</c:v>
                </c:pt>
                <c:pt idx="11">
                  <c:v>261.51617397100978</c:v>
                </c:pt>
                <c:pt idx="12">
                  <c:v>277.88422202243714</c:v>
                </c:pt>
                <c:pt idx="13">
                  <c:v>261.521778710945</c:v>
                </c:pt>
                <c:pt idx="14">
                  <c:v>288.92291487133571</c:v>
                </c:pt>
                <c:pt idx="15">
                  <c:v>303.93574266757167</c:v>
                </c:pt>
                <c:pt idx="16">
                  <c:v>328.36655989886805</c:v>
                </c:pt>
                <c:pt idx="17">
                  <c:v>355.31372608812211</c:v>
                </c:pt>
                <c:pt idx="18">
                  <c:v>368.67857373547599</c:v>
                </c:pt>
                <c:pt idx="19">
                  <c:v>385.09239958992202</c:v>
                </c:pt>
                <c:pt idx="20">
                  <c:v>387.44930102695099</c:v>
                </c:pt>
                <c:pt idx="21">
                  <c:v>389.92013960076724</c:v>
                </c:pt>
                <c:pt idx="22">
                  <c:v>389.51800407825232</c:v>
                </c:pt>
                <c:pt idx="23">
                  <c:v>389.32373786378122</c:v>
                </c:pt>
                <c:pt idx="24">
                  <c:v>393.83862757214683</c:v>
                </c:pt>
                <c:pt idx="25">
                  <c:v>399.20505962040983</c:v>
                </c:pt>
                <c:pt idx="26">
                  <c:v>408.79253309063182</c:v>
                </c:pt>
                <c:pt idx="27">
                  <c:v>418.72164567341133</c:v>
                </c:pt>
                <c:pt idx="28">
                  <c:v>429.07850379699863</c:v>
                </c:pt>
                <c:pt idx="29">
                  <c:v>438.76941473668222</c:v>
                </c:pt>
                <c:pt idx="30">
                  <c:v>446.51968980817497</c:v>
                </c:pt>
                <c:pt idx="31">
                  <c:v>453.13236860602706</c:v>
                </c:pt>
                <c:pt idx="32">
                  <c:v>457.88857119652175</c:v>
                </c:pt>
                <c:pt idx="33">
                  <c:v>461.82780015354371</c:v>
                </c:pt>
                <c:pt idx="34">
                  <c:v>465.17256177804308</c:v>
                </c:pt>
                <c:pt idx="35">
                  <c:v>468.44095786292922</c:v>
                </c:pt>
                <c:pt idx="36">
                  <c:v>472.17356416629906</c:v>
                </c:pt>
                <c:pt idx="37">
                  <c:v>476.34556420602951</c:v>
                </c:pt>
                <c:pt idx="38">
                  <c:v>481.154646587451</c:v>
                </c:pt>
                <c:pt idx="39">
                  <c:v>486.2759219202689</c:v>
                </c:pt>
                <c:pt idx="40">
                  <c:v>491.48956860034565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8D-4B37-A859-A11288AF4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682472"/>
        <c:axId val="1"/>
      </c:lineChart>
      <c:catAx>
        <c:axId val="53868247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80"/>
                </a:solidFill>
                <a:latin typeface="Gill Sans MT"/>
                <a:ea typeface="Gill Sans MT"/>
                <a:cs typeface="Gill Sans MT"/>
              </a:defRPr>
            </a:pPr>
            <a:endParaRPr lang="en-US"/>
          </a:p>
        </c:txPr>
        <c:crossAx val="5386824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Planilha2!$A$2</c:f>
              <c:strCache>
                <c:ptCount val="1"/>
                <c:pt idx="0">
                  <c:v>norte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Planilha2!$B$2:$AX$2</c:f>
              <c:numCache>
                <c:formatCode>General</c:formatCode>
                <c:ptCount val="49"/>
                <c:pt idx="0">
                  <c:v>215.15196148460223</c:v>
                </c:pt>
                <c:pt idx="1">
                  <c:v>833.55427741331459</c:v>
                </c:pt>
                <c:pt idx="2">
                  <c:v>3118.1063260131623</c:v>
                </c:pt>
                <c:pt idx="3">
                  <c:v>1565.0866051617998</c:v>
                </c:pt>
                <c:pt idx="4">
                  <c:v>2574.1784172160192</c:v>
                </c:pt>
                <c:pt idx="5">
                  <c:v>2537.4201087783263</c:v>
                </c:pt>
                <c:pt idx="6">
                  <c:v>2854.7707658662107</c:v>
                </c:pt>
                <c:pt idx="7">
                  <c:v>3200.4387429369049</c:v>
                </c:pt>
                <c:pt idx="8">
                  <c:v>2850.5527982603403</c:v>
                </c:pt>
                <c:pt idx="9">
                  <c:v>3275.9418299613289</c:v>
                </c:pt>
                <c:pt idx="10">
                  <c:v>3143.2993821613791</c:v>
                </c:pt>
                <c:pt idx="11">
                  <c:v>3290.2206402851721</c:v>
                </c:pt>
                <c:pt idx="12">
                  <c:v>3308.7031250297637</c:v>
                </c:pt>
                <c:pt idx="13">
                  <c:v>3276.6629429400327</c:v>
                </c:pt>
                <c:pt idx="14">
                  <c:v>3428.5464399152902</c:v>
                </c:pt>
                <c:pt idx="15">
                  <c:v>3448.0129808799156</c:v>
                </c:pt>
                <c:pt idx="16">
                  <c:v>3610.7467841796615</c:v>
                </c:pt>
                <c:pt idx="17">
                  <c:v>3701.659883248929</c:v>
                </c:pt>
                <c:pt idx="18">
                  <c:v>3805.8117715027802</c:v>
                </c:pt>
                <c:pt idx="19">
                  <c:v>3907.3802028980635</c:v>
                </c:pt>
                <c:pt idx="20">
                  <c:v>3952.4651096347015</c:v>
                </c:pt>
                <c:pt idx="21">
                  <c:v>4015.8473300122623</c:v>
                </c:pt>
                <c:pt idx="22">
                  <c:v>4040.0464122535936</c:v>
                </c:pt>
                <c:pt idx="23">
                  <c:v>4079.7760805159928</c:v>
                </c:pt>
                <c:pt idx="24">
                  <c:v>4119.0130998381946</c:v>
                </c:pt>
                <c:pt idx="25">
                  <c:v>4160.7614709344152</c:v>
                </c:pt>
                <c:pt idx="26">
                  <c:v>4215.7861851127382</c:v>
                </c:pt>
                <c:pt idx="27">
                  <c:v>4265.5718287615464</c:v>
                </c:pt>
                <c:pt idx="28">
                  <c:v>4322.560538114788</c:v>
                </c:pt>
                <c:pt idx="29">
                  <c:v>4373.9338217218892</c:v>
                </c:pt>
                <c:pt idx="30">
                  <c:v>4422.8000519300158</c:v>
                </c:pt>
                <c:pt idx="31">
                  <c:v>4468.0268358274034</c:v>
                </c:pt>
                <c:pt idx="32">
                  <c:v>4506.729303402738</c:v>
                </c:pt>
                <c:pt idx="33">
                  <c:v>4543.0509220168296</c:v>
                </c:pt>
                <c:pt idx="34">
                  <c:v>4574.4464082763961</c:v>
                </c:pt>
                <c:pt idx="35">
                  <c:v>4604.5146474567846</c:v>
                </c:pt>
                <c:pt idx="36">
                  <c:v>4633.4871600723418</c:v>
                </c:pt>
                <c:pt idx="37">
                  <c:v>4662.4618283904929</c:v>
                </c:pt>
                <c:pt idx="38">
                  <c:v>4692.6099291030787</c:v>
                </c:pt>
                <c:pt idx="39">
                  <c:v>4723.0161794762707</c:v>
                </c:pt>
                <c:pt idx="40">
                  <c:v>4753.9100081454544</c:v>
                </c:pt>
                <c:pt idx="41">
                  <c:v>4783.9489458037597</c:v>
                </c:pt>
                <c:pt idx="42">
                  <c:v>4812.603162663695</c:v>
                </c:pt>
                <c:pt idx="43">
                  <c:v>4839.3592194390922</c:v>
                </c:pt>
                <c:pt idx="44">
                  <c:v>4863.9350255395802</c:v>
                </c:pt>
                <c:pt idx="45">
                  <c:v>4886.7335782265873</c:v>
                </c:pt>
                <c:pt idx="46">
                  <c:v>4908.0011952882214</c:v>
                </c:pt>
                <c:pt idx="47">
                  <c:v>4928.3441829169496</c:v>
                </c:pt>
                <c:pt idx="48">
                  <c:v>4948.1175367401647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51-4C23-A302-26C8F160345F}"/>
            </c:ext>
          </c:extLst>
        </c:ser>
        <c:ser>
          <c:idx val="1"/>
          <c:order val="1"/>
          <c:tx>
            <c:strRef>
              <c:f>Planilha2!$A$3</c:f>
              <c:strCache>
                <c:ptCount val="1"/>
                <c:pt idx="0">
                  <c:v>nordeste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Planilha2!$B$3:$AX$3</c:f>
              <c:numCache>
                <c:formatCode>General</c:formatCode>
                <c:ptCount val="49"/>
                <c:pt idx="0">
                  <c:v>3515.4610602190237</c:v>
                </c:pt>
                <c:pt idx="1">
                  <c:v>-312.76523827636242</c:v>
                </c:pt>
                <c:pt idx="2">
                  <c:v>4995.2489014130233</c:v>
                </c:pt>
                <c:pt idx="3">
                  <c:v>448.7221460639567</c:v>
                </c:pt>
                <c:pt idx="4">
                  <c:v>3281.8701695248055</c:v>
                </c:pt>
                <c:pt idx="5">
                  <c:v>6500.1478603540127</c:v>
                </c:pt>
                <c:pt idx="6">
                  <c:v>6977.3629257548846</c:v>
                </c:pt>
                <c:pt idx="7">
                  <c:v>8794.5309375402267</c:v>
                </c:pt>
                <c:pt idx="8">
                  <c:v>7553.9244426071236</c:v>
                </c:pt>
                <c:pt idx="9">
                  <c:v>8845.3016558354266</c:v>
                </c:pt>
                <c:pt idx="10">
                  <c:v>8960.6621326780823</c:v>
                </c:pt>
                <c:pt idx="11">
                  <c:v>9016.2549406887447</c:v>
                </c:pt>
                <c:pt idx="12">
                  <c:v>9298.5955978212914</c:v>
                </c:pt>
                <c:pt idx="13">
                  <c:v>9064.6840109525147</c:v>
                </c:pt>
                <c:pt idx="14">
                  <c:v>9671.8983456115548</c:v>
                </c:pt>
                <c:pt idx="15">
                  <c:v>9910.9169166298288</c:v>
                </c:pt>
                <c:pt idx="16">
                  <c:v>10469.673442126308</c:v>
                </c:pt>
                <c:pt idx="17">
                  <c:v>11004.794125327227</c:v>
                </c:pt>
                <c:pt idx="18">
                  <c:v>11446.400868885959</c:v>
                </c:pt>
                <c:pt idx="19">
                  <c:v>11972.295730449616</c:v>
                </c:pt>
                <c:pt idx="20">
                  <c:v>12249.122360571046</c:v>
                </c:pt>
                <c:pt idx="21">
                  <c:v>12540.771769582923</c:v>
                </c:pt>
                <c:pt idx="22">
                  <c:v>12711.156721550045</c:v>
                </c:pt>
                <c:pt idx="23">
                  <c:v>12869.253194787128</c:v>
                </c:pt>
                <c:pt idx="24">
                  <c:v>13052.5857342647</c:v>
                </c:pt>
                <c:pt idx="25">
                  <c:v>13224.97941102609</c:v>
                </c:pt>
                <c:pt idx="26">
                  <c:v>13461.16004243562</c:v>
                </c:pt>
                <c:pt idx="27">
                  <c:v>13698.455925741184</c:v>
                </c:pt>
                <c:pt idx="28">
                  <c:v>13963.932405152989</c:v>
                </c:pt>
                <c:pt idx="29">
                  <c:v>14227.500858298466</c:v>
                </c:pt>
                <c:pt idx="30">
                  <c:v>14474.320846675917</c:v>
                </c:pt>
                <c:pt idx="31">
                  <c:v>14708.201380974846</c:v>
                </c:pt>
                <c:pt idx="32">
                  <c:v>14909.621115147655</c:v>
                </c:pt>
                <c:pt idx="33">
                  <c:v>15092.569024435641</c:v>
                </c:pt>
                <c:pt idx="34">
                  <c:v>15252.650525422112</c:v>
                </c:pt>
                <c:pt idx="35">
                  <c:v>15400.14682820869</c:v>
                </c:pt>
                <c:pt idx="36">
                  <c:v>15542.977611963812</c:v>
                </c:pt>
                <c:pt idx="37">
                  <c:v>15684.396729480655</c:v>
                </c:pt>
                <c:pt idx="38">
                  <c:v>15831.526418132671</c:v>
                </c:pt>
                <c:pt idx="39">
                  <c:v>15981.813011342727</c:v>
                </c:pt>
                <c:pt idx="40">
                  <c:v>16135.097710197399</c:v>
                </c:pt>
                <c:pt idx="41">
                  <c:v>16286.873528180287</c:v>
                </c:pt>
                <c:pt idx="42">
                  <c:v>16433.006661040694</c:v>
                </c:pt>
                <c:pt idx="43">
                  <c:v>16571.061807309088</c:v>
                </c:pt>
                <c:pt idx="44">
                  <c:v>16698.729459348098</c:v>
                </c:pt>
                <c:pt idx="45">
                  <c:v>16816.941850975156</c:v>
                </c:pt>
                <c:pt idx="46">
                  <c:v>16926.829499305648</c:v>
                </c:pt>
                <c:pt idx="47">
                  <c:v>17030.821888888993</c:v>
                </c:pt>
                <c:pt idx="48">
                  <c:v>17131.19325684895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51-4C23-A302-26C8F160345F}"/>
            </c:ext>
          </c:extLst>
        </c:ser>
        <c:ser>
          <c:idx val="2"/>
          <c:order val="2"/>
          <c:tx>
            <c:strRef>
              <c:f>Planilha2!$A$4</c:f>
              <c:strCache>
                <c:ptCount val="1"/>
                <c:pt idx="0">
                  <c:v>sudeste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Planilha2!$B$4:$AX$4</c:f>
              <c:numCache>
                <c:formatCode>General</c:formatCode>
                <c:ptCount val="49"/>
                <c:pt idx="0">
                  <c:v>413.95085991988435</c:v>
                </c:pt>
                <c:pt idx="1">
                  <c:v>13505.513258877521</c:v>
                </c:pt>
                <c:pt idx="2">
                  <c:v>40497.327488045557</c:v>
                </c:pt>
                <c:pt idx="3">
                  <c:v>16419.587726084945</c:v>
                </c:pt>
                <c:pt idx="4">
                  <c:v>31634.472611906855</c:v>
                </c:pt>
                <c:pt idx="5">
                  <c:v>30143.86375708539</c:v>
                </c:pt>
                <c:pt idx="6">
                  <c:v>36489.946210737246</c:v>
                </c:pt>
                <c:pt idx="7">
                  <c:v>39958.902693994991</c:v>
                </c:pt>
                <c:pt idx="8">
                  <c:v>35346.025187077612</c:v>
                </c:pt>
                <c:pt idx="9">
                  <c:v>41276.198092191269</c:v>
                </c:pt>
                <c:pt idx="10">
                  <c:v>39060.534622775158</c:v>
                </c:pt>
                <c:pt idx="11">
                  <c:v>41137.766303981967</c:v>
                </c:pt>
                <c:pt idx="12">
                  <c:v>40468.632095370587</c:v>
                </c:pt>
                <c:pt idx="13">
                  <c:v>39697.61559976844</c:v>
                </c:pt>
                <c:pt idx="14">
                  <c:v>41258.381242393632</c:v>
                </c:pt>
                <c:pt idx="15">
                  <c:v>41233.222650795127</c:v>
                </c:pt>
                <c:pt idx="16">
                  <c:v>43417.652854937543</c:v>
                </c:pt>
                <c:pt idx="17">
                  <c:v>44555.877505236836</c:v>
                </c:pt>
                <c:pt idx="18">
                  <c:v>46106.557901634187</c:v>
                </c:pt>
                <c:pt idx="19">
                  <c:v>47467.9816443866</c:v>
                </c:pt>
                <c:pt idx="20">
                  <c:v>48055.9971559634</c:v>
                </c:pt>
                <c:pt idx="21">
                  <c:v>48800.096145434843</c:v>
                </c:pt>
                <c:pt idx="22">
                  <c:v>48929.659869928102</c:v>
                </c:pt>
                <c:pt idx="23">
                  <c:v>49293.924800789508</c:v>
                </c:pt>
                <c:pt idx="24">
                  <c:v>49621.795066060535</c:v>
                </c:pt>
                <c:pt idx="25">
                  <c:v>50043.134487781455</c:v>
                </c:pt>
                <c:pt idx="26">
                  <c:v>50665.538471233696</c:v>
                </c:pt>
                <c:pt idx="27">
                  <c:v>51252.82040739106</c:v>
                </c:pt>
                <c:pt idx="28">
                  <c:v>51970.65873463708</c:v>
                </c:pt>
                <c:pt idx="29">
                  <c:v>52619.956088006948</c:v>
                </c:pt>
                <c:pt idx="30">
                  <c:v>53253.442339794674</c:v>
                </c:pt>
                <c:pt idx="31">
                  <c:v>53831.923742006082</c:v>
                </c:pt>
                <c:pt idx="32">
                  <c:v>54320.124125936709</c:v>
                </c:pt>
                <c:pt idx="33">
                  <c:v>54766.188628130956</c:v>
                </c:pt>
                <c:pt idx="34">
                  <c:v>55133.396934170698</c:v>
                </c:pt>
                <c:pt idx="35">
                  <c:v>55476.667532941516</c:v>
                </c:pt>
                <c:pt idx="36">
                  <c:v>55799.936421356688</c:v>
                </c:pt>
                <c:pt idx="37">
                  <c:v>56128.082510045577</c:v>
                </c:pt>
                <c:pt idx="38">
                  <c:v>56480.033593219538</c:v>
                </c:pt>
                <c:pt idx="39">
                  <c:v>56847.037153070662</c:v>
                </c:pt>
                <c:pt idx="40">
                  <c:v>57232.192185898362</c:v>
                </c:pt>
                <c:pt idx="41">
                  <c:v>57613.616486966392</c:v>
                </c:pt>
                <c:pt idx="42">
                  <c:v>57981.038502758689</c:v>
                </c:pt>
                <c:pt idx="43">
                  <c:v>58322.719909508458</c:v>
                </c:pt>
                <c:pt idx="44">
                  <c:v>58632.666134398802</c:v>
                </c:pt>
                <c:pt idx="45">
                  <c:v>58915.161325078254</c:v>
                </c:pt>
                <c:pt idx="46">
                  <c:v>59174.014020729766</c:v>
                </c:pt>
                <c:pt idx="47">
                  <c:v>59419.131017595369</c:v>
                </c:pt>
                <c:pt idx="48">
                  <c:v>59656.869472720435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51-4C23-A302-26C8F160345F}"/>
            </c:ext>
          </c:extLst>
        </c:ser>
        <c:ser>
          <c:idx val="3"/>
          <c:order val="3"/>
          <c:tx>
            <c:strRef>
              <c:f>Planilha2!$A$5</c:f>
              <c:strCache>
                <c:ptCount val="1"/>
                <c:pt idx="0">
                  <c:v>sul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Planilha2!$B$5:$AX$5</c:f>
              <c:numCache>
                <c:formatCode>General</c:formatCode>
                <c:ptCount val="49"/>
                <c:pt idx="0">
                  <c:v>4524.6488346112037</c:v>
                </c:pt>
                <c:pt idx="1">
                  <c:v>5769.5623831086332</c:v>
                </c:pt>
                <c:pt idx="2">
                  <c:v>12697.453039263728</c:v>
                </c:pt>
                <c:pt idx="3">
                  <c:v>4143.0015337875557</c:v>
                </c:pt>
                <c:pt idx="4">
                  <c:v>12006.033707704806</c:v>
                </c:pt>
                <c:pt idx="5">
                  <c:v>12366.828908098454</c:v>
                </c:pt>
                <c:pt idx="6">
                  <c:v>14798.079962797839</c:v>
                </c:pt>
                <c:pt idx="7">
                  <c:v>16771.806217416943</c:v>
                </c:pt>
                <c:pt idx="8">
                  <c:v>15505.432545820129</c:v>
                </c:pt>
                <c:pt idx="9">
                  <c:v>17616.9488674518</c:v>
                </c:pt>
                <c:pt idx="10">
                  <c:v>16414.058709337922</c:v>
                </c:pt>
                <c:pt idx="11">
                  <c:v>16698.361461612862</c:v>
                </c:pt>
                <c:pt idx="12">
                  <c:v>16176.902163167895</c:v>
                </c:pt>
                <c:pt idx="13">
                  <c:v>15719.524495769909</c:v>
                </c:pt>
                <c:pt idx="14">
                  <c:v>16280.152194720868</c:v>
                </c:pt>
                <c:pt idx="15">
                  <c:v>16338.246737420488</c:v>
                </c:pt>
                <c:pt idx="16">
                  <c:v>17289.906820878143</c:v>
                </c:pt>
                <c:pt idx="17">
                  <c:v>17910.857287193576</c:v>
                </c:pt>
                <c:pt idx="18">
                  <c:v>18655.773468558655</c:v>
                </c:pt>
                <c:pt idx="19">
                  <c:v>19291.415767077229</c:v>
                </c:pt>
                <c:pt idx="20">
                  <c:v>19565.106587917962</c:v>
                </c:pt>
                <c:pt idx="21">
                  <c:v>19832.783800959471</c:v>
                </c:pt>
                <c:pt idx="22">
                  <c:v>19822.667626583108</c:v>
                </c:pt>
                <c:pt idx="23">
                  <c:v>19866.534249773715</c:v>
                </c:pt>
                <c:pt idx="24">
                  <c:v>19899.088747023867</c:v>
                </c:pt>
                <c:pt idx="25">
                  <c:v>19987.535966245559</c:v>
                </c:pt>
                <c:pt idx="26">
                  <c:v>20191.57880643216</c:v>
                </c:pt>
                <c:pt idx="27">
                  <c:v>20422.690604641375</c:v>
                </c:pt>
                <c:pt idx="28">
                  <c:v>20731.909841572986</c:v>
                </c:pt>
                <c:pt idx="29">
                  <c:v>21030.287459418647</c:v>
                </c:pt>
                <c:pt idx="30">
                  <c:v>21318.944253920046</c:v>
                </c:pt>
                <c:pt idx="31">
                  <c:v>21572.325059405135</c:v>
                </c:pt>
                <c:pt idx="32">
                  <c:v>21770.428201966479</c:v>
                </c:pt>
                <c:pt idx="33">
                  <c:v>21932.533970099554</c:v>
                </c:pt>
                <c:pt idx="34">
                  <c:v>22051.047069702716</c:v>
                </c:pt>
                <c:pt idx="35">
                  <c:v>22154.286027071903</c:v>
                </c:pt>
                <c:pt idx="36">
                  <c:v>22251.92205287523</c:v>
                </c:pt>
                <c:pt idx="37">
                  <c:v>22358.424333881885</c:v>
                </c:pt>
                <c:pt idx="38">
                  <c:v>22483.65336263461</c:v>
                </c:pt>
                <c:pt idx="39">
                  <c:v>22623.985175127356</c:v>
                </c:pt>
                <c:pt idx="40">
                  <c:v>22778.107620430819</c:v>
                </c:pt>
                <c:pt idx="41">
                  <c:v>22934.344385754572</c:v>
                </c:pt>
                <c:pt idx="42">
                  <c:v>23085.047056496929</c:v>
                </c:pt>
                <c:pt idx="43">
                  <c:v>23222.950227976966</c:v>
                </c:pt>
                <c:pt idx="44">
                  <c:v>23344.096091671625</c:v>
                </c:pt>
                <c:pt idx="45">
                  <c:v>23449.893403064598</c:v>
                </c:pt>
                <c:pt idx="46">
                  <c:v>23542.832301013183</c:v>
                </c:pt>
                <c:pt idx="47">
                  <c:v>23628.452276329361</c:v>
                </c:pt>
                <c:pt idx="48">
                  <c:v>23711.215446371094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51-4C23-A302-26C8F160345F}"/>
            </c:ext>
          </c:extLst>
        </c:ser>
        <c:ser>
          <c:idx val="4"/>
          <c:order val="4"/>
          <c:tx>
            <c:strRef>
              <c:f>Planilha2!$A$6</c:f>
              <c:strCache>
                <c:ptCount val="1"/>
                <c:pt idx="0">
                  <c:v>centro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Planilha2!$B$6:$AX$6</c:f>
              <c:numCache>
                <c:formatCode>General</c:formatCode>
                <c:ptCount val="49"/>
                <c:pt idx="0">
                  <c:v>-72.873567251240331</c:v>
                </c:pt>
                <c:pt idx="1">
                  <c:v>2448.0556788475542</c:v>
                </c:pt>
                <c:pt idx="2">
                  <c:v>6548.8994976155745</c:v>
                </c:pt>
                <c:pt idx="3">
                  <c:v>2751.8240534750394</c:v>
                </c:pt>
                <c:pt idx="4">
                  <c:v>4643.6736413041617</c:v>
                </c:pt>
                <c:pt idx="5">
                  <c:v>4320.8584364655644</c:v>
                </c:pt>
                <c:pt idx="6">
                  <c:v>5496.5098901937172</c:v>
                </c:pt>
                <c:pt idx="7">
                  <c:v>6032.9499174571065</c:v>
                </c:pt>
                <c:pt idx="8">
                  <c:v>5388.9778133892387</c:v>
                </c:pt>
                <c:pt idx="9">
                  <c:v>6300.5653377479493</c:v>
                </c:pt>
                <c:pt idx="10">
                  <c:v>6080.2781461103996</c:v>
                </c:pt>
                <c:pt idx="11">
                  <c:v>6509.1520640510735</c:v>
                </c:pt>
                <c:pt idx="12">
                  <c:v>6454.8037698061698</c:v>
                </c:pt>
                <c:pt idx="13">
                  <c:v>6404.0931338919418</c:v>
                </c:pt>
                <c:pt idx="14">
                  <c:v>6677.5920489452674</c:v>
                </c:pt>
                <c:pt idx="15">
                  <c:v>6713.5180822202847</c:v>
                </c:pt>
                <c:pt idx="16">
                  <c:v>7048.4146933563015</c:v>
                </c:pt>
                <c:pt idx="17">
                  <c:v>7209.6288381624927</c:v>
                </c:pt>
                <c:pt idx="18">
                  <c:v>7448.4815047525644</c:v>
                </c:pt>
                <c:pt idx="19">
                  <c:v>7671.4729622995783</c:v>
                </c:pt>
                <c:pt idx="20">
                  <c:v>7802.6243321376314</c:v>
                </c:pt>
                <c:pt idx="21">
                  <c:v>7964.4641220222702</c:v>
                </c:pt>
                <c:pt idx="22">
                  <c:v>8038.5528125302426</c:v>
                </c:pt>
                <c:pt idx="23">
                  <c:v>8144.7718450300081</c:v>
                </c:pt>
                <c:pt idx="24">
                  <c:v>8234.6246304305714</c:v>
                </c:pt>
                <c:pt idx="25">
                  <c:v>8329.0311270774473</c:v>
                </c:pt>
                <c:pt idx="26">
                  <c:v>8443.2282957602001</c:v>
                </c:pt>
                <c:pt idx="27">
                  <c:v>8548.3181341494237</c:v>
                </c:pt>
                <c:pt idx="28">
                  <c:v>8672.0198236114484</c:v>
                </c:pt>
                <c:pt idx="29">
                  <c:v>8786.8231475127177</c:v>
                </c:pt>
                <c:pt idx="30">
                  <c:v>8901.9677250157238</c:v>
                </c:pt>
                <c:pt idx="31">
                  <c:v>9010.7302631432904</c:v>
                </c:pt>
                <c:pt idx="32">
                  <c:v>9107.9751932115942</c:v>
                </c:pt>
                <c:pt idx="33">
                  <c:v>9199.6070139448766</c:v>
                </c:pt>
                <c:pt idx="34">
                  <c:v>9279.4394596374314</c:v>
                </c:pt>
                <c:pt idx="35">
                  <c:v>9354.8274000263609</c:v>
                </c:pt>
                <c:pt idx="36">
                  <c:v>9425.5071540946228</c:v>
                </c:pt>
                <c:pt idx="37">
                  <c:v>9494.8795722342729</c:v>
                </c:pt>
                <c:pt idx="38">
                  <c:v>9565.4531698772153</c:v>
                </c:pt>
                <c:pt idx="39">
                  <c:v>9636.2745594873595</c:v>
                </c:pt>
                <c:pt idx="40">
                  <c:v>9708.3666483380221</c:v>
                </c:pt>
                <c:pt idx="41">
                  <c:v>9779.2324248644527</c:v>
                </c:pt>
                <c:pt idx="42">
                  <c:v>9848.0614934620298</c:v>
                </c:pt>
                <c:pt idx="43">
                  <c:v>9913.4724417524412</c:v>
                </c:pt>
                <c:pt idx="44">
                  <c:v>9974.6609085392411</c:v>
                </c:pt>
                <c:pt idx="45">
                  <c:v>10031.990561243245</c:v>
                </c:pt>
                <c:pt idx="46">
                  <c:v>10085.620229558777</c:v>
                </c:pt>
                <c:pt idx="47">
                  <c:v>10136.606495604126</c:v>
                </c:pt>
                <c:pt idx="48">
                  <c:v>10185.594436835898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51-4C23-A302-26C8F1603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4427400"/>
        <c:axId val="127131064"/>
      </c:lineChart>
      <c:catAx>
        <c:axId val="444427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31064"/>
        <c:crosses val="autoZero"/>
        <c:auto val="1"/>
        <c:lblAlgn val="ctr"/>
        <c:lblOffset val="100"/>
        <c:noMultiLvlLbl val="0"/>
      </c:catAx>
      <c:valAx>
        <c:axId val="127131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27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9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47625</xdr:rowOff>
    </xdr:from>
    <xdr:to>
      <xdr:col>7</xdr:col>
      <xdr:colOff>123825</xdr:colOff>
      <xdr:row>17</xdr:row>
      <xdr:rowOff>152400</xdr:rowOff>
    </xdr:to>
    <xdr:graphicFrame macro="">
      <xdr:nvGraphicFramePr>
        <xdr:cNvPr id="2277" name="Gráfico 1">
          <a:extLst>
            <a:ext uri="{FF2B5EF4-FFF2-40B4-BE49-F238E27FC236}">
              <a16:creationId xmlns:a16="http://schemas.microsoft.com/office/drawing/2014/main" id="{265D814C-A2BF-4699-B7CE-61E03BAA6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19050</xdr:rowOff>
    </xdr:from>
    <xdr:to>
      <xdr:col>8</xdr:col>
      <xdr:colOff>0</xdr:colOff>
      <xdr:row>16</xdr:row>
      <xdr:rowOff>142875</xdr:rowOff>
    </xdr:to>
    <xdr:graphicFrame macro="">
      <xdr:nvGraphicFramePr>
        <xdr:cNvPr id="2278" name="Gráfico 2">
          <a:extLst>
            <a:ext uri="{FF2B5EF4-FFF2-40B4-BE49-F238E27FC236}">
              <a16:creationId xmlns:a16="http://schemas.microsoft.com/office/drawing/2014/main" id="{483062F5-001C-42C9-89D6-7F22049E6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</xdr:row>
      <xdr:rowOff>19050</xdr:rowOff>
    </xdr:from>
    <xdr:to>
      <xdr:col>8</xdr:col>
      <xdr:colOff>0</xdr:colOff>
      <xdr:row>16</xdr:row>
      <xdr:rowOff>142875</xdr:rowOff>
    </xdr:to>
    <xdr:graphicFrame macro="">
      <xdr:nvGraphicFramePr>
        <xdr:cNvPr id="2279" name="Gráfico 3">
          <a:extLst>
            <a:ext uri="{FF2B5EF4-FFF2-40B4-BE49-F238E27FC236}">
              <a16:creationId xmlns:a16="http://schemas.microsoft.com/office/drawing/2014/main" id="{6188E6DA-8D03-461F-A649-BE0D24670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0</xdr:colOff>
      <xdr:row>2</xdr:row>
      <xdr:rowOff>9525</xdr:rowOff>
    </xdr:from>
    <xdr:to>
      <xdr:col>40</xdr:col>
      <xdr:colOff>0</xdr:colOff>
      <xdr:row>16</xdr:row>
      <xdr:rowOff>133350</xdr:rowOff>
    </xdr:to>
    <xdr:graphicFrame macro="">
      <xdr:nvGraphicFramePr>
        <xdr:cNvPr id="2280" name="Gráfico 59">
          <a:extLst>
            <a:ext uri="{FF2B5EF4-FFF2-40B4-BE49-F238E27FC236}">
              <a16:creationId xmlns:a16="http://schemas.microsoft.com/office/drawing/2014/main" id="{DA114904-D8B0-4473-8FF4-3173723E9B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0</xdr:colOff>
      <xdr:row>18</xdr:row>
      <xdr:rowOff>152400</xdr:rowOff>
    </xdr:from>
    <xdr:to>
      <xdr:col>40</xdr:col>
      <xdr:colOff>0</xdr:colOff>
      <xdr:row>33</xdr:row>
      <xdr:rowOff>123825</xdr:rowOff>
    </xdr:to>
    <xdr:graphicFrame macro="">
      <xdr:nvGraphicFramePr>
        <xdr:cNvPr id="2281" name="Gráfico 60">
          <a:extLst>
            <a:ext uri="{FF2B5EF4-FFF2-40B4-BE49-F238E27FC236}">
              <a16:creationId xmlns:a16="http://schemas.microsoft.com/office/drawing/2014/main" id="{EDF6173F-57B1-493E-ABDE-4497841E8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0</xdr:colOff>
      <xdr:row>36</xdr:row>
      <xdr:rowOff>152400</xdr:rowOff>
    </xdr:from>
    <xdr:to>
      <xdr:col>40</xdr:col>
      <xdr:colOff>0</xdr:colOff>
      <xdr:row>51</xdr:row>
      <xdr:rowOff>123825</xdr:rowOff>
    </xdr:to>
    <xdr:graphicFrame macro="">
      <xdr:nvGraphicFramePr>
        <xdr:cNvPr id="2282" name="Gráfico 61">
          <a:extLst>
            <a:ext uri="{FF2B5EF4-FFF2-40B4-BE49-F238E27FC236}">
              <a16:creationId xmlns:a16="http://schemas.microsoft.com/office/drawing/2014/main" id="{63E1C2D6-89F7-43DF-A3BA-7E0B334C72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40</xdr:col>
      <xdr:colOff>0</xdr:colOff>
      <xdr:row>54</xdr:row>
      <xdr:rowOff>152400</xdr:rowOff>
    </xdr:from>
    <xdr:to>
      <xdr:col>40</xdr:col>
      <xdr:colOff>0</xdr:colOff>
      <xdr:row>69</xdr:row>
      <xdr:rowOff>123825</xdr:rowOff>
    </xdr:to>
    <xdr:graphicFrame macro="">
      <xdr:nvGraphicFramePr>
        <xdr:cNvPr id="2283" name="Gráfico 62">
          <a:extLst>
            <a:ext uri="{FF2B5EF4-FFF2-40B4-BE49-F238E27FC236}">
              <a16:creationId xmlns:a16="http://schemas.microsoft.com/office/drawing/2014/main" id="{58AB443C-E024-4217-99D9-D2CCBCB01F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40</xdr:col>
      <xdr:colOff>0</xdr:colOff>
      <xdr:row>2</xdr:row>
      <xdr:rowOff>9525</xdr:rowOff>
    </xdr:from>
    <xdr:to>
      <xdr:col>40</xdr:col>
      <xdr:colOff>0</xdr:colOff>
      <xdr:row>16</xdr:row>
      <xdr:rowOff>133350</xdr:rowOff>
    </xdr:to>
    <xdr:graphicFrame macro="">
      <xdr:nvGraphicFramePr>
        <xdr:cNvPr id="2284" name="Gráfico 63">
          <a:extLst>
            <a:ext uri="{FF2B5EF4-FFF2-40B4-BE49-F238E27FC236}">
              <a16:creationId xmlns:a16="http://schemas.microsoft.com/office/drawing/2014/main" id="{31DA9A7E-AF60-49F4-89D0-5E0B6A17D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40</xdr:col>
      <xdr:colOff>0</xdr:colOff>
      <xdr:row>18</xdr:row>
      <xdr:rowOff>152400</xdr:rowOff>
    </xdr:from>
    <xdr:to>
      <xdr:col>40</xdr:col>
      <xdr:colOff>0</xdr:colOff>
      <xdr:row>33</xdr:row>
      <xdr:rowOff>123825</xdr:rowOff>
    </xdr:to>
    <xdr:graphicFrame macro="">
      <xdr:nvGraphicFramePr>
        <xdr:cNvPr id="2285" name="Gráfico 64">
          <a:extLst>
            <a:ext uri="{FF2B5EF4-FFF2-40B4-BE49-F238E27FC236}">
              <a16:creationId xmlns:a16="http://schemas.microsoft.com/office/drawing/2014/main" id="{70D06EC7-03AB-47CB-864D-DC47A65600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40</xdr:col>
      <xdr:colOff>0</xdr:colOff>
      <xdr:row>36</xdr:row>
      <xdr:rowOff>152400</xdr:rowOff>
    </xdr:from>
    <xdr:to>
      <xdr:col>40</xdr:col>
      <xdr:colOff>0</xdr:colOff>
      <xdr:row>51</xdr:row>
      <xdr:rowOff>123825</xdr:rowOff>
    </xdr:to>
    <xdr:graphicFrame macro="">
      <xdr:nvGraphicFramePr>
        <xdr:cNvPr id="2286" name="Gráfico 65">
          <a:extLst>
            <a:ext uri="{FF2B5EF4-FFF2-40B4-BE49-F238E27FC236}">
              <a16:creationId xmlns:a16="http://schemas.microsoft.com/office/drawing/2014/main" id="{630B74C6-A7C6-49E7-812A-B03EDE324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40</xdr:col>
      <xdr:colOff>0</xdr:colOff>
      <xdr:row>54</xdr:row>
      <xdr:rowOff>152400</xdr:rowOff>
    </xdr:from>
    <xdr:to>
      <xdr:col>40</xdr:col>
      <xdr:colOff>0</xdr:colOff>
      <xdr:row>69</xdr:row>
      <xdr:rowOff>123825</xdr:rowOff>
    </xdr:to>
    <xdr:graphicFrame macro="">
      <xdr:nvGraphicFramePr>
        <xdr:cNvPr id="2287" name="Gráfico 66">
          <a:extLst>
            <a:ext uri="{FF2B5EF4-FFF2-40B4-BE49-F238E27FC236}">
              <a16:creationId xmlns:a16="http://schemas.microsoft.com/office/drawing/2014/main" id="{332DFD55-365C-4330-B2B0-4E33BD2CB7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40</xdr:col>
      <xdr:colOff>0</xdr:colOff>
      <xdr:row>2</xdr:row>
      <xdr:rowOff>57150</xdr:rowOff>
    </xdr:from>
    <xdr:to>
      <xdr:col>40</xdr:col>
      <xdr:colOff>0</xdr:colOff>
      <xdr:row>17</xdr:row>
      <xdr:rowOff>19050</xdr:rowOff>
    </xdr:to>
    <xdr:graphicFrame macro="">
      <xdr:nvGraphicFramePr>
        <xdr:cNvPr id="2288" name="Gráfico 75">
          <a:extLst>
            <a:ext uri="{FF2B5EF4-FFF2-40B4-BE49-F238E27FC236}">
              <a16:creationId xmlns:a16="http://schemas.microsoft.com/office/drawing/2014/main" id="{3D2DE7E1-F4A9-41B1-A574-7E0401E901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40</xdr:col>
      <xdr:colOff>0</xdr:colOff>
      <xdr:row>19</xdr:row>
      <xdr:rowOff>38100</xdr:rowOff>
    </xdr:from>
    <xdr:to>
      <xdr:col>40</xdr:col>
      <xdr:colOff>0</xdr:colOff>
      <xdr:row>34</xdr:row>
      <xdr:rowOff>9525</xdr:rowOff>
    </xdr:to>
    <xdr:graphicFrame macro="">
      <xdr:nvGraphicFramePr>
        <xdr:cNvPr id="2289" name="Gráfico 76">
          <a:extLst>
            <a:ext uri="{FF2B5EF4-FFF2-40B4-BE49-F238E27FC236}">
              <a16:creationId xmlns:a16="http://schemas.microsoft.com/office/drawing/2014/main" id="{2681750A-0A2F-423F-8630-75CC8A7EC8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40</xdr:col>
      <xdr:colOff>0</xdr:colOff>
      <xdr:row>37</xdr:row>
      <xdr:rowOff>28575</xdr:rowOff>
    </xdr:from>
    <xdr:to>
      <xdr:col>40</xdr:col>
      <xdr:colOff>0</xdr:colOff>
      <xdr:row>52</xdr:row>
      <xdr:rowOff>0</xdr:rowOff>
    </xdr:to>
    <xdr:graphicFrame macro="">
      <xdr:nvGraphicFramePr>
        <xdr:cNvPr id="2290" name="Gráfico 77">
          <a:extLst>
            <a:ext uri="{FF2B5EF4-FFF2-40B4-BE49-F238E27FC236}">
              <a16:creationId xmlns:a16="http://schemas.microsoft.com/office/drawing/2014/main" id="{82747680-1B66-4C3A-AEA9-1ED7CA5E3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504825</xdr:colOff>
      <xdr:row>3</xdr:row>
      <xdr:rowOff>47625</xdr:rowOff>
    </xdr:from>
    <xdr:to>
      <xdr:col>15</xdr:col>
      <xdr:colOff>28575</xdr:colOff>
      <xdr:row>18</xdr:row>
      <xdr:rowOff>0</xdr:rowOff>
    </xdr:to>
    <xdr:graphicFrame macro="">
      <xdr:nvGraphicFramePr>
        <xdr:cNvPr id="2291" name="Gráfico 106">
          <a:extLst>
            <a:ext uri="{FF2B5EF4-FFF2-40B4-BE49-F238E27FC236}">
              <a16:creationId xmlns:a16="http://schemas.microsoft.com/office/drawing/2014/main" id="{B617A2F8-3A40-4DCA-B378-AF6BBDE7C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0</xdr:colOff>
      <xdr:row>3</xdr:row>
      <xdr:rowOff>0</xdr:rowOff>
    </xdr:from>
    <xdr:to>
      <xdr:col>23</xdr:col>
      <xdr:colOff>142875</xdr:colOff>
      <xdr:row>17</xdr:row>
      <xdr:rowOff>123825</xdr:rowOff>
    </xdr:to>
    <xdr:graphicFrame macro="">
      <xdr:nvGraphicFramePr>
        <xdr:cNvPr id="2292" name="Gráfico 108">
          <a:extLst>
            <a:ext uri="{FF2B5EF4-FFF2-40B4-BE49-F238E27FC236}">
              <a16:creationId xmlns:a16="http://schemas.microsoft.com/office/drawing/2014/main" id="{3B4EEE2C-89D9-4C81-B9E5-787BDADAEB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0</xdr:colOff>
      <xdr:row>3</xdr:row>
      <xdr:rowOff>0</xdr:rowOff>
    </xdr:from>
    <xdr:to>
      <xdr:col>31</xdr:col>
      <xdr:colOff>142875</xdr:colOff>
      <xdr:row>17</xdr:row>
      <xdr:rowOff>123825</xdr:rowOff>
    </xdr:to>
    <xdr:graphicFrame macro="">
      <xdr:nvGraphicFramePr>
        <xdr:cNvPr id="2293" name="Gráfico 109">
          <a:extLst>
            <a:ext uri="{FF2B5EF4-FFF2-40B4-BE49-F238E27FC236}">
              <a16:creationId xmlns:a16="http://schemas.microsoft.com/office/drawing/2014/main" id="{99D20534-F07E-4DA2-8014-2FA1A8B16C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33</xdr:col>
      <xdr:colOff>0</xdr:colOff>
      <xdr:row>3</xdr:row>
      <xdr:rowOff>0</xdr:rowOff>
    </xdr:from>
    <xdr:to>
      <xdr:col>39</xdr:col>
      <xdr:colOff>142875</xdr:colOff>
      <xdr:row>17</xdr:row>
      <xdr:rowOff>123825</xdr:rowOff>
    </xdr:to>
    <xdr:graphicFrame macro="">
      <xdr:nvGraphicFramePr>
        <xdr:cNvPr id="2294" name="Gráfico 110">
          <a:extLst>
            <a:ext uri="{FF2B5EF4-FFF2-40B4-BE49-F238E27FC236}">
              <a16:creationId xmlns:a16="http://schemas.microsoft.com/office/drawing/2014/main" id="{682CE35B-C2CA-4174-877F-1BE0F773F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600075</xdr:colOff>
      <xdr:row>22</xdr:row>
      <xdr:rowOff>28575</xdr:rowOff>
    </xdr:from>
    <xdr:to>
      <xdr:col>7</xdr:col>
      <xdr:colOff>133350</xdr:colOff>
      <xdr:row>36</xdr:row>
      <xdr:rowOff>152400</xdr:rowOff>
    </xdr:to>
    <xdr:graphicFrame macro="">
      <xdr:nvGraphicFramePr>
        <xdr:cNvPr id="2295" name="Gráfico 114">
          <a:extLst>
            <a:ext uri="{FF2B5EF4-FFF2-40B4-BE49-F238E27FC236}">
              <a16:creationId xmlns:a16="http://schemas.microsoft.com/office/drawing/2014/main" id="{3CEA9B9A-3830-4A83-BA5D-84F7AF7F62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15</xdr:col>
      <xdr:colOff>142875</xdr:colOff>
      <xdr:row>36</xdr:row>
      <xdr:rowOff>123825</xdr:rowOff>
    </xdr:to>
    <xdr:graphicFrame macro="">
      <xdr:nvGraphicFramePr>
        <xdr:cNvPr id="2296" name="Gráfico 115">
          <a:extLst>
            <a:ext uri="{FF2B5EF4-FFF2-40B4-BE49-F238E27FC236}">
              <a16:creationId xmlns:a16="http://schemas.microsoft.com/office/drawing/2014/main" id="{78BF63D8-CE19-4977-8D5E-B2C6A27DA0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17</xdr:col>
      <xdr:colOff>0</xdr:colOff>
      <xdr:row>22</xdr:row>
      <xdr:rowOff>0</xdr:rowOff>
    </xdr:from>
    <xdr:to>
      <xdr:col>23</xdr:col>
      <xdr:colOff>142875</xdr:colOff>
      <xdr:row>36</xdr:row>
      <xdr:rowOff>123825</xdr:rowOff>
    </xdr:to>
    <xdr:graphicFrame macro="">
      <xdr:nvGraphicFramePr>
        <xdr:cNvPr id="2297" name="Gráfico 116">
          <a:extLst>
            <a:ext uri="{FF2B5EF4-FFF2-40B4-BE49-F238E27FC236}">
              <a16:creationId xmlns:a16="http://schemas.microsoft.com/office/drawing/2014/main" id="{AADB19AF-0E0F-46AC-9D82-0E9745FD7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25</xdr:col>
      <xdr:colOff>0</xdr:colOff>
      <xdr:row>22</xdr:row>
      <xdr:rowOff>0</xdr:rowOff>
    </xdr:from>
    <xdr:to>
      <xdr:col>31</xdr:col>
      <xdr:colOff>142875</xdr:colOff>
      <xdr:row>36</xdr:row>
      <xdr:rowOff>123825</xdr:rowOff>
    </xdr:to>
    <xdr:graphicFrame macro="">
      <xdr:nvGraphicFramePr>
        <xdr:cNvPr id="2298" name="Gráfico 117">
          <a:extLst>
            <a:ext uri="{FF2B5EF4-FFF2-40B4-BE49-F238E27FC236}">
              <a16:creationId xmlns:a16="http://schemas.microsoft.com/office/drawing/2014/main" id="{41C07A60-FBB4-4DAA-9546-9DF37DF0E8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33</xdr:col>
      <xdr:colOff>0</xdr:colOff>
      <xdr:row>22</xdr:row>
      <xdr:rowOff>0</xdr:rowOff>
    </xdr:from>
    <xdr:to>
      <xdr:col>39</xdr:col>
      <xdr:colOff>142875</xdr:colOff>
      <xdr:row>36</xdr:row>
      <xdr:rowOff>123825</xdr:rowOff>
    </xdr:to>
    <xdr:graphicFrame macro="">
      <xdr:nvGraphicFramePr>
        <xdr:cNvPr id="2299" name="Gráfico 118">
          <a:extLst>
            <a:ext uri="{FF2B5EF4-FFF2-40B4-BE49-F238E27FC236}">
              <a16:creationId xmlns:a16="http://schemas.microsoft.com/office/drawing/2014/main" id="{0260CDE4-DBA8-4767-8EA7-06F1BC614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0</xdr:colOff>
      <xdr:row>41</xdr:row>
      <xdr:rowOff>0</xdr:rowOff>
    </xdr:from>
    <xdr:to>
      <xdr:col>7</xdr:col>
      <xdr:colOff>142875</xdr:colOff>
      <xdr:row>55</xdr:row>
      <xdr:rowOff>123825</xdr:rowOff>
    </xdr:to>
    <xdr:graphicFrame macro="">
      <xdr:nvGraphicFramePr>
        <xdr:cNvPr id="2300" name="Gráfico 119">
          <a:extLst>
            <a:ext uri="{FF2B5EF4-FFF2-40B4-BE49-F238E27FC236}">
              <a16:creationId xmlns:a16="http://schemas.microsoft.com/office/drawing/2014/main" id="{85384564-50CC-4D7D-A2B7-CF4E8965A4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9</xdr:col>
      <xdr:colOff>0</xdr:colOff>
      <xdr:row>41</xdr:row>
      <xdr:rowOff>0</xdr:rowOff>
    </xdr:from>
    <xdr:to>
      <xdr:col>15</xdr:col>
      <xdr:colOff>142875</xdr:colOff>
      <xdr:row>55</xdr:row>
      <xdr:rowOff>123825</xdr:rowOff>
    </xdr:to>
    <xdr:graphicFrame macro="">
      <xdr:nvGraphicFramePr>
        <xdr:cNvPr id="2301" name="Gráfico 120">
          <a:extLst>
            <a:ext uri="{FF2B5EF4-FFF2-40B4-BE49-F238E27FC236}">
              <a16:creationId xmlns:a16="http://schemas.microsoft.com/office/drawing/2014/main" id="{3C530018-BA42-4DEA-BF1C-CFAE976AAD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17</xdr:col>
      <xdr:colOff>0</xdr:colOff>
      <xdr:row>41</xdr:row>
      <xdr:rowOff>0</xdr:rowOff>
    </xdr:from>
    <xdr:to>
      <xdr:col>23</xdr:col>
      <xdr:colOff>142875</xdr:colOff>
      <xdr:row>55</xdr:row>
      <xdr:rowOff>123825</xdr:rowOff>
    </xdr:to>
    <xdr:graphicFrame macro="">
      <xdr:nvGraphicFramePr>
        <xdr:cNvPr id="2302" name="Gráfico 121">
          <a:extLst>
            <a:ext uri="{FF2B5EF4-FFF2-40B4-BE49-F238E27FC236}">
              <a16:creationId xmlns:a16="http://schemas.microsoft.com/office/drawing/2014/main" id="{276191FE-9B4E-4DE4-8D3F-A7C77E14F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25</xdr:col>
      <xdr:colOff>0</xdr:colOff>
      <xdr:row>41</xdr:row>
      <xdr:rowOff>0</xdr:rowOff>
    </xdr:from>
    <xdr:to>
      <xdr:col>31</xdr:col>
      <xdr:colOff>142875</xdr:colOff>
      <xdr:row>55</xdr:row>
      <xdr:rowOff>123825</xdr:rowOff>
    </xdr:to>
    <xdr:graphicFrame macro="">
      <xdr:nvGraphicFramePr>
        <xdr:cNvPr id="2303" name="Gráfico 122">
          <a:extLst>
            <a:ext uri="{FF2B5EF4-FFF2-40B4-BE49-F238E27FC236}">
              <a16:creationId xmlns:a16="http://schemas.microsoft.com/office/drawing/2014/main" id="{F30DFA0F-3EA2-4058-93AA-A30D645B9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33</xdr:col>
      <xdr:colOff>0</xdr:colOff>
      <xdr:row>41</xdr:row>
      <xdr:rowOff>0</xdr:rowOff>
    </xdr:from>
    <xdr:to>
      <xdr:col>39</xdr:col>
      <xdr:colOff>142875</xdr:colOff>
      <xdr:row>55</xdr:row>
      <xdr:rowOff>123825</xdr:rowOff>
    </xdr:to>
    <xdr:graphicFrame macro="">
      <xdr:nvGraphicFramePr>
        <xdr:cNvPr id="2304" name="Gráfico 123">
          <a:extLst>
            <a:ext uri="{FF2B5EF4-FFF2-40B4-BE49-F238E27FC236}">
              <a16:creationId xmlns:a16="http://schemas.microsoft.com/office/drawing/2014/main" id="{B1CBF140-57E5-48AB-97D5-C2A5768C1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0</xdr:colOff>
      <xdr:row>60</xdr:row>
      <xdr:rowOff>0</xdr:rowOff>
    </xdr:from>
    <xdr:to>
      <xdr:col>7</xdr:col>
      <xdr:colOff>142875</xdr:colOff>
      <xdr:row>74</xdr:row>
      <xdr:rowOff>123825</xdr:rowOff>
    </xdr:to>
    <xdr:graphicFrame macro="">
      <xdr:nvGraphicFramePr>
        <xdr:cNvPr id="2305" name="Gráfico 124">
          <a:extLst>
            <a:ext uri="{FF2B5EF4-FFF2-40B4-BE49-F238E27FC236}">
              <a16:creationId xmlns:a16="http://schemas.microsoft.com/office/drawing/2014/main" id="{D3554AE4-D2EC-4CC2-8379-0558DF797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9</xdr:col>
      <xdr:colOff>0</xdr:colOff>
      <xdr:row>60</xdr:row>
      <xdr:rowOff>0</xdr:rowOff>
    </xdr:from>
    <xdr:to>
      <xdr:col>15</xdr:col>
      <xdr:colOff>142875</xdr:colOff>
      <xdr:row>74</xdr:row>
      <xdr:rowOff>123825</xdr:rowOff>
    </xdr:to>
    <xdr:graphicFrame macro="">
      <xdr:nvGraphicFramePr>
        <xdr:cNvPr id="2306" name="Gráfico 125">
          <a:extLst>
            <a:ext uri="{FF2B5EF4-FFF2-40B4-BE49-F238E27FC236}">
              <a16:creationId xmlns:a16="http://schemas.microsoft.com/office/drawing/2014/main" id="{0F63DF0B-416D-4858-996C-B537FD898D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</xdr:col>
      <xdr:colOff>0</xdr:colOff>
      <xdr:row>79</xdr:row>
      <xdr:rowOff>0</xdr:rowOff>
    </xdr:from>
    <xdr:to>
      <xdr:col>7</xdr:col>
      <xdr:colOff>142875</xdr:colOff>
      <xdr:row>93</xdr:row>
      <xdr:rowOff>123825</xdr:rowOff>
    </xdr:to>
    <xdr:graphicFrame macro="">
      <xdr:nvGraphicFramePr>
        <xdr:cNvPr id="2307" name="Gráfico 126">
          <a:extLst>
            <a:ext uri="{FF2B5EF4-FFF2-40B4-BE49-F238E27FC236}">
              <a16:creationId xmlns:a16="http://schemas.microsoft.com/office/drawing/2014/main" id="{F82CE2B2-A51A-4180-A0FD-E64495F841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17</xdr:col>
      <xdr:colOff>0</xdr:colOff>
      <xdr:row>60</xdr:row>
      <xdr:rowOff>0</xdr:rowOff>
    </xdr:from>
    <xdr:to>
      <xdr:col>23</xdr:col>
      <xdr:colOff>142875</xdr:colOff>
      <xdr:row>74</xdr:row>
      <xdr:rowOff>123825</xdr:rowOff>
    </xdr:to>
    <xdr:graphicFrame macro="">
      <xdr:nvGraphicFramePr>
        <xdr:cNvPr id="2308" name="Gráfico 133">
          <a:extLst>
            <a:ext uri="{FF2B5EF4-FFF2-40B4-BE49-F238E27FC236}">
              <a16:creationId xmlns:a16="http://schemas.microsoft.com/office/drawing/2014/main" id="{849C59E0-F1ED-477F-B004-2E629809D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25</xdr:col>
      <xdr:colOff>0</xdr:colOff>
      <xdr:row>60</xdr:row>
      <xdr:rowOff>0</xdr:rowOff>
    </xdr:from>
    <xdr:to>
      <xdr:col>31</xdr:col>
      <xdr:colOff>142875</xdr:colOff>
      <xdr:row>74</xdr:row>
      <xdr:rowOff>123825</xdr:rowOff>
    </xdr:to>
    <xdr:graphicFrame macro="">
      <xdr:nvGraphicFramePr>
        <xdr:cNvPr id="2309" name="Gráfico 134">
          <a:extLst>
            <a:ext uri="{FF2B5EF4-FFF2-40B4-BE49-F238E27FC236}">
              <a16:creationId xmlns:a16="http://schemas.microsoft.com/office/drawing/2014/main" id="{FA8C954B-2F1C-49A8-A2F4-34F0CD2F0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33</xdr:col>
      <xdr:colOff>0</xdr:colOff>
      <xdr:row>60</xdr:row>
      <xdr:rowOff>0</xdr:rowOff>
    </xdr:from>
    <xdr:to>
      <xdr:col>39</xdr:col>
      <xdr:colOff>142875</xdr:colOff>
      <xdr:row>74</xdr:row>
      <xdr:rowOff>123825</xdr:rowOff>
    </xdr:to>
    <xdr:graphicFrame macro="">
      <xdr:nvGraphicFramePr>
        <xdr:cNvPr id="2310" name="Gráfico 135">
          <a:extLst>
            <a:ext uri="{FF2B5EF4-FFF2-40B4-BE49-F238E27FC236}">
              <a16:creationId xmlns:a16="http://schemas.microsoft.com/office/drawing/2014/main" id="{CF3AF052-7CA3-483A-89D5-735B646FE8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17</xdr:col>
      <xdr:colOff>0</xdr:colOff>
      <xdr:row>79</xdr:row>
      <xdr:rowOff>0</xdr:rowOff>
    </xdr:from>
    <xdr:to>
      <xdr:col>23</xdr:col>
      <xdr:colOff>142875</xdr:colOff>
      <xdr:row>93</xdr:row>
      <xdr:rowOff>123825</xdr:rowOff>
    </xdr:to>
    <xdr:graphicFrame macro="">
      <xdr:nvGraphicFramePr>
        <xdr:cNvPr id="2311" name="Gráfico 155">
          <a:extLst>
            <a:ext uri="{FF2B5EF4-FFF2-40B4-BE49-F238E27FC236}">
              <a16:creationId xmlns:a16="http://schemas.microsoft.com/office/drawing/2014/main" id="{6FDC09EC-C7EA-4200-AF5A-59C9C23ED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9</xdr:col>
      <xdr:colOff>0</xdr:colOff>
      <xdr:row>79</xdr:row>
      <xdr:rowOff>0</xdr:rowOff>
    </xdr:from>
    <xdr:to>
      <xdr:col>15</xdr:col>
      <xdr:colOff>142875</xdr:colOff>
      <xdr:row>93</xdr:row>
      <xdr:rowOff>123825</xdr:rowOff>
    </xdr:to>
    <xdr:graphicFrame macro="">
      <xdr:nvGraphicFramePr>
        <xdr:cNvPr id="2312" name="Gráfico 156">
          <a:extLst>
            <a:ext uri="{FF2B5EF4-FFF2-40B4-BE49-F238E27FC236}">
              <a16:creationId xmlns:a16="http://schemas.microsoft.com/office/drawing/2014/main" id="{C8466086-F1BD-4657-B0FB-3F3B24A03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25</xdr:col>
      <xdr:colOff>0</xdr:colOff>
      <xdr:row>79</xdr:row>
      <xdr:rowOff>0</xdr:rowOff>
    </xdr:from>
    <xdr:to>
      <xdr:col>31</xdr:col>
      <xdr:colOff>142875</xdr:colOff>
      <xdr:row>93</xdr:row>
      <xdr:rowOff>123825</xdr:rowOff>
    </xdr:to>
    <xdr:graphicFrame macro="">
      <xdr:nvGraphicFramePr>
        <xdr:cNvPr id="2313" name="Gráfico 159">
          <a:extLst>
            <a:ext uri="{FF2B5EF4-FFF2-40B4-BE49-F238E27FC236}">
              <a16:creationId xmlns:a16="http://schemas.microsoft.com/office/drawing/2014/main" id="{932E1D53-038C-468A-8947-AE670B86D5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33</xdr:col>
      <xdr:colOff>0</xdr:colOff>
      <xdr:row>79</xdr:row>
      <xdr:rowOff>0</xdr:rowOff>
    </xdr:from>
    <xdr:to>
      <xdr:col>39</xdr:col>
      <xdr:colOff>142875</xdr:colOff>
      <xdr:row>93</xdr:row>
      <xdr:rowOff>123825</xdr:rowOff>
    </xdr:to>
    <xdr:graphicFrame macro="">
      <xdr:nvGraphicFramePr>
        <xdr:cNvPr id="2314" name="Gráfico 160">
          <a:extLst>
            <a:ext uri="{FF2B5EF4-FFF2-40B4-BE49-F238E27FC236}">
              <a16:creationId xmlns:a16="http://schemas.microsoft.com/office/drawing/2014/main" id="{6D5CE0A5-1BBD-4B74-945F-AF9B65E5C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</xdr:col>
      <xdr:colOff>0</xdr:colOff>
      <xdr:row>98</xdr:row>
      <xdr:rowOff>0</xdr:rowOff>
    </xdr:from>
    <xdr:to>
      <xdr:col>7</xdr:col>
      <xdr:colOff>142875</xdr:colOff>
      <xdr:row>112</xdr:row>
      <xdr:rowOff>123825</xdr:rowOff>
    </xdr:to>
    <xdr:graphicFrame macro="">
      <xdr:nvGraphicFramePr>
        <xdr:cNvPr id="2315" name="Gráfico 161">
          <a:extLst>
            <a:ext uri="{FF2B5EF4-FFF2-40B4-BE49-F238E27FC236}">
              <a16:creationId xmlns:a16="http://schemas.microsoft.com/office/drawing/2014/main" id="{76270C4D-DDD6-4BA5-BFFE-19AB47929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9</xdr:col>
      <xdr:colOff>0</xdr:colOff>
      <xdr:row>98</xdr:row>
      <xdr:rowOff>0</xdr:rowOff>
    </xdr:from>
    <xdr:to>
      <xdr:col>15</xdr:col>
      <xdr:colOff>142875</xdr:colOff>
      <xdr:row>112</xdr:row>
      <xdr:rowOff>123825</xdr:rowOff>
    </xdr:to>
    <xdr:graphicFrame macro="">
      <xdr:nvGraphicFramePr>
        <xdr:cNvPr id="2316" name="Gráfico 162">
          <a:extLst>
            <a:ext uri="{FF2B5EF4-FFF2-40B4-BE49-F238E27FC236}">
              <a16:creationId xmlns:a16="http://schemas.microsoft.com/office/drawing/2014/main" id="{50E7BE76-0C6C-4556-B585-F5AE09AC8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17</xdr:col>
      <xdr:colOff>0</xdr:colOff>
      <xdr:row>98</xdr:row>
      <xdr:rowOff>0</xdr:rowOff>
    </xdr:from>
    <xdr:to>
      <xdr:col>23</xdr:col>
      <xdr:colOff>142875</xdr:colOff>
      <xdr:row>112</xdr:row>
      <xdr:rowOff>123825</xdr:rowOff>
    </xdr:to>
    <xdr:graphicFrame macro="">
      <xdr:nvGraphicFramePr>
        <xdr:cNvPr id="2317" name="Gráfico 163">
          <a:extLst>
            <a:ext uri="{FF2B5EF4-FFF2-40B4-BE49-F238E27FC236}">
              <a16:creationId xmlns:a16="http://schemas.microsoft.com/office/drawing/2014/main" id="{4B9ABFC3-F5F9-4AC7-A641-661B42F342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25</xdr:col>
      <xdr:colOff>0</xdr:colOff>
      <xdr:row>98</xdr:row>
      <xdr:rowOff>0</xdr:rowOff>
    </xdr:from>
    <xdr:to>
      <xdr:col>31</xdr:col>
      <xdr:colOff>142875</xdr:colOff>
      <xdr:row>112</xdr:row>
      <xdr:rowOff>123825</xdr:rowOff>
    </xdr:to>
    <xdr:graphicFrame macro="">
      <xdr:nvGraphicFramePr>
        <xdr:cNvPr id="2318" name="Gráfico 164">
          <a:extLst>
            <a:ext uri="{FF2B5EF4-FFF2-40B4-BE49-F238E27FC236}">
              <a16:creationId xmlns:a16="http://schemas.microsoft.com/office/drawing/2014/main" id="{E50D0880-B55B-4337-BB37-FC3541AF3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33</xdr:col>
      <xdr:colOff>0</xdr:colOff>
      <xdr:row>98</xdr:row>
      <xdr:rowOff>0</xdr:rowOff>
    </xdr:from>
    <xdr:to>
      <xdr:col>39</xdr:col>
      <xdr:colOff>142875</xdr:colOff>
      <xdr:row>112</xdr:row>
      <xdr:rowOff>123825</xdr:rowOff>
    </xdr:to>
    <xdr:graphicFrame macro="">
      <xdr:nvGraphicFramePr>
        <xdr:cNvPr id="2319" name="Gráfico 165">
          <a:extLst>
            <a:ext uri="{FF2B5EF4-FFF2-40B4-BE49-F238E27FC236}">
              <a16:creationId xmlns:a16="http://schemas.microsoft.com/office/drawing/2014/main" id="{AB7E56A5-9902-48F9-A4A6-6F69234788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</xdr:col>
      <xdr:colOff>0</xdr:colOff>
      <xdr:row>117</xdr:row>
      <xdr:rowOff>0</xdr:rowOff>
    </xdr:from>
    <xdr:to>
      <xdr:col>7</xdr:col>
      <xdr:colOff>142875</xdr:colOff>
      <xdr:row>131</xdr:row>
      <xdr:rowOff>123825</xdr:rowOff>
    </xdr:to>
    <xdr:graphicFrame macro="">
      <xdr:nvGraphicFramePr>
        <xdr:cNvPr id="2320" name="Gráfico 166">
          <a:extLst>
            <a:ext uri="{FF2B5EF4-FFF2-40B4-BE49-F238E27FC236}">
              <a16:creationId xmlns:a16="http://schemas.microsoft.com/office/drawing/2014/main" id="{E0DC18BB-8827-4724-920F-9DBAA2459C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9</xdr:col>
      <xdr:colOff>0</xdr:colOff>
      <xdr:row>117</xdr:row>
      <xdr:rowOff>0</xdr:rowOff>
    </xdr:from>
    <xdr:to>
      <xdr:col>15</xdr:col>
      <xdr:colOff>142875</xdr:colOff>
      <xdr:row>131</xdr:row>
      <xdr:rowOff>123825</xdr:rowOff>
    </xdr:to>
    <xdr:graphicFrame macro="">
      <xdr:nvGraphicFramePr>
        <xdr:cNvPr id="2321" name="Gráfico 167">
          <a:extLst>
            <a:ext uri="{FF2B5EF4-FFF2-40B4-BE49-F238E27FC236}">
              <a16:creationId xmlns:a16="http://schemas.microsoft.com/office/drawing/2014/main" id="{0ECB9A22-AB91-4093-B338-F82B931F2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17</xdr:col>
      <xdr:colOff>0</xdr:colOff>
      <xdr:row>117</xdr:row>
      <xdr:rowOff>0</xdr:rowOff>
    </xdr:from>
    <xdr:to>
      <xdr:col>23</xdr:col>
      <xdr:colOff>142875</xdr:colOff>
      <xdr:row>131</xdr:row>
      <xdr:rowOff>123825</xdr:rowOff>
    </xdr:to>
    <xdr:graphicFrame macro="">
      <xdr:nvGraphicFramePr>
        <xdr:cNvPr id="2322" name="Gráfico 168">
          <a:extLst>
            <a:ext uri="{FF2B5EF4-FFF2-40B4-BE49-F238E27FC236}">
              <a16:creationId xmlns:a16="http://schemas.microsoft.com/office/drawing/2014/main" id="{2227AEED-3078-45C7-80FE-487345B814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25</xdr:col>
      <xdr:colOff>0</xdr:colOff>
      <xdr:row>117</xdr:row>
      <xdr:rowOff>0</xdr:rowOff>
    </xdr:from>
    <xdr:to>
      <xdr:col>31</xdr:col>
      <xdr:colOff>142875</xdr:colOff>
      <xdr:row>131</xdr:row>
      <xdr:rowOff>123825</xdr:rowOff>
    </xdr:to>
    <xdr:graphicFrame macro="">
      <xdr:nvGraphicFramePr>
        <xdr:cNvPr id="2323" name="Gráfico 169">
          <a:extLst>
            <a:ext uri="{FF2B5EF4-FFF2-40B4-BE49-F238E27FC236}">
              <a16:creationId xmlns:a16="http://schemas.microsoft.com/office/drawing/2014/main" id="{C03D3407-EA81-46FD-A395-A05A55D157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33</xdr:col>
      <xdr:colOff>0</xdr:colOff>
      <xdr:row>117</xdr:row>
      <xdr:rowOff>0</xdr:rowOff>
    </xdr:from>
    <xdr:to>
      <xdr:col>39</xdr:col>
      <xdr:colOff>142875</xdr:colOff>
      <xdr:row>131</xdr:row>
      <xdr:rowOff>123825</xdr:rowOff>
    </xdr:to>
    <xdr:graphicFrame macro="">
      <xdr:nvGraphicFramePr>
        <xdr:cNvPr id="2324" name="Gráfico 170">
          <a:extLst>
            <a:ext uri="{FF2B5EF4-FFF2-40B4-BE49-F238E27FC236}">
              <a16:creationId xmlns:a16="http://schemas.microsoft.com/office/drawing/2014/main" id="{9AC6FF10-192F-4D4B-AD2D-71BB35F27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</xdr:col>
      <xdr:colOff>0</xdr:colOff>
      <xdr:row>136</xdr:row>
      <xdr:rowOff>0</xdr:rowOff>
    </xdr:from>
    <xdr:to>
      <xdr:col>7</xdr:col>
      <xdr:colOff>142875</xdr:colOff>
      <xdr:row>150</xdr:row>
      <xdr:rowOff>123825</xdr:rowOff>
    </xdr:to>
    <xdr:graphicFrame macro="">
      <xdr:nvGraphicFramePr>
        <xdr:cNvPr id="2325" name="Gráfico 171">
          <a:extLst>
            <a:ext uri="{FF2B5EF4-FFF2-40B4-BE49-F238E27FC236}">
              <a16:creationId xmlns:a16="http://schemas.microsoft.com/office/drawing/2014/main" id="{FCB04666-EA1A-4E15-9755-210725F84F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9</xdr:col>
      <xdr:colOff>0</xdr:colOff>
      <xdr:row>136</xdr:row>
      <xdr:rowOff>0</xdr:rowOff>
    </xdr:from>
    <xdr:to>
      <xdr:col>15</xdr:col>
      <xdr:colOff>142875</xdr:colOff>
      <xdr:row>150</xdr:row>
      <xdr:rowOff>123825</xdr:rowOff>
    </xdr:to>
    <xdr:graphicFrame macro="">
      <xdr:nvGraphicFramePr>
        <xdr:cNvPr id="2326" name="Gráfico 172">
          <a:extLst>
            <a:ext uri="{FF2B5EF4-FFF2-40B4-BE49-F238E27FC236}">
              <a16:creationId xmlns:a16="http://schemas.microsoft.com/office/drawing/2014/main" id="{B35EA0FA-73A5-4110-A90C-1BF939FE9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17</xdr:col>
      <xdr:colOff>0</xdr:colOff>
      <xdr:row>136</xdr:row>
      <xdr:rowOff>0</xdr:rowOff>
    </xdr:from>
    <xdr:to>
      <xdr:col>23</xdr:col>
      <xdr:colOff>152400</xdr:colOff>
      <xdr:row>150</xdr:row>
      <xdr:rowOff>133350</xdr:rowOff>
    </xdr:to>
    <xdr:graphicFrame macro="">
      <xdr:nvGraphicFramePr>
        <xdr:cNvPr id="2327" name="Gráfico 173">
          <a:extLst>
            <a:ext uri="{FF2B5EF4-FFF2-40B4-BE49-F238E27FC236}">
              <a16:creationId xmlns:a16="http://schemas.microsoft.com/office/drawing/2014/main" id="{16C58ED6-7906-41B8-94E9-932BD8E818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25</xdr:col>
      <xdr:colOff>0</xdr:colOff>
      <xdr:row>136</xdr:row>
      <xdr:rowOff>0</xdr:rowOff>
    </xdr:from>
    <xdr:to>
      <xdr:col>31</xdr:col>
      <xdr:colOff>142875</xdr:colOff>
      <xdr:row>150</xdr:row>
      <xdr:rowOff>123825</xdr:rowOff>
    </xdr:to>
    <xdr:graphicFrame macro="">
      <xdr:nvGraphicFramePr>
        <xdr:cNvPr id="2328" name="Gráfico 174">
          <a:extLst>
            <a:ext uri="{FF2B5EF4-FFF2-40B4-BE49-F238E27FC236}">
              <a16:creationId xmlns:a16="http://schemas.microsoft.com/office/drawing/2014/main" id="{F4109F3D-B744-4BD4-B276-ECDFF1A9D6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33</xdr:col>
      <xdr:colOff>0</xdr:colOff>
      <xdr:row>136</xdr:row>
      <xdr:rowOff>0</xdr:rowOff>
    </xdr:from>
    <xdr:to>
      <xdr:col>39</xdr:col>
      <xdr:colOff>142875</xdr:colOff>
      <xdr:row>150</xdr:row>
      <xdr:rowOff>123825</xdr:rowOff>
    </xdr:to>
    <xdr:graphicFrame macro="">
      <xdr:nvGraphicFramePr>
        <xdr:cNvPr id="2329" name="Gráfico 175">
          <a:extLst>
            <a:ext uri="{FF2B5EF4-FFF2-40B4-BE49-F238E27FC236}">
              <a16:creationId xmlns:a16="http://schemas.microsoft.com/office/drawing/2014/main" id="{7D013A9D-772B-4CDC-97E7-C78580FDB4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018608" cy="622139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91B7D4-31F9-47EC-80AC-9337D62437A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T152"/>
  <sheetViews>
    <sheetView zoomScale="40" workbookViewId="0">
      <selection activeCell="AQ71" sqref="AQ71"/>
    </sheetView>
  </sheetViews>
  <sheetFormatPr defaultRowHeight="12.75" x14ac:dyDescent="0.2"/>
  <cols>
    <col min="1" max="7" width="9.140625" style="2"/>
    <col min="8" max="8" width="9.140625" style="3"/>
    <col min="9" max="9" width="9.140625" style="4"/>
    <col min="10" max="15" width="9.140625" style="2"/>
    <col min="16" max="16" width="9.140625" style="3"/>
    <col min="17" max="23" width="9.140625" style="2"/>
    <col min="24" max="24" width="9.140625" style="3"/>
    <col min="25" max="31" width="9.140625" style="2"/>
    <col min="32" max="32" width="9.140625" style="3"/>
    <col min="33" max="39" width="9.140625" style="2"/>
    <col min="40" max="40" width="9.140625" style="3"/>
    <col min="41" max="124" width="9.140625" style="5"/>
    <col min="125" max="16384" width="9.140625" style="2"/>
  </cols>
  <sheetData>
    <row r="2" spans="4:37" ht="13.5" thickBot="1" x14ac:dyDescent="0.25">
      <c r="D2" s="1" t="str">
        <f>'Point Estimates'!A5</f>
        <v>Ro - Madeira-Guapore</v>
      </c>
      <c r="E2" s="1" t="str">
        <f>'Point Estimates'!$B$5</f>
        <v>desl</v>
      </c>
      <c r="L2" s="1" t="str">
        <f>'Point Estimates'!A6</f>
        <v>Ro - Leste Rondoniense</v>
      </c>
      <c r="M2" s="1" t="str">
        <f>'Point Estimates'!$B$5</f>
        <v>desl</v>
      </c>
      <c r="T2" s="1" t="str">
        <f>'Point Estimates'!A7</f>
        <v>Ac - Vale do Jurua</v>
      </c>
      <c r="U2" s="1" t="str">
        <f>'Point Estimates'!$B$5</f>
        <v>desl</v>
      </c>
      <c r="AB2" s="1" t="str">
        <f>'Point Estimates'!A8</f>
        <v>Ac - Vale do Acre</v>
      </c>
      <c r="AC2" s="1" t="str">
        <f>'Point Estimates'!$B$5</f>
        <v>desl</v>
      </c>
      <c r="AJ2" s="1" t="str">
        <f>'Point Estimates'!A9</f>
        <v>Am - Norte Amazonense</v>
      </c>
      <c r="AK2" s="1" t="str">
        <f>'Point Estimates'!$B$5</f>
        <v>desl</v>
      </c>
    </row>
    <row r="19" spans="1:40" s="6" customFormat="1" ht="13.5" thickBot="1" x14ac:dyDescent="0.25">
      <c r="H19" s="7"/>
      <c r="I19" s="8"/>
      <c r="P19" s="7"/>
      <c r="X19" s="7"/>
      <c r="AF19" s="7"/>
      <c r="AN19" s="7"/>
    </row>
    <row r="20" spans="1:40" s="10" customFormat="1" x14ac:dyDescent="0.2">
      <c r="A20" s="9"/>
      <c r="H20" s="11"/>
      <c r="I20" s="9"/>
      <c r="P20" s="11"/>
      <c r="X20" s="11"/>
      <c r="AF20" s="11"/>
      <c r="AN20" s="11"/>
    </row>
    <row r="21" spans="1:40" ht="13.5" thickBot="1" x14ac:dyDescent="0.25">
      <c r="A21" s="4"/>
      <c r="B21" s="5"/>
      <c r="C21" s="5"/>
      <c r="D21" s="1" t="str">
        <f>'Point Estimates'!A10</f>
        <v>Am - Sudoeste Amazonense</v>
      </c>
      <c r="E21" s="1" t="str">
        <f>'Point Estimates'!$B$5</f>
        <v>desl</v>
      </c>
      <c r="F21" s="5"/>
      <c r="G21" s="5"/>
      <c r="J21" s="5"/>
      <c r="K21" s="5"/>
      <c r="L21" s="1" t="str">
        <f>'Point Estimates'!A11</f>
        <v>Am - Centro Amazonense</v>
      </c>
      <c r="M21" s="1" t="str">
        <f>'Point Estimates'!$B$5</f>
        <v>desl</v>
      </c>
      <c r="N21" s="5"/>
      <c r="O21" s="5"/>
      <c r="Q21" s="5"/>
      <c r="R21" s="5"/>
      <c r="S21" s="5"/>
      <c r="T21" s="1" t="str">
        <f>'Point Estimates'!A12</f>
        <v>Am - Sul Amazonense</v>
      </c>
      <c r="U21" s="1" t="str">
        <f>'Point Estimates'!$B$5</f>
        <v>desl</v>
      </c>
      <c r="V21" s="5"/>
      <c r="W21" s="5"/>
      <c r="Y21" s="5"/>
      <c r="Z21" s="5"/>
      <c r="AA21" s="5"/>
      <c r="AB21" s="1" t="str">
        <f>'Point Estimates'!A13</f>
        <v>Rr - Norte de Roraima</v>
      </c>
      <c r="AC21" s="1" t="str">
        <f>'Point Estimates'!$B$5</f>
        <v>desl</v>
      </c>
      <c r="AD21" s="5"/>
      <c r="AE21" s="5"/>
      <c r="AG21" s="5"/>
      <c r="AH21" s="5"/>
      <c r="AI21" s="5"/>
      <c r="AJ21" s="1" t="str">
        <f>'Point Estimates'!A14</f>
        <v>Rr - Sul de Roraima</v>
      </c>
      <c r="AK21" s="1" t="str">
        <f>'Point Estimates'!$B$5</f>
        <v>desl</v>
      </c>
      <c r="AL21" s="5"/>
      <c r="AM21" s="5"/>
    </row>
    <row r="22" spans="1:40" x14ac:dyDescent="0.2">
      <c r="A22" s="4"/>
      <c r="B22" s="5"/>
      <c r="C22" s="5"/>
      <c r="D22" s="5"/>
      <c r="E22" s="5"/>
      <c r="F22" s="5"/>
      <c r="G22" s="5"/>
      <c r="J22" s="5"/>
      <c r="K22" s="5"/>
      <c r="L22" s="5"/>
      <c r="M22" s="5"/>
      <c r="N22" s="5"/>
      <c r="O22" s="5"/>
      <c r="Q22" s="5"/>
      <c r="R22" s="5"/>
      <c r="S22" s="5"/>
      <c r="T22" s="5"/>
      <c r="U22" s="5"/>
      <c r="V22" s="5"/>
      <c r="W22" s="5"/>
      <c r="Y22" s="5"/>
      <c r="Z22" s="5"/>
      <c r="AA22" s="5"/>
      <c r="AB22" s="5"/>
      <c r="AC22" s="5"/>
      <c r="AD22" s="5"/>
      <c r="AE22" s="5"/>
      <c r="AG22" s="5"/>
      <c r="AH22" s="5"/>
      <c r="AI22" s="5"/>
      <c r="AJ22" s="5"/>
      <c r="AK22" s="5"/>
      <c r="AL22" s="5"/>
      <c r="AM22" s="5"/>
    </row>
    <row r="23" spans="1:40" x14ac:dyDescent="0.2">
      <c r="A23" s="4"/>
      <c r="B23" s="5"/>
      <c r="C23" s="5"/>
      <c r="D23" s="5"/>
      <c r="E23" s="5"/>
      <c r="F23" s="5"/>
      <c r="G23" s="5"/>
      <c r="J23" s="5"/>
      <c r="K23" s="5"/>
      <c r="L23" s="5"/>
      <c r="M23" s="5"/>
      <c r="N23" s="5"/>
      <c r="O23" s="5"/>
      <c r="Q23" s="5"/>
      <c r="R23" s="5"/>
      <c r="S23" s="5"/>
      <c r="T23" s="5"/>
      <c r="U23" s="5"/>
      <c r="V23" s="5"/>
      <c r="W23" s="5"/>
      <c r="Y23" s="5"/>
      <c r="Z23" s="5"/>
      <c r="AA23" s="5"/>
      <c r="AB23" s="5"/>
      <c r="AC23" s="5"/>
      <c r="AD23" s="5"/>
      <c r="AE23" s="5"/>
      <c r="AG23" s="5"/>
      <c r="AH23" s="5"/>
      <c r="AI23" s="5"/>
      <c r="AJ23" s="5"/>
      <c r="AK23" s="5"/>
      <c r="AL23" s="5"/>
      <c r="AM23" s="5"/>
    </row>
    <row r="24" spans="1:40" x14ac:dyDescent="0.2">
      <c r="A24" s="4"/>
      <c r="B24" s="5"/>
      <c r="C24" s="5"/>
      <c r="D24" s="5"/>
      <c r="E24" s="5"/>
      <c r="F24" s="5"/>
      <c r="G24" s="5"/>
      <c r="J24" s="5"/>
      <c r="K24" s="5"/>
      <c r="L24" s="5"/>
      <c r="M24" s="5"/>
      <c r="N24" s="5"/>
      <c r="O24" s="5"/>
      <c r="Q24" s="5"/>
      <c r="R24" s="5"/>
      <c r="S24" s="5"/>
      <c r="T24" s="5"/>
      <c r="U24" s="5"/>
      <c r="V24" s="5"/>
      <c r="W24" s="5"/>
      <c r="Y24" s="5"/>
      <c r="Z24" s="5"/>
      <c r="AA24" s="5"/>
      <c r="AB24" s="5"/>
      <c r="AC24" s="5"/>
      <c r="AD24" s="5"/>
      <c r="AE24" s="5"/>
      <c r="AG24" s="5"/>
      <c r="AH24" s="5"/>
      <c r="AI24" s="5"/>
      <c r="AJ24" s="5"/>
      <c r="AK24" s="5"/>
      <c r="AL24" s="5"/>
      <c r="AM24" s="5"/>
    </row>
    <row r="25" spans="1:40" x14ac:dyDescent="0.2">
      <c r="A25" s="4"/>
      <c r="B25" s="5"/>
      <c r="C25" s="5"/>
      <c r="D25" s="5"/>
      <c r="E25" s="5"/>
      <c r="F25" s="5"/>
      <c r="G25" s="5"/>
      <c r="J25" s="5"/>
      <c r="K25" s="5"/>
      <c r="L25" s="5"/>
      <c r="M25" s="5"/>
      <c r="N25" s="5"/>
      <c r="O25" s="5"/>
      <c r="Q25" s="5"/>
      <c r="R25" s="5"/>
      <c r="S25" s="5"/>
      <c r="T25" s="5"/>
      <c r="U25" s="5"/>
      <c r="V25" s="5"/>
      <c r="W25" s="5"/>
      <c r="Y25" s="5"/>
      <c r="Z25" s="5"/>
      <c r="AA25" s="5"/>
      <c r="AB25" s="5"/>
      <c r="AC25" s="5"/>
      <c r="AD25" s="5"/>
      <c r="AE25" s="5"/>
      <c r="AG25" s="5"/>
      <c r="AH25" s="5"/>
      <c r="AI25" s="5"/>
      <c r="AJ25" s="5"/>
      <c r="AK25" s="5"/>
      <c r="AL25" s="5"/>
      <c r="AM25" s="5"/>
    </row>
    <row r="26" spans="1:40" x14ac:dyDescent="0.2">
      <c r="A26" s="4"/>
      <c r="B26" s="5"/>
      <c r="C26" s="5"/>
      <c r="D26" s="5"/>
      <c r="E26" s="5"/>
      <c r="F26" s="5"/>
      <c r="G26" s="5"/>
      <c r="J26" s="5"/>
      <c r="K26" s="5"/>
      <c r="L26" s="5"/>
      <c r="M26" s="5"/>
      <c r="N26" s="5"/>
      <c r="O26" s="5"/>
      <c r="Q26" s="5"/>
      <c r="R26" s="5"/>
      <c r="S26" s="5"/>
      <c r="T26" s="5"/>
      <c r="U26" s="5"/>
      <c r="V26" s="5"/>
      <c r="W26" s="5"/>
      <c r="Y26" s="5"/>
      <c r="Z26" s="5"/>
      <c r="AA26" s="5"/>
      <c r="AB26" s="5"/>
      <c r="AC26" s="5"/>
      <c r="AD26" s="5"/>
      <c r="AE26" s="5"/>
      <c r="AG26" s="5"/>
      <c r="AH26" s="5"/>
      <c r="AI26" s="5"/>
      <c r="AJ26" s="5"/>
      <c r="AK26" s="5"/>
      <c r="AL26" s="5"/>
      <c r="AM26" s="5"/>
    </row>
    <row r="27" spans="1:40" x14ac:dyDescent="0.2">
      <c r="A27" s="4"/>
      <c r="B27" s="5"/>
      <c r="C27" s="5"/>
      <c r="D27" s="5"/>
      <c r="E27" s="5"/>
      <c r="F27" s="5"/>
      <c r="G27" s="5"/>
      <c r="J27" s="5"/>
      <c r="K27" s="5"/>
      <c r="L27" s="5"/>
      <c r="M27" s="5"/>
      <c r="N27" s="5"/>
      <c r="O27" s="5"/>
      <c r="Q27" s="5"/>
      <c r="R27" s="5"/>
      <c r="S27" s="5"/>
      <c r="T27" s="5"/>
      <c r="U27" s="5"/>
      <c r="V27" s="5"/>
      <c r="W27" s="5"/>
      <c r="Y27" s="5"/>
      <c r="Z27" s="5"/>
      <c r="AA27" s="5"/>
      <c r="AB27" s="5"/>
      <c r="AC27" s="5"/>
      <c r="AD27" s="5"/>
      <c r="AE27" s="5"/>
      <c r="AG27" s="5"/>
      <c r="AH27" s="5"/>
      <c r="AI27" s="5"/>
      <c r="AJ27" s="5"/>
      <c r="AK27" s="5"/>
      <c r="AL27" s="5"/>
      <c r="AM27" s="5"/>
    </row>
    <row r="28" spans="1:40" x14ac:dyDescent="0.2">
      <c r="A28" s="4"/>
      <c r="B28" s="5"/>
      <c r="C28" s="5"/>
      <c r="D28" s="5"/>
      <c r="E28" s="5"/>
      <c r="F28" s="5"/>
      <c r="G28" s="5"/>
      <c r="J28" s="5"/>
      <c r="K28" s="5"/>
      <c r="L28" s="5"/>
      <c r="M28" s="5"/>
      <c r="N28" s="5"/>
      <c r="O28" s="5"/>
      <c r="Q28" s="5"/>
      <c r="R28" s="5"/>
      <c r="S28" s="5"/>
      <c r="T28" s="5"/>
      <c r="U28" s="5"/>
      <c r="V28" s="5"/>
      <c r="W28" s="5"/>
      <c r="Y28" s="5"/>
      <c r="Z28" s="5"/>
      <c r="AA28" s="5"/>
      <c r="AB28" s="5"/>
      <c r="AC28" s="5"/>
      <c r="AD28" s="5"/>
      <c r="AE28" s="5"/>
      <c r="AG28" s="5"/>
      <c r="AH28" s="5"/>
      <c r="AI28" s="5"/>
      <c r="AJ28" s="5"/>
      <c r="AK28" s="5"/>
      <c r="AL28" s="5"/>
      <c r="AM28" s="5"/>
    </row>
    <row r="29" spans="1:40" x14ac:dyDescent="0.2">
      <c r="A29" s="4"/>
      <c r="B29" s="5"/>
      <c r="C29" s="5"/>
      <c r="D29" s="5"/>
      <c r="E29" s="5"/>
      <c r="F29" s="5"/>
      <c r="G29" s="5"/>
      <c r="J29" s="5"/>
      <c r="K29" s="5"/>
      <c r="L29" s="5"/>
      <c r="M29" s="5"/>
      <c r="N29" s="5"/>
      <c r="O29" s="5"/>
      <c r="Q29" s="5"/>
      <c r="R29" s="5"/>
      <c r="S29" s="5"/>
      <c r="T29" s="5"/>
      <c r="U29" s="5"/>
      <c r="V29" s="5"/>
      <c r="W29" s="5"/>
      <c r="Y29" s="5"/>
      <c r="Z29" s="5"/>
      <c r="AA29" s="5"/>
      <c r="AB29" s="5"/>
      <c r="AC29" s="5"/>
      <c r="AD29" s="5"/>
      <c r="AE29" s="5"/>
      <c r="AG29" s="5"/>
      <c r="AH29" s="5"/>
      <c r="AI29" s="5"/>
      <c r="AJ29" s="5"/>
      <c r="AK29" s="5"/>
      <c r="AL29" s="5"/>
      <c r="AM29" s="5"/>
    </row>
    <row r="30" spans="1:40" x14ac:dyDescent="0.2">
      <c r="A30" s="4"/>
      <c r="B30" s="5"/>
      <c r="C30" s="5"/>
      <c r="D30" s="5"/>
      <c r="E30" s="5"/>
      <c r="F30" s="5"/>
      <c r="G30" s="5"/>
      <c r="J30" s="5"/>
      <c r="K30" s="5"/>
      <c r="L30" s="5"/>
      <c r="M30" s="5"/>
      <c r="N30" s="5"/>
      <c r="O30" s="5"/>
      <c r="Q30" s="5"/>
      <c r="R30" s="5"/>
      <c r="S30" s="5"/>
      <c r="T30" s="5"/>
      <c r="U30" s="5"/>
      <c r="V30" s="5"/>
      <c r="W30" s="5"/>
      <c r="Y30" s="5"/>
      <c r="Z30" s="5"/>
      <c r="AA30" s="5"/>
      <c r="AB30" s="5"/>
      <c r="AC30" s="5"/>
      <c r="AD30" s="5"/>
      <c r="AE30" s="5"/>
      <c r="AG30" s="5"/>
      <c r="AH30" s="5"/>
      <c r="AI30" s="5"/>
      <c r="AJ30" s="5"/>
      <c r="AK30" s="5"/>
      <c r="AL30" s="5"/>
      <c r="AM30" s="5"/>
    </row>
    <row r="31" spans="1:40" x14ac:dyDescent="0.2">
      <c r="A31" s="4"/>
      <c r="B31" s="5"/>
      <c r="C31" s="5"/>
      <c r="D31" s="5"/>
      <c r="E31" s="5"/>
      <c r="F31" s="5"/>
      <c r="G31" s="5"/>
      <c r="J31" s="5"/>
      <c r="K31" s="5"/>
      <c r="L31" s="5"/>
      <c r="M31" s="5"/>
      <c r="N31" s="5"/>
      <c r="O31" s="5"/>
      <c r="Q31" s="5"/>
      <c r="R31" s="5"/>
      <c r="S31" s="5"/>
      <c r="T31" s="5"/>
      <c r="U31" s="5"/>
      <c r="V31" s="5"/>
      <c r="W31" s="5"/>
      <c r="Y31" s="5"/>
      <c r="Z31" s="5"/>
      <c r="AA31" s="5"/>
      <c r="AB31" s="5"/>
      <c r="AC31" s="5"/>
      <c r="AD31" s="5"/>
      <c r="AE31" s="5"/>
      <c r="AG31" s="5"/>
      <c r="AH31" s="5"/>
      <c r="AI31" s="5"/>
      <c r="AJ31" s="5"/>
      <c r="AK31" s="5"/>
      <c r="AL31" s="5"/>
      <c r="AM31" s="5"/>
    </row>
    <row r="32" spans="1:40" x14ac:dyDescent="0.2">
      <c r="A32" s="4"/>
      <c r="B32" s="5"/>
      <c r="C32" s="5"/>
      <c r="D32" s="5"/>
      <c r="E32" s="5"/>
      <c r="F32" s="5"/>
      <c r="G32" s="5"/>
      <c r="J32" s="5"/>
      <c r="K32" s="5"/>
      <c r="L32" s="5"/>
      <c r="M32" s="5"/>
      <c r="N32" s="5"/>
      <c r="O32" s="5"/>
      <c r="Q32" s="5"/>
      <c r="R32" s="5"/>
      <c r="S32" s="5"/>
      <c r="T32" s="5"/>
      <c r="U32" s="5"/>
      <c r="V32" s="5"/>
      <c r="W32" s="5"/>
      <c r="Y32" s="5"/>
      <c r="Z32" s="5"/>
      <c r="AA32" s="5"/>
      <c r="AB32" s="5"/>
      <c r="AC32" s="5"/>
      <c r="AD32" s="5"/>
      <c r="AE32" s="5"/>
      <c r="AG32" s="5"/>
      <c r="AH32" s="5"/>
      <c r="AI32" s="5"/>
      <c r="AJ32" s="5"/>
      <c r="AK32" s="5"/>
      <c r="AL32" s="5"/>
      <c r="AM32" s="5"/>
    </row>
    <row r="33" spans="1:40" x14ac:dyDescent="0.2">
      <c r="A33" s="4"/>
      <c r="B33" s="5"/>
      <c r="C33" s="5"/>
      <c r="D33" s="5"/>
      <c r="E33" s="5"/>
      <c r="F33" s="5"/>
      <c r="G33" s="5"/>
      <c r="J33" s="5"/>
      <c r="K33" s="5"/>
      <c r="L33" s="5"/>
      <c r="M33" s="5"/>
      <c r="N33" s="5"/>
      <c r="O33" s="5"/>
      <c r="Q33" s="5"/>
      <c r="R33" s="5"/>
      <c r="S33" s="5"/>
      <c r="T33" s="5"/>
      <c r="U33" s="5"/>
      <c r="V33" s="5"/>
      <c r="W33" s="5"/>
      <c r="Y33" s="5"/>
      <c r="Z33" s="5"/>
      <c r="AA33" s="5"/>
      <c r="AB33" s="5"/>
      <c r="AC33" s="5"/>
      <c r="AD33" s="5"/>
      <c r="AE33" s="5"/>
      <c r="AG33" s="5"/>
      <c r="AH33" s="5"/>
      <c r="AI33" s="5"/>
      <c r="AJ33" s="5"/>
      <c r="AK33" s="5"/>
      <c r="AL33" s="5"/>
      <c r="AM33" s="5"/>
    </row>
    <row r="34" spans="1:40" x14ac:dyDescent="0.2">
      <c r="A34" s="4"/>
      <c r="B34" s="5"/>
      <c r="C34" s="5"/>
      <c r="D34" s="5"/>
      <c r="E34" s="5"/>
      <c r="F34" s="5"/>
      <c r="G34" s="5"/>
      <c r="J34" s="5"/>
      <c r="K34" s="5"/>
      <c r="L34" s="5"/>
      <c r="M34" s="5"/>
      <c r="N34" s="5"/>
      <c r="O34" s="5"/>
      <c r="Q34" s="5"/>
      <c r="R34" s="5"/>
      <c r="S34" s="5"/>
      <c r="T34" s="5"/>
      <c r="U34" s="5"/>
      <c r="V34" s="5"/>
      <c r="W34" s="5"/>
      <c r="Y34" s="5"/>
      <c r="Z34" s="5"/>
      <c r="AA34" s="5"/>
      <c r="AB34" s="5"/>
      <c r="AC34" s="5"/>
      <c r="AD34" s="5"/>
      <c r="AE34" s="5"/>
      <c r="AG34" s="5"/>
      <c r="AH34" s="5"/>
      <c r="AI34" s="5"/>
      <c r="AJ34" s="5"/>
      <c r="AK34" s="5"/>
      <c r="AL34" s="5"/>
      <c r="AM34" s="5"/>
    </row>
    <row r="35" spans="1:40" x14ac:dyDescent="0.2">
      <c r="A35" s="4"/>
      <c r="B35" s="5"/>
      <c r="C35" s="5"/>
      <c r="D35" s="5"/>
      <c r="E35" s="5"/>
      <c r="F35" s="5"/>
      <c r="G35" s="5"/>
      <c r="J35" s="5"/>
      <c r="K35" s="5"/>
      <c r="L35" s="5"/>
      <c r="M35" s="5"/>
      <c r="N35" s="5"/>
      <c r="O35" s="5"/>
      <c r="Q35" s="5"/>
      <c r="R35" s="5"/>
      <c r="S35" s="5"/>
      <c r="T35" s="5"/>
      <c r="U35" s="5"/>
      <c r="V35" s="5"/>
      <c r="W35" s="5"/>
      <c r="Y35" s="5"/>
      <c r="Z35" s="5"/>
      <c r="AA35" s="5"/>
      <c r="AB35" s="5"/>
      <c r="AC35" s="5"/>
      <c r="AD35" s="5"/>
      <c r="AE35" s="5"/>
      <c r="AG35" s="5"/>
      <c r="AH35" s="5"/>
      <c r="AI35" s="5"/>
      <c r="AJ35" s="5"/>
      <c r="AK35" s="5"/>
      <c r="AL35" s="5"/>
      <c r="AM35" s="5"/>
    </row>
    <row r="36" spans="1:40" x14ac:dyDescent="0.2">
      <c r="A36" s="4"/>
      <c r="B36" s="5"/>
      <c r="C36" s="5"/>
      <c r="D36" s="5"/>
      <c r="E36" s="5"/>
      <c r="F36" s="5"/>
      <c r="G36" s="5"/>
      <c r="J36" s="5"/>
      <c r="K36" s="5"/>
      <c r="L36" s="5"/>
      <c r="M36" s="5"/>
      <c r="N36" s="5"/>
      <c r="O36" s="5"/>
      <c r="Q36" s="5"/>
      <c r="R36" s="5"/>
      <c r="S36" s="5"/>
      <c r="T36" s="5"/>
      <c r="U36" s="5"/>
      <c r="V36" s="5"/>
      <c r="W36" s="5"/>
      <c r="Y36" s="5"/>
      <c r="Z36" s="5"/>
      <c r="AA36" s="5"/>
      <c r="AB36" s="5"/>
      <c r="AC36" s="5"/>
      <c r="AD36" s="5"/>
      <c r="AE36" s="5"/>
      <c r="AG36" s="5"/>
      <c r="AH36" s="5"/>
      <c r="AI36" s="5"/>
      <c r="AJ36" s="5"/>
      <c r="AK36" s="5"/>
      <c r="AL36" s="5"/>
      <c r="AM36" s="5"/>
    </row>
    <row r="37" spans="1:40" x14ac:dyDescent="0.2">
      <c r="A37" s="4"/>
      <c r="B37" s="5"/>
      <c r="C37" s="5"/>
      <c r="D37" s="5"/>
      <c r="E37" s="5"/>
      <c r="F37" s="5"/>
      <c r="G37" s="5"/>
      <c r="J37" s="5"/>
      <c r="K37" s="5"/>
      <c r="L37" s="5"/>
      <c r="M37" s="5"/>
      <c r="N37" s="5"/>
      <c r="O37" s="5"/>
      <c r="Q37" s="5"/>
      <c r="R37" s="5"/>
      <c r="S37" s="5"/>
      <c r="T37" s="5"/>
      <c r="U37" s="5"/>
      <c r="V37" s="5"/>
      <c r="W37" s="5"/>
      <c r="Y37" s="5"/>
      <c r="Z37" s="5"/>
      <c r="AA37" s="5"/>
      <c r="AB37" s="5"/>
      <c r="AC37" s="5"/>
      <c r="AD37" s="5"/>
      <c r="AE37" s="5"/>
      <c r="AG37" s="5"/>
      <c r="AH37" s="5"/>
      <c r="AI37" s="5"/>
      <c r="AJ37" s="5"/>
      <c r="AK37" s="5"/>
      <c r="AL37" s="5"/>
      <c r="AM37" s="5"/>
    </row>
    <row r="38" spans="1:40" s="6" customFormat="1" ht="13.5" thickBot="1" x14ac:dyDescent="0.25">
      <c r="A38" s="8"/>
      <c r="H38" s="7"/>
      <c r="I38" s="8"/>
      <c r="P38" s="7"/>
      <c r="X38" s="7"/>
      <c r="AF38" s="7"/>
      <c r="AN38" s="7"/>
    </row>
    <row r="39" spans="1:40" s="10" customFormat="1" x14ac:dyDescent="0.2">
      <c r="A39" s="9"/>
      <c r="H39" s="11"/>
      <c r="I39" s="9"/>
      <c r="P39" s="11"/>
      <c r="X39" s="11"/>
      <c r="AF39" s="11"/>
      <c r="AN39" s="11"/>
    </row>
    <row r="40" spans="1:40" ht="13.5" thickBot="1" x14ac:dyDescent="0.25">
      <c r="A40" s="4"/>
      <c r="B40" s="5"/>
      <c r="C40" s="5"/>
      <c r="D40" s="1" t="str">
        <f>'Point Estimates'!A15</f>
        <v>Pa - Baixo Amazonas</v>
      </c>
      <c r="E40" s="1" t="str">
        <f>'Point Estimates'!$B$5</f>
        <v>desl</v>
      </c>
      <c r="F40" s="5"/>
      <c r="G40" s="5"/>
      <c r="J40" s="5"/>
      <c r="K40" s="5"/>
      <c r="L40" s="1" t="str">
        <f>'Point Estimates'!A16</f>
        <v>Pa - Marajo</v>
      </c>
      <c r="M40" s="1" t="str">
        <f>'Point Estimates'!$B$5</f>
        <v>desl</v>
      </c>
      <c r="N40" s="5"/>
      <c r="O40" s="5"/>
      <c r="Q40" s="5"/>
      <c r="R40" s="5"/>
      <c r="S40" s="5"/>
      <c r="T40" s="1" t="str">
        <f>'Point Estimates'!A17</f>
        <v>Pa - Metropol de Belem</v>
      </c>
      <c r="U40" s="1" t="str">
        <f>'Point Estimates'!$B$5</f>
        <v>desl</v>
      </c>
      <c r="V40" s="5"/>
      <c r="W40" s="5"/>
      <c r="Y40" s="5"/>
      <c r="Z40" s="5"/>
      <c r="AA40" s="5"/>
      <c r="AB40" s="1" t="str">
        <f>'Point Estimates'!A18</f>
        <v>Pa - Nordeste Paraense</v>
      </c>
      <c r="AC40" s="1" t="str">
        <f>'Point Estimates'!$B$5</f>
        <v>desl</v>
      </c>
      <c r="AD40" s="5"/>
      <c r="AE40" s="5"/>
      <c r="AG40" s="5"/>
      <c r="AH40" s="5"/>
      <c r="AI40" s="5"/>
      <c r="AJ40" s="1" t="str">
        <f>'Point Estimates'!A19</f>
        <v>Pa - Sudoeste Paraense</v>
      </c>
      <c r="AK40" s="1" t="str">
        <f>'Point Estimates'!$B$5</f>
        <v>desl</v>
      </c>
      <c r="AL40" s="5"/>
      <c r="AM40" s="5"/>
    </row>
    <row r="41" spans="1:40" x14ac:dyDescent="0.2">
      <c r="A41" s="4"/>
      <c r="B41" s="5"/>
      <c r="C41" s="5"/>
      <c r="D41" s="5"/>
      <c r="E41" s="5"/>
      <c r="F41" s="5"/>
      <c r="G41" s="5"/>
      <c r="J41" s="5"/>
      <c r="K41" s="5"/>
      <c r="L41" s="5"/>
      <c r="M41" s="5"/>
      <c r="N41" s="5"/>
      <c r="O41" s="5"/>
      <c r="Q41" s="5"/>
      <c r="R41" s="5"/>
      <c r="S41" s="5"/>
      <c r="T41" s="5"/>
      <c r="U41" s="5"/>
      <c r="V41" s="5"/>
      <c r="W41" s="5"/>
      <c r="Y41" s="5"/>
      <c r="Z41" s="5"/>
      <c r="AA41" s="5"/>
      <c r="AB41" s="5"/>
      <c r="AC41" s="5"/>
      <c r="AD41" s="5"/>
      <c r="AE41" s="5"/>
      <c r="AG41" s="5"/>
      <c r="AH41" s="5"/>
      <c r="AI41" s="5"/>
      <c r="AJ41" s="5"/>
      <c r="AK41" s="5"/>
      <c r="AL41" s="5"/>
      <c r="AM41" s="5"/>
    </row>
    <row r="42" spans="1:40" x14ac:dyDescent="0.2">
      <c r="A42" s="4"/>
      <c r="B42" s="5"/>
      <c r="C42" s="5"/>
      <c r="D42" s="5"/>
      <c r="E42" s="5"/>
      <c r="F42" s="5"/>
      <c r="G42" s="5"/>
      <c r="J42" s="5"/>
      <c r="K42" s="5"/>
      <c r="L42" s="5"/>
      <c r="M42" s="5"/>
      <c r="N42" s="5"/>
      <c r="O42" s="5"/>
      <c r="Q42" s="5"/>
      <c r="R42" s="5"/>
      <c r="S42" s="5"/>
      <c r="T42" s="5"/>
      <c r="U42" s="5"/>
      <c r="V42" s="5"/>
      <c r="W42" s="5"/>
      <c r="Y42" s="5"/>
      <c r="Z42" s="5"/>
      <c r="AA42" s="5"/>
      <c r="AB42" s="5"/>
      <c r="AC42" s="5"/>
      <c r="AD42" s="5"/>
      <c r="AE42" s="5"/>
      <c r="AG42" s="5"/>
      <c r="AH42" s="5"/>
      <c r="AI42" s="5"/>
      <c r="AJ42" s="5"/>
      <c r="AK42" s="5"/>
      <c r="AL42" s="5"/>
      <c r="AM42" s="5"/>
    </row>
    <row r="43" spans="1:40" x14ac:dyDescent="0.2">
      <c r="A43" s="4"/>
      <c r="B43" s="5"/>
      <c r="C43" s="5"/>
      <c r="D43" s="5"/>
      <c r="E43" s="5"/>
      <c r="F43" s="5"/>
      <c r="G43" s="5"/>
      <c r="J43" s="5"/>
      <c r="K43" s="5"/>
      <c r="L43" s="5"/>
      <c r="M43" s="5"/>
      <c r="N43" s="5"/>
      <c r="O43" s="5"/>
      <c r="Q43" s="5"/>
      <c r="R43" s="5"/>
      <c r="S43" s="5"/>
      <c r="T43" s="5"/>
      <c r="U43" s="5"/>
      <c r="V43" s="5"/>
      <c r="W43" s="5"/>
      <c r="Y43" s="5"/>
      <c r="Z43" s="5"/>
      <c r="AA43" s="5"/>
      <c r="AB43" s="5"/>
      <c r="AC43" s="5"/>
      <c r="AD43" s="5"/>
      <c r="AE43" s="5"/>
      <c r="AG43" s="5"/>
      <c r="AH43" s="5"/>
      <c r="AI43" s="5"/>
      <c r="AJ43" s="5"/>
      <c r="AK43" s="5"/>
      <c r="AL43" s="5"/>
      <c r="AM43" s="5"/>
    </row>
    <row r="44" spans="1:40" x14ac:dyDescent="0.2">
      <c r="A44" s="4"/>
      <c r="B44" s="5"/>
      <c r="C44" s="5"/>
      <c r="D44" s="5"/>
      <c r="E44" s="5"/>
      <c r="F44" s="5"/>
      <c r="G44" s="5"/>
      <c r="J44" s="5"/>
      <c r="K44" s="5"/>
      <c r="L44" s="5"/>
      <c r="M44" s="5"/>
      <c r="N44" s="5"/>
      <c r="O44" s="5"/>
      <c r="Q44" s="5"/>
      <c r="R44" s="5"/>
      <c r="S44" s="5"/>
      <c r="T44" s="5"/>
      <c r="U44" s="5"/>
      <c r="V44" s="5"/>
      <c r="W44" s="5"/>
      <c r="Y44" s="5"/>
      <c r="Z44" s="5"/>
      <c r="AA44" s="5"/>
      <c r="AB44" s="5"/>
      <c r="AC44" s="5"/>
      <c r="AD44" s="5"/>
      <c r="AE44" s="5"/>
      <c r="AG44" s="5"/>
      <c r="AH44" s="5"/>
      <c r="AI44" s="5"/>
      <c r="AJ44" s="5"/>
      <c r="AK44" s="5"/>
      <c r="AL44" s="5"/>
      <c r="AM44" s="5"/>
    </row>
    <row r="45" spans="1:40" x14ac:dyDescent="0.2">
      <c r="A45" s="4"/>
      <c r="B45" s="5"/>
      <c r="C45" s="5"/>
      <c r="D45" s="5"/>
      <c r="E45" s="5"/>
      <c r="F45" s="5"/>
      <c r="G45" s="5"/>
      <c r="J45" s="5"/>
      <c r="K45" s="5"/>
      <c r="L45" s="5"/>
      <c r="M45" s="5"/>
      <c r="N45" s="5"/>
      <c r="O45" s="5"/>
      <c r="Q45" s="5"/>
      <c r="R45" s="5"/>
      <c r="S45" s="5"/>
      <c r="T45" s="5"/>
      <c r="U45" s="5"/>
      <c r="V45" s="5"/>
      <c r="W45" s="5"/>
      <c r="Y45" s="5"/>
      <c r="Z45" s="5"/>
      <c r="AA45" s="5"/>
      <c r="AB45" s="5"/>
      <c r="AC45" s="5"/>
      <c r="AD45" s="5"/>
      <c r="AE45" s="5"/>
      <c r="AG45" s="5"/>
      <c r="AH45" s="5"/>
      <c r="AI45" s="5"/>
      <c r="AJ45" s="5"/>
      <c r="AK45" s="5"/>
      <c r="AL45" s="5"/>
      <c r="AM45" s="5"/>
    </row>
    <row r="46" spans="1:40" x14ac:dyDescent="0.2">
      <c r="A46" s="4"/>
      <c r="B46" s="5"/>
      <c r="C46" s="5"/>
      <c r="D46" s="5"/>
      <c r="E46" s="5"/>
      <c r="F46" s="5"/>
      <c r="G46" s="5"/>
      <c r="J46" s="5"/>
      <c r="K46" s="5"/>
      <c r="L46" s="5"/>
      <c r="M46" s="5"/>
      <c r="N46" s="5"/>
      <c r="O46" s="5"/>
      <c r="Q46" s="5"/>
      <c r="R46" s="5"/>
      <c r="S46" s="5"/>
      <c r="T46" s="5"/>
      <c r="U46" s="5"/>
      <c r="V46" s="5"/>
      <c r="W46" s="5"/>
      <c r="Y46" s="5"/>
      <c r="Z46" s="5"/>
      <c r="AA46" s="5"/>
      <c r="AB46" s="5"/>
      <c r="AC46" s="5"/>
      <c r="AD46" s="5"/>
      <c r="AE46" s="5"/>
      <c r="AG46" s="5"/>
      <c r="AH46" s="5"/>
      <c r="AI46" s="5"/>
      <c r="AJ46" s="5"/>
      <c r="AK46" s="5"/>
      <c r="AL46" s="5"/>
      <c r="AM46" s="5"/>
    </row>
    <row r="47" spans="1:40" x14ac:dyDescent="0.2">
      <c r="A47" s="4"/>
      <c r="B47" s="5"/>
      <c r="C47" s="5"/>
      <c r="D47" s="5"/>
      <c r="E47" s="5"/>
      <c r="F47" s="5"/>
      <c r="G47" s="5"/>
      <c r="J47" s="5"/>
      <c r="K47" s="5"/>
      <c r="L47" s="5"/>
      <c r="M47" s="5"/>
      <c r="N47" s="5"/>
      <c r="O47" s="5"/>
      <c r="Q47" s="5"/>
      <c r="R47" s="5"/>
      <c r="S47" s="5"/>
      <c r="T47" s="5"/>
      <c r="U47" s="5"/>
      <c r="V47" s="5"/>
      <c r="W47" s="5"/>
      <c r="Y47" s="5"/>
      <c r="Z47" s="5"/>
      <c r="AA47" s="5"/>
      <c r="AB47" s="5"/>
      <c r="AC47" s="5"/>
      <c r="AD47" s="5"/>
      <c r="AE47" s="5"/>
      <c r="AG47" s="5"/>
      <c r="AH47" s="5"/>
      <c r="AI47" s="5"/>
      <c r="AJ47" s="5"/>
      <c r="AK47" s="5"/>
      <c r="AL47" s="5"/>
      <c r="AM47" s="5"/>
    </row>
    <row r="48" spans="1:40" x14ac:dyDescent="0.2">
      <c r="A48" s="4"/>
      <c r="B48" s="5"/>
      <c r="C48" s="5"/>
      <c r="D48" s="5"/>
      <c r="E48" s="5"/>
      <c r="F48" s="5"/>
      <c r="G48" s="5"/>
      <c r="J48" s="5"/>
      <c r="K48" s="5"/>
      <c r="L48" s="5"/>
      <c r="M48" s="5"/>
      <c r="N48" s="5"/>
      <c r="O48" s="5"/>
      <c r="Q48" s="5"/>
      <c r="R48" s="5"/>
      <c r="S48" s="5"/>
      <c r="T48" s="5"/>
      <c r="U48" s="5"/>
      <c r="V48" s="5"/>
      <c r="W48" s="5"/>
      <c r="Y48" s="5"/>
      <c r="Z48" s="5"/>
      <c r="AA48" s="5"/>
      <c r="AB48" s="5"/>
      <c r="AC48" s="5"/>
      <c r="AD48" s="5"/>
      <c r="AE48" s="5"/>
      <c r="AG48" s="5"/>
      <c r="AH48" s="5"/>
      <c r="AI48" s="5"/>
      <c r="AJ48" s="5"/>
      <c r="AK48" s="5"/>
      <c r="AL48" s="5"/>
      <c r="AM48" s="5"/>
    </row>
    <row r="49" spans="1:40" x14ac:dyDescent="0.2">
      <c r="A49" s="4"/>
      <c r="B49" s="5"/>
      <c r="C49" s="5"/>
      <c r="D49" s="5"/>
      <c r="E49" s="5"/>
      <c r="F49" s="5"/>
      <c r="G49" s="5"/>
      <c r="J49" s="5"/>
      <c r="K49" s="5"/>
      <c r="L49" s="5"/>
      <c r="M49" s="5"/>
      <c r="N49" s="5"/>
      <c r="O49" s="5"/>
      <c r="Q49" s="5"/>
      <c r="R49" s="5"/>
      <c r="S49" s="5"/>
      <c r="T49" s="5"/>
      <c r="U49" s="5"/>
      <c r="V49" s="5"/>
      <c r="W49" s="5"/>
      <c r="Y49" s="5"/>
      <c r="Z49" s="5"/>
      <c r="AA49" s="5"/>
      <c r="AB49" s="5"/>
      <c r="AC49" s="5"/>
      <c r="AD49" s="5"/>
      <c r="AE49" s="5"/>
      <c r="AG49" s="5"/>
      <c r="AH49" s="5"/>
      <c r="AI49" s="5"/>
      <c r="AJ49" s="5"/>
      <c r="AK49" s="5"/>
      <c r="AL49" s="5"/>
      <c r="AM49" s="5"/>
    </row>
    <row r="50" spans="1:40" x14ac:dyDescent="0.2">
      <c r="A50" s="4"/>
      <c r="B50" s="5"/>
      <c r="C50" s="5"/>
      <c r="D50" s="5"/>
      <c r="E50" s="5"/>
      <c r="F50" s="5"/>
      <c r="G50" s="5"/>
      <c r="J50" s="5"/>
      <c r="K50" s="5"/>
      <c r="L50" s="5"/>
      <c r="M50" s="5"/>
      <c r="N50" s="5"/>
      <c r="O50" s="5"/>
      <c r="Q50" s="5"/>
      <c r="R50" s="5"/>
      <c r="S50" s="5"/>
      <c r="T50" s="5"/>
      <c r="U50" s="5"/>
      <c r="V50" s="5"/>
      <c r="W50" s="5"/>
      <c r="Y50" s="5"/>
      <c r="Z50" s="5"/>
      <c r="AA50" s="5"/>
      <c r="AB50" s="5"/>
      <c r="AC50" s="5"/>
      <c r="AD50" s="5"/>
      <c r="AE50" s="5"/>
      <c r="AG50" s="5"/>
      <c r="AH50" s="5"/>
      <c r="AI50" s="5"/>
      <c r="AJ50" s="5"/>
      <c r="AK50" s="5"/>
      <c r="AL50" s="5"/>
      <c r="AM50" s="5"/>
    </row>
    <row r="51" spans="1:40" x14ac:dyDescent="0.2">
      <c r="A51" s="4"/>
      <c r="B51" s="5"/>
      <c r="C51" s="5"/>
      <c r="D51" s="5"/>
      <c r="E51" s="5"/>
      <c r="F51" s="5"/>
      <c r="G51" s="5"/>
      <c r="J51" s="5"/>
      <c r="K51" s="5"/>
      <c r="L51" s="5"/>
      <c r="M51" s="5"/>
      <c r="N51" s="5"/>
      <c r="O51" s="5"/>
      <c r="Q51" s="5"/>
      <c r="R51" s="5"/>
      <c r="S51" s="5"/>
      <c r="T51" s="5"/>
      <c r="U51" s="5"/>
      <c r="V51" s="5"/>
      <c r="W51" s="5"/>
      <c r="Y51" s="5"/>
      <c r="Z51" s="5"/>
      <c r="AA51" s="5"/>
      <c r="AB51" s="5"/>
      <c r="AC51" s="5"/>
      <c r="AD51" s="5"/>
      <c r="AE51" s="5"/>
      <c r="AG51" s="5"/>
      <c r="AH51" s="5"/>
      <c r="AI51" s="5"/>
      <c r="AJ51" s="5"/>
      <c r="AK51" s="5"/>
      <c r="AL51" s="5"/>
      <c r="AM51" s="5"/>
    </row>
    <row r="52" spans="1:40" x14ac:dyDescent="0.2">
      <c r="A52" s="4"/>
      <c r="B52" s="5"/>
      <c r="C52" s="5"/>
      <c r="D52" s="5"/>
      <c r="E52" s="5"/>
      <c r="F52" s="5"/>
      <c r="G52" s="5"/>
      <c r="J52" s="5"/>
      <c r="K52" s="5"/>
      <c r="L52" s="5"/>
      <c r="M52" s="5"/>
      <c r="N52" s="5"/>
      <c r="O52" s="5"/>
      <c r="Q52" s="5"/>
      <c r="R52" s="5"/>
      <c r="S52" s="5"/>
      <c r="T52" s="5"/>
      <c r="U52" s="5"/>
      <c r="V52" s="5"/>
      <c r="W52" s="5"/>
      <c r="Y52" s="5"/>
      <c r="Z52" s="5"/>
      <c r="AA52" s="5"/>
      <c r="AB52" s="5"/>
      <c r="AC52" s="5"/>
      <c r="AD52" s="5"/>
      <c r="AE52" s="5"/>
      <c r="AG52" s="5"/>
      <c r="AH52" s="5"/>
      <c r="AI52" s="5"/>
      <c r="AJ52" s="5"/>
      <c r="AK52" s="5"/>
      <c r="AL52" s="5"/>
      <c r="AM52" s="5"/>
    </row>
    <row r="53" spans="1:40" x14ac:dyDescent="0.2">
      <c r="A53" s="4"/>
      <c r="B53" s="5"/>
      <c r="C53" s="5"/>
      <c r="D53" s="5"/>
      <c r="E53" s="5"/>
      <c r="F53" s="5"/>
      <c r="G53" s="5"/>
      <c r="J53" s="5"/>
      <c r="K53" s="5"/>
      <c r="L53" s="5"/>
      <c r="M53" s="5"/>
      <c r="N53" s="5"/>
      <c r="O53" s="5"/>
      <c r="Q53" s="5"/>
      <c r="R53" s="5"/>
      <c r="S53" s="5"/>
      <c r="T53" s="5"/>
      <c r="U53" s="5"/>
      <c r="V53" s="5"/>
      <c r="W53" s="5"/>
      <c r="Y53" s="5"/>
      <c r="Z53" s="5"/>
      <c r="AA53" s="5"/>
      <c r="AB53" s="5"/>
      <c r="AC53" s="5"/>
      <c r="AD53" s="5"/>
      <c r="AE53" s="5"/>
      <c r="AG53" s="5"/>
      <c r="AH53" s="5"/>
      <c r="AI53" s="5"/>
      <c r="AJ53" s="5"/>
      <c r="AK53" s="5"/>
      <c r="AL53" s="5"/>
      <c r="AM53" s="5"/>
    </row>
    <row r="54" spans="1:40" x14ac:dyDescent="0.2">
      <c r="A54" s="4"/>
      <c r="B54" s="5"/>
      <c r="C54" s="5"/>
      <c r="D54" s="5"/>
      <c r="E54" s="5"/>
      <c r="F54" s="5"/>
      <c r="G54" s="5"/>
      <c r="J54" s="5"/>
      <c r="K54" s="5"/>
      <c r="L54" s="5"/>
      <c r="M54" s="5"/>
      <c r="N54" s="5"/>
      <c r="O54" s="5"/>
      <c r="Q54" s="5"/>
      <c r="R54" s="5"/>
      <c r="S54" s="5"/>
      <c r="T54" s="5"/>
      <c r="U54" s="5"/>
      <c r="V54" s="5"/>
      <c r="W54" s="5"/>
      <c r="Y54" s="5"/>
      <c r="Z54" s="5"/>
      <c r="AA54" s="5"/>
      <c r="AB54" s="5"/>
      <c r="AC54" s="5"/>
      <c r="AD54" s="5"/>
      <c r="AE54" s="5"/>
      <c r="AG54" s="5"/>
      <c r="AH54" s="5"/>
      <c r="AI54" s="5"/>
      <c r="AJ54" s="5"/>
      <c r="AK54" s="5"/>
      <c r="AL54" s="5"/>
      <c r="AM54" s="5"/>
    </row>
    <row r="55" spans="1:40" x14ac:dyDescent="0.2">
      <c r="A55" s="4"/>
      <c r="B55" s="5"/>
      <c r="C55" s="5"/>
      <c r="D55" s="5"/>
      <c r="E55" s="5"/>
      <c r="F55" s="5"/>
      <c r="G55" s="5"/>
      <c r="J55" s="5"/>
      <c r="K55" s="5"/>
      <c r="L55" s="5"/>
      <c r="M55" s="5"/>
      <c r="N55" s="5"/>
      <c r="O55" s="5"/>
      <c r="Q55" s="5"/>
      <c r="R55" s="5"/>
      <c r="S55" s="5"/>
      <c r="T55" s="5"/>
      <c r="U55" s="5"/>
      <c r="V55" s="5"/>
      <c r="W55" s="5"/>
      <c r="Y55" s="5"/>
      <c r="Z55" s="5"/>
      <c r="AA55" s="5"/>
      <c r="AB55" s="5"/>
      <c r="AC55" s="5"/>
      <c r="AD55" s="5"/>
      <c r="AE55" s="5"/>
      <c r="AG55" s="5"/>
      <c r="AH55" s="5"/>
      <c r="AI55" s="5"/>
      <c r="AJ55" s="5"/>
      <c r="AK55" s="5"/>
      <c r="AL55" s="5"/>
      <c r="AM55" s="5"/>
    </row>
    <row r="56" spans="1:40" x14ac:dyDescent="0.2">
      <c r="A56" s="4"/>
      <c r="B56" s="5"/>
      <c r="C56" s="5"/>
      <c r="D56" s="5"/>
      <c r="E56" s="5"/>
      <c r="F56" s="5"/>
      <c r="G56" s="5"/>
      <c r="J56" s="5"/>
      <c r="K56" s="5"/>
      <c r="L56" s="5"/>
      <c r="M56" s="5"/>
      <c r="N56" s="5"/>
      <c r="O56" s="5"/>
      <c r="Q56" s="5"/>
      <c r="R56" s="5"/>
      <c r="S56" s="5"/>
      <c r="T56" s="5"/>
      <c r="U56" s="5"/>
      <c r="V56" s="5"/>
      <c r="W56" s="5"/>
      <c r="Y56" s="5"/>
      <c r="Z56" s="5"/>
      <c r="AA56" s="5"/>
      <c r="AB56" s="5"/>
      <c r="AC56" s="5"/>
      <c r="AD56" s="5"/>
      <c r="AE56" s="5"/>
      <c r="AG56" s="5"/>
      <c r="AH56" s="5"/>
      <c r="AI56" s="5"/>
      <c r="AJ56" s="5"/>
      <c r="AK56" s="5"/>
      <c r="AL56" s="5"/>
      <c r="AM56" s="5"/>
    </row>
    <row r="57" spans="1:40" s="6" customFormat="1" ht="13.5" thickBot="1" x14ac:dyDescent="0.25">
      <c r="A57" s="8"/>
      <c r="H57" s="7"/>
      <c r="I57" s="8"/>
      <c r="P57" s="7"/>
      <c r="X57" s="7"/>
      <c r="AF57" s="7"/>
      <c r="AN57" s="7"/>
    </row>
    <row r="58" spans="1:40" s="10" customFormat="1" x14ac:dyDescent="0.2">
      <c r="A58" s="9"/>
      <c r="H58" s="11"/>
      <c r="I58" s="9"/>
      <c r="P58" s="11"/>
      <c r="X58" s="11"/>
      <c r="AF58" s="11"/>
      <c r="AN58" s="11"/>
    </row>
    <row r="59" spans="1:40" ht="13.5" thickBot="1" x14ac:dyDescent="0.25">
      <c r="A59" s="4"/>
      <c r="B59" s="5"/>
      <c r="C59" s="5"/>
      <c r="D59" s="1" t="str">
        <f>'Point Estimates'!A20</f>
        <v>Pa - Sudeste Paraense</v>
      </c>
      <c r="E59" s="1" t="str">
        <f>'Point Estimates'!$B$5</f>
        <v>desl</v>
      </c>
      <c r="F59" s="5"/>
      <c r="G59" s="5"/>
      <c r="J59" s="5"/>
      <c r="K59" s="5"/>
      <c r="L59" s="1" t="str">
        <f>'Point Estimates'!A21</f>
        <v>Ap - Norte do Amapa</v>
      </c>
      <c r="M59" s="1" t="str">
        <f>'Point Estimates'!$B$5</f>
        <v>desl</v>
      </c>
      <c r="N59" s="5"/>
      <c r="O59" s="5"/>
      <c r="Q59" s="5"/>
      <c r="R59" s="5"/>
      <c r="S59" s="5"/>
      <c r="T59" s="1" t="str">
        <f>'Point Estimates'!A22</f>
        <v>Ap - Sul do Amapa</v>
      </c>
      <c r="U59" s="1" t="str">
        <f>'Point Estimates'!$B$5</f>
        <v>desl</v>
      </c>
      <c r="V59" s="5"/>
      <c r="W59" s="5"/>
      <c r="Y59" s="5"/>
      <c r="Z59" s="5"/>
      <c r="AA59" s="5"/>
      <c r="AB59" s="1" t="str">
        <f>'Point Estimates'!A23</f>
        <v>To - Ocidental do TO</v>
      </c>
      <c r="AC59" s="1" t="str">
        <f>'Point Estimates'!$B$5</f>
        <v>desl</v>
      </c>
      <c r="AD59" s="5"/>
      <c r="AE59" s="5"/>
      <c r="AG59" s="5"/>
      <c r="AH59" s="5"/>
      <c r="AI59" s="5"/>
      <c r="AJ59" s="1" t="str">
        <f>'Point Estimates'!A24</f>
        <v>To - Oriental do TO</v>
      </c>
      <c r="AK59" s="1" t="str">
        <f>'Point Estimates'!$B$5</f>
        <v>desl</v>
      </c>
      <c r="AL59" s="5"/>
      <c r="AM59" s="5"/>
    </row>
    <row r="60" spans="1:40" x14ac:dyDescent="0.2">
      <c r="A60" s="4"/>
      <c r="B60" s="5"/>
      <c r="C60" s="5"/>
      <c r="D60" s="5"/>
      <c r="E60" s="5"/>
      <c r="F60" s="5"/>
      <c r="G60" s="5"/>
      <c r="J60" s="5"/>
      <c r="K60" s="5"/>
      <c r="L60" s="5"/>
      <c r="M60" s="5"/>
      <c r="N60" s="5"/>
      <c r="O60" s="5"/>
      <c r="Q60" s="5"/>
      <c r="R60" s="5"/>
      <c r="S60" s="5"/>
      <c r="T60" s="5"/>
      <c r="U60" s="5"/>
      <c r="V60" s="5"/>
      <c r="W60" s="5"/>
      <c r="Y60" s="5"/>
      <c r="Z60" s="5"/>
      <c r="AA60" s="5"/>
      <c r="AB60" s="5"/>
      <c r="AC60" s="5"/>
      <c r="AD60" s="5"/>
      <c r="AE60" s="5"/>
      <c r="AG60" s="5"/>
      <c r="AH60" s="5"/>
      <c r="AI60" s="5"/>
      <c r="AJ60" s="5"/>
      <c r="AK60" s="5"/>
      <c r="AL60" s="5"/>
      <c r="AM60" s="5"/>
    </row>
    <row r="61" spans="1:40" x14ac:dyDescent="0.2">
      <c r="A61" s="4"/>
      <c r="B61" s="5"/>
      <c r="C61" s="5"/>
      <c r="D61" s="5"/>
      <c r="E61" s="5"/>
      <c r="F61" s="5"/>
      <c r="G61" s="5"/>
      <c r="J61" s="5"/>
      <c r="K61" s="5"/>
      <c r="L61" s="5"/>
      <c r="M61" s="5"/>
      <c r="N61" s="5"/>
      <c r="O61" s="5"/>
      <c r="Q61" s="5"/>
      <c r="R61" s="5"/>
      <c r="S61" s="5"/>
      <c r="T61" s="5"/>
      <c r="U61" s="5"/>
      <c r="V61" s="5"/>
      <c r="W61" s="5"/>
      <c r="Y61" s="5"/>
      <c r="Z61" s="5"/>
      <c r="AA61" s="5"/>
      <c r="AB61" s="5"/>
      <c r="AC61" s="5"/>
      <c r="AD61" s="5"/>
      <c r="AE61" s="5"/>
      <c r="AG61" s="5"/>
      <c r="AH61" s="5"/>
      <c r="AI61" s="5"/>
      <c r="AJ61" s="5"/>
      <c r="AK61" s="5"/>
      <c r="AL61" s="5"/>
      <c r="AM61" s="5"/>
    </row>
    <row r="62" spans="1:40" x14ac:dyDescent="0.2">
      <c r="A62" s="4"/>
      <c r="B62" s="5"/>
      <c r="C62" s="5"/>
      <c r="D62" s="5"/>
      <c r="E62" s="5"/>
      <c r="F62" s="5"/>
      <c r="G62" s="5"/>
      <c r="J62" s="5"/>
      <c r="K62" s="5"/>
      <c r="L62" s="5"/>
      <c r="M62" s="5"/>
      <c r="N62" s="5"/>
      <c r="O62" s="5"/>
      <c r="Q62" s="5"/>
      <c r="R62" s="5"/>
      <c r="S62" s="5"/>
      <c r="T62" s="5"/>
      <c r="U62" s="5"/>
      <c r="V62" s="5"/>
      <c r="W62" s="5"/>
      <c r="Y62" s="5"/>
      <c r="Z62" s="5"/>
      <c r="AA62" s="5"/>
      <c r="AB62" s="5"/>
      <c r="AC62" s="5"/>
      <c r="AD62" s="5"/>
      <c r="AE62" s="5"/>
      <c r="AG62" s="5"/>
      <c r="AH62" s="5"/>
      <c r="AI62" s="5"/>
      <c r="AJ62" s="5"/>
      <c r="AK62" s="5"/>
      <c r="AL62" s="5"/>
      <c r="AM62" s="5"/>
    </row>
    <row r="63" spans="1:40" x14ac:dyDescent="0.2">
      <c r="A63" s="4"/>
      <c r="B63" s="5"/>
      <c r="C63" s="5"/>
      <c r="D63" s="5"/>
      <c r="E63" s="5"/>
      <c r="F63" s="5"/>
      <c r="G63" s="5"/>
      <c r="J63" s="5"/>
      <c r="K63" s="5"/>
      <c r="L63" s="5"/>
      <c r="M63" s="5"/>
      <c r="N63" s="5"/>
      <c r="O63" s="5"/>
      <c r="Q63" s="5"/>
      <c r="R63" s="5"/>
      <c r="S63" s="5"/>
      <c r="T63" s="5"/>
      <c r="U63" s="5"/>
      <c r="V63" s="5"/>
      <c r="W63" s="5"/>
      <c r="Y63" s="5"/>
      <c r="Z63" s="5"/>
      <c r="AA63" s="5"/>
      <c r="AB63" s="5"/>
      <c r="AC63" s="5"/>
      <c r="AD63" s="5"/>
      <c r="AE63" s="5"/>
      <c r="AG63" s="5"/>
      <c r="AH63" s="5"/>
      <c r="AI63" s="5"/>
      <c r="AJ63" s="5"/>
      <c r="AK63" s="5"/>
      <c r="AL63" s="5"/>
      <c r="AM63" s="5"/>
    </row>
    <row r="64" spans="1:40" x14ac:dyDescent="0.2">
      <c r="A64" s="4"/>
      <c r="B64" s="5"/>
      <c r="C64" s="5"/>
      <c r="D64" s="5"/>
      <c r="E64" s="5"/>
      <c r="F64" s="5"/>
      <c r="G64" s="5"/>
      <c r="J64" s="5"/>
      <c r="K64" s="5"/>
      <c r="L64" s="5"/>
      <c r="M64" s="5"/>
      <c r="N64" s="5"/>
      <c r="O64" s="5"/>
      <c r="Q64" s="5"/>
      <c r="R64" s="5"/>
      <c r="S64" s="5"/>
      <c r="T64" s="5"/>
      <c r="U64" s="5"/>
      <c r="V64" s="5"/>
      <c r="W64" s="5"/>
      <c r="Y64" s="5"/>
      <c r="Z64" s="5"/>
      <c r="AA64" s="5"/>
      <c r="AB64" s="5"/>
      <c r="AC64" s="5"/>
      <c r="AD64" s="5"/>
      <c r="AE64" s="5"/>
      <c r="AG64" s="5"/>
      <c r="AH64" s="5"/>
      <c r="AI64" s="5"/>
      <c r="AJ64" s="5"/>
      <c r="AK64" s="5"/>
      <c r="AL64" s="5"/>
      <c r="AM64" s="5"/>
    </row>
    <row r="65" spans="1:40" x14ac:dyDescent="0.2">
      <c r="A65" s="4"/>
      <c r="B65" s="5"/>
      <c r="C65" s="5"/>
      <c r="D65" s="5"/>
      <c r="E65" s="5"/>
      <c r="F65" s="5"/>
      <c r="G65" s="5"/>
      <c r="J65" s="5"/>
      <c r="K65" s="5"/>
      <c r="L65" s="5"/>
      <c r="M65" s="5"/>
      <c r="N65" s="5"/>
      <c r="O65" s="5"/>
      <c r="Q65" s="5"/>
      <c r="R65" s="5"/>
      <c r="S65" s="5"/>
      <c r="T65" s="5"/>
      <c r="U65" s="5"/>
      <c r="V65" s="5"/>
      <c r="W65" s="5"/>
      <c r="Y65" s="5"/>
      <c r="Z65" s="5"/>
      <c r="AA65" s="5"/>
      <c r="AB65" s="5"/>
      <c r="AC65" s="5"/>
      <c r="AD65" s="5"/>
      <c r="AE65" s="5"/>
      <c r="AG65" s="5"/>
      <c r="AH65" s="5"/>
      <c r="AI65" s="5"/>
      <c r="AJ65" s="5"/>
      <c r="AK65" s="5"/>
      <c r="AL65" s="5"/>
      <c r="AM65" s="5"/>
    </row>
    <row r="66" spans="1:40" x14ac:dyDescent="0.2">
      <c r="A66" s="4"/>
      <c r="B66" s="5"/>
      <c r="C66" s="5"/>
      <c r="D66" s="5"/>
      <c r="E66" s="5"/>
      <c r="F66" s="5"/>
      <c r="G66" s="5"/>
      <c r="J66" s="5"/>
      <c r="K66" s="5"/>
      <c r="L66" s="5"/>
      <c r="M66" s="5"/>
      <c r="N66" s="5"/>
      <c r="O66" s="5"/>
      <c r="Q66" s="5"/>
      <c r="R66" s="5"/>
      <c r="S66" s="5"/>
      <c r="T66" s="5"/>
      <c r="U66" s="5"/>
      <c r="V66" s="5"/>
      <c r="W66" s="5"/>
      <c r="Y66" s="5"/>
      <c r="Z66" s="5"/>
      <c r="AA66" s="5"/>
      <c r="AB66" s="5"/>
      <c r="AC66" s="5"/>
      <c r="AD66" s="5"/>
      <c r="AE66" s="5"/>
      <c r="AG66" s="5"/>
      <c r="AH66" s="5"/>
      <c r="AI66" s="5"/>
      <c r="AJ66" s="5"/>
      <c r="AK66" s="5"/>
      <c r="AL66" s="5"/>
      <c r="AM66" s="5"/>
    </row>
    <row r="67" spans="1:40" x14ac:dyDescent="0.2">
      <c r="A67" s="4"/>
      <c r="B67" s="5"/>
      <c r="C67" s="5"/>
      <c r="D67" s="5"/>
      <c r="E67" s="5"/>
      <c r="F67" s="5"/>
      <c r="G67" s="5"/>
      <c r="J67" s="5"/>
      <c r="K67" s="5"/>
      <c r="L67" s="5"/>
      <c r="M67" s="5"/>
      <c r="N67" s="5"/>
      <c r="O67" s="5"/>
      <c r="Q67" s="5"/>
      <c r="R67" s="5"/>
      <c r="S67" s="5"/>
      <c r="T67" s="5"/>
      <c r="U67" s="5"/>
      <c r="V67" s="5"/>
      <c r="W67" s="5"/>
      <c r="Y67" s="5"/>
      <c r="Z67" s="5"/>
      <c r="AA67" s="5"/>
      <c r="AB67" s="5"/>
      <c r="AC67" s="5"/>
      <c r="AD67" s="5"/>
      <c r="AE67" s="5"/>
      <c r="AG67" s="5"/>
      <c r="AH67" s="5"/>
      <c r="AI67" s="5"/>
      <c r="AJ67" s="5"/>
      <c r="AK67" s="5"/>
      <c r="AL67" s="5"/>
      <c r="AM67" s="5"/>
    </row>
    <row r="68" spans="1:40" x14ac:dyDescent="0.2">
      <c r="A68" s="4"/>
      <c r="B68" s="5"/>
      <c r="C68" s="5"/>
      <c r="D68" s="5"/>
      <c r="E68" s="5"/>
      <c r="F68" s="5"/>
      <c r="G68" s="5"/>
      <c r="J68" s="5"/>
      <c r="K68" s="5"/>
      <c r="L68" s="5"/>
      <c r="M68" s="5"/>
      <c r="N68" s="5"/>
      <c r="O68" s="5"/>
      <c r="Q68" s="5"/>
      <c r="R68" s="5"/>
      <c r="S68" s="5"/>
      <c r="T68" s="5"/>
      <c r="U68" s="5"/>
      <c r="V68" s="5"/>
      <c r="W68" s="5"/>
      <c r="Y68" s="5"/>
      <c r="Z68" s="5"/>
      <c r="AA68" s="5"/>
      <c r="AB68" s="5"/>
      <c r="AC68" s="5"/>
      <c r="AD68" s="5"/>
      <c r="AE68" s="5"/>
      <c r="AG68" s="5"/>
      <c r="AH68" s="5"/>
      <c r="AI68" s="5"/>
      <c r="AJ68" s="5"/>
      <c r="AK68" s="5"/>
      <c r="AL68" s="5"/>
      <c r="AM68" s="5"/>
    </row>
    <row r="69" spans="1:40" x14ac:dyDescent="0.2">
      <c r="A69" s="4"/>
      <c r="B69" s="5"/>
      <c r="C69" s="5"/>
      <c r="D69" s="5"/>
      <c r="E69" s="5"/>
      <c r="F69" s="5"/>
      <c r="G69" s="5"/>
      <c r="J69" s="5"/>
      <c r="K69" s="5"/>
      <c r="L69" s="5"/>
      <c r="M69" s="5"/>
      <c r="N69" s="5"/>
      <c r="O69" s="5"/>
      <c r="Q69" s="5"/>
      <c r="R69" s="5"/>
      <c r="S69" s="5"/>
      <c r="T69" s="5"/>
      <c r="U69" s="5"/>
      <c r="V69" s="5"/>
      <c r="W69" s="5"/>
      <c r="Y69" s="5"/>
      <c r="Z69" s="5"/>
      <c r="AA69" s="5"/>
      <c r="AB69" s="5"/>
      <c r="AC69" s="5"/>
      <c r="AD69" s="5"/>
      <c r="AE69" s="5"/>
      <c r="AG69" s="5"/>
      <c r="AH69" s="5"/>
      <c r="AI69" s="5"/>
      <c r="AJ69" s="5"/>
      <c r="AK69" s="5"/>
      <c r="AL69" s="5"/>
      <c r="AM69" s="5"/>
    </row>
    <row r="70" spans="1:40" x14ac:dyDescent="0.2">
      <c r="A70" s="4"/>
      <c r="B70" s="5"/>
      <c r="C70" s="5"/>
      <c r="D70" s="5"/>
      <c r="E70" s="5"/>
      <c r="F70" s="5"/>
      <c r="G70" s="5"/>
      <c r="J70" s="5"/>
      <c r="K70" s="5"/>
      <c r="L70" s="5"/>
      <c r="M70" s="5"/>
      <c r="N70" s="5"/>
      <c r="O70" s="5"/>
      <c r="Q70" s="5"/>
      <c r="R70" s="5"/>
      <c r="S70" s="5"/>
      <c r="T70" s="5"/>
      <c r="U70" s="5"/>
      <c r="V70" s="5"/>
      <c r="W70" s="5"/>
      <c r="Y70" s="5"/>
      <c r="Z70" s="5"/>
      <c r="AA70" s="5"/>
      <c r="AB70" s="5"/>
      <c r="AC70" s="5"/>
      <c r="AD70" s="5"/>
      <c r="AE70" s="5"/>
      <c r="AG70" s="5"/>
      <c r="AH70" s="5"/>
      <c r="AI70" s="5"/>
      <c r="AJ70" s="5"/>
      <c r="AK70" s="5"/>
      <c r="AL70" s="5"/>
      <c r="AM70" s="5"/>
    </row>
    <row r="71" spans="1:40" x14ac:dyDescent="0.2">
      <c r="A71" s="4"/>
      <c r="B71" s="5"/>
      <c r="C71" s="5"/>
      <c r="D71" s="5"/>
      <c r="E71" s="5"/>
      <c r="F71" s="5"/>
      <c r="G71" s="5"/>
      <c r="J71" s="5"/>
      <c r="K71" s="5"/>
      <c r="L71" s="5"/>
      <c r="M71" s="5"/>
      <c r="N71" s="5"/>
      <c r="O71" s="5"/>
      <c r="Q71" s="5"/>
      <c r="R71" s="5"/>
      <c r="S71" s="5"/>
      <c r="T71" s="5"/>
      <c r="U71" s="5"/>
      <c r="V71" s="5"/>
      <c r="W71" s="5"/>
      <c r="Y71" s="5"/>
      <c r="Z71" s="5"/>
      <c r="AA71" s="5"/>
      <c r="AB71" s="5"/>
      <c r="AC71" s="5"/>
      <c r="AD71" s="5"/>
      <c r="AE71" s="5"/>
      <c r="AG71" s="5"/>
      <c r="AH71" s="5"/>
      <c r="AI71" s="5"/>
      <c r="AJ71" s="5"/>
      <c r="AK71" s="5"/>
      <c r="AL71" s="5"/>
      <c r="AM71" s="5"/>
    </row>
    <row r="72" spans="1:40" x14ac:dyDescent="0.2">
      <c r="A72" s="4"/>
      <c r="B72" s="5"/>
      <c r="C72" s="5"/>
      <c r="D72" s="5"/>
      <c r="E72" s="5"/>
      <c r="F72" s="5"/>
      <c r="G72" s="5"/>
      <c r="J72" s="5"/>
      <c r="K72" s="5"/>
      <c r="L72" s="5"/>
      <c r="M72" s="5"/>
      <c r="N72" s="5"/>
      <c r="O72" s="5"/>
      <c r="Q72" s="5"/>
      <c r="R72" s="5"/>
      <c r="S72" s="5"/>
      <c r="T72" s="5"/>
      <c r="U72" s="5"/>
      <c r="V72" s="5"/>
      <c r="W72" s="5"/>
      <c r="Y72" s="5"/>
      <c r="Z72" s="5"/>
      <c r="AA72" s="5"/>
      <c r="AB72" s="5"/>
      <c r="AC72" s="5"/>
      <c r="AD72" s="5"/>
      <c r="AE72" s="5"/>
      <c r="AG72" s="5"/>
      <c r="AH72" s="5"/>
      <c r="AI72" s="5"/>
      <c r="AJ72" s="5"/>
      <c r="AK72" s="5"/>
      <c r="AL72" s="5"/>
      <c r="AM72" s="5"/>
    </row>
    <row r="73" spans="1:40" x14ac:dyDescent="0.2">
      <c r="A73" s="4"/>
      <c r="B73" s="5"/>
      <c r="C73" s="5"/>
      <c r="D73" s="5"/>
      <c r="E73" s="5"/>
      <c r="F73" s="5"/>
      <c r="G73" s="5"/>
      <c r="J73" s="5"/>
      <c r="K73" s="5"/>
      <c r="L73" s="5"/>
      <c r="M73" s="5"/>
      <c r="N73" s="5"/>
      <c r="O73" s="5"/>
      <c r="Q73" s="5"/>
      <c r="R73" s="5"/>
      <c r="S73" s="5"/>
      <c r="T73" s="5"/>
      <c r="U73" s="5"/>
      <c r="V73" s="5"/>
      <c r="W73" s="5"/>
      <c r="Y73" s="5"/>
      <c r="Z73" s="5"/>
      <c r="AA73" s="5"/>
      <c r="AB73" s="5"/>
      <c r="AC73" s="5"/>
      <c r="AD73" s="5"/>
      <c r="AE73" s="5"/>
      <c r="AG73" s="5"/>
      <c r="AH73" s="5"/>
      <c r="AI73" s="5"/>
      <c r="AJ73" s="5"/>
      <c r="AK73" s="5"/>
      <c r="AL73" s="5"/>
      <c r="AM73" s="5"/>
    </row>
    <row r="74" spans="1:40" x14ac:dyDescent="0.2">
      <c r="A74" s="4"/>
      <c r="B74" s="5"/>
      <c r="C74" s="5"/>
      <c r="D74" s="5"/>
      <c r="E74" s="5"/>
      <c r="F74" s="5"/>
      <c r="G74" s="5"/>
      <c r="J74" s="5"/>
      <c r="K74" s="5"/>
      <c r="L74" s="5"/>
      <c r="M74" s="5"/>
      <c r="N74" s="5"/>
      <c r="O74" s="5"/>
      <c r="Q74" s="5"/>
      <c r="R74" s="5"/>
      <c r="S74" s="5"/>
      <c r="T74" s="5"/>
      <c r="U74" s="5"/>
      <c r="V74" s="5"/>
      <c r="W74" s="5"/>
      <c r="Y74" s="5"/>
      <c r="Z74" s="5"/>
      <c r="AA74" s="5"/>
      <c r="AB74" s="5"/>
      <c r="AC74" s="5"/>
      <c r="AD74" s="5"/>
      <c r="AE74" s="5"/>
      <c r="AG74" s="5"/>
      <c r="AH74" s="5"/>
      <c r="AI74" s="5"/>
      <c r="AJ74" s="5"/>
      <c r="AK74" s="5"/>
      <c r="AL74" s="5"/>
      <c r="AM74" s="5"/>
    </row>
    <row r="75" spans="1:40" x14ac:dyDescent="0.2">
      <c r="A75" s="4"/>
      <c r="B75" s="5"/>
      <c r="C75" s="5"/>
      <c r="D75" s="5"/>
      <c r="E75" s="5"/>
      <c r="F75" s="5"/>
      <c r="G75" s="5"/>
      <c r="J75" s="5"/>
      <c r="K75" s="5"/>
      <c r="L75" s="5"/>
      <c r="M75" s="5"/>
      <c r="N75" s="5"/>
      <c r="O75" s="5"/>
      <c r="Q75" s="5"/>
      <c r="R75" s="5"/>
      <c r="S75" s="5"/>
      <c r="T75" s="5"/>
      <c r="U75" s="5"/>
      <c r="V75" s="5"/>
      <c r="W75" s="5"/>
      <c r="Y75" s="5"/>
      <c r="Z75" s="5"/>
      <c r="AA75" s="5"/>
      <c r="AB75" s="5"/>
      <c r="AC75" s="5"/>
      <c r="AD75" s="5"/>
      <c r="AE75" s="5"/>
      <c r="AG75" s="5"/>
      <c r="AH75" s="5"/>
      <c r="AI75" s="5"/>
      <c r="AJ75" s="5"/>
      <c r="AK75" s="5"/>
      <c r="AL75" s="5"/>
      <c r="AM75" s="5"/>
    </row>
    <row r="76" spans="1:40" s="6" customFormat="1" ht="13.5" thickBot="1" x14ac:dyDescent="0.25">
      <c r="A76" s="8"/>
      <c r="H76" s="7"/>
      <c r="I76" s="8"/>
      <c r="P76" s="7"/>
      <c r="X76" s="7"/>
      <c r="AF76" s="7"/>
      <c r="AN76" s="7"/>
    </row>
    <row r="77" spans="1:40" s="10" customFormat="1" x14ac:dyDescent="0.2">
      <c r="A77" s="9"/>
      <c r="H77" s="11"/>
      <c r="I77" s="9"/>
      <c r="P77" s="11"/>
      <c r="X77" s="11"/>
      <c r="AF77" s="11"/>
      <c r="AN77" s="11"/>
    </row>
    <row r="78" spans="1:40" ht="13.5" thickBot="1" x14ac:dyDescent="0.25">
      <c r="A78" s="4"/>
      <c r="B78" s="5"/>
      <c r="C78" s="5"/>
      <c r="D78" s="1" t="str">
        <f>'Point Estimates'!A25</f>
        <v>Ma - Norte Maranhense</v>
      </c>
      <c r="E78" s="1" t="str">
        <f>'Point Estimates'!$B$5</f>
        <v>desl</v>
      </c>
      <c r="F78" s="5"/>
      <c r="G78" s="5"/>
      <c r="J78" s="5"/>
      <c r="K78" s="5"/>
      <c r="L78" s="1" t="str">
        <f>'Point Estimates'!A26</f>
        <v>Ma - Oeste Maranhense</v>
      </c>
      <c r="M78" s="1" t="str">
        <f>'Point Estimates'!$B$5</f>
        <v>desl</v>
      </c>
      <c r="N78" s="5"/>
      <c r="O78" s="5"/>
      <c r="Q78" s="5"/>
      <c r="R78" s="5"/>
      <c r="S78" s="5"/>
      <c r="T78" s="1" t="str">
        <f>'Point Estimates'!A27</f>
        <v>Ma - Centro Maranhense</v>
      </c>
      <c r="U78" s="1" t="str">
        <f>'Point Estimates'!$B$5</f>
        <v>desl</v>
      </c>
      <c r="V78" s="5"/>
      <c r="W78" s="5"/>
      <c r="Y78" s="5"/>
      <c r="Z78" s="5"/>
      <c r="AA78" s="5"/>
      <c r="AB78" s="1" t="str">
        <f>'Point Estimates'!A28</f>
        <v>Ma - Leste Maranhense</v>
      </c>
      <c r="AC78" s="1" t="str">
        <f>'Point Estimates'!$B$5</f>
        <v>desl</v>
      </c>
      <c r="AD78" s="5"/>
      <c r="AE78" s="5"/>
      <c r="AG78" s="5"/>
      <c r="AH78" s="5"/>
      <c r="AI78" s="5"/>
      <c r="AJ78" s="1" t="str">
        <f>'Point Estimates'!A29</f>
        <v>Ma - Sul Maranhense</v>
      </c>
      <c r="AK78" s="1" t="str">
        <f>'Point Estimates'!$B$5</f>
        <v>desl</v>
      </c>
      <c r="AL78" s="5"/>
      <c r="AM78" s="5"/>
    </row>
    <row r="79" spans="1:40" x14ac:dyDescent="0.2">
      <c r="A79" s="4"/>
      <c r="B79" s="5"/>
      <c r="C79" s="5"/>
      <c r="D79" s="5"/>
      <c r="E79" s="5"/>
      <c r="F79" s="5"/>
      <c r="G79" s="5"/>
      <c r="J79" s="5"/>
      <c r="K79" s="5"/>
      <c r="L79" s="5"/>
      <c r="M79" s="5"/>
      <c r="N79" s="5"/>
      <c r="O79" s="5"/>
      <c r="Q79" s="5"/>
      <c r="R79" s="5"/>
      <c r="S79" s="5"/>
      <c r="T79" s="5"/>
      <c r="U79" s="5"/>
      <c r="V79" s="5"/>
      <c r="W79" s="5"/>
      <c r="Y79" s="5"/>
      <c r="Z79" s="5"/>
      <c r="AA79" s="5"/>
      <c r="AB79" s="5"/>
      <c r="AC79" s="5"/>
      <c r="AD79" s="5"/>
      <c r="AE79" s="5"/>
      <c r="AG79" s="5"/>
      <c r="AH79" s="5"/>
      <c r="AI79" s="5"/>
      <c r="AJ79" s="5"/>
      <c r="AK79" s="5"/>
      <c r="AL79" s="5"/>
      <c r="AM79" s="5"/>
    </row>
    <row r="80" spans="1:40" x14ac:dyDescent="0.2">
      <c r="A80" s="4"/>
      <c r="B80" s="5"/>
      <c r="C80" s="5"/>
      <c r="D80" s="5"/>
      <c r="E80" s="5"/>
      <c r="F80" s="5"/>
      <c r="G80" s="5"/>
      <c r="J80" s="5"/>
      <c r="K80" s="5"/>
      <c r="L80" s="5"/>
      <c r="M80" s="5"/>
      <c r="N80" s="5"/>
      <c r="O80" s="5"/>
      <c r="Q80" s="5"/>
      <c r="R80" s="5"/>
      <c r="S80" s="5"/>
      <c r="T80" s="5"/>
      <c r="U80" s="5"/>
      <c r="V80" s="5"/>
      <c r="W80" s="5"/>
      <c r="Y80" s="5"/>
      <c r="Z80" s="5"/>
      <c r="AA80" s="5"/>
      <c r="AB80" s="5"/>
      <c r="AC80" s="5"/>
      <c r="AD80" s="5"/>
      <c r="AE80" s="5"/>
      <c r="AG80" s="5"/>
      <c r="AH80" s="5"/>
      <c r="AI80" s="5"/>
      <c r="AJ80" s="5"/>
      <c r="AK80" s="5"/>
      <c r="AL80" s="5"/>
      <c r="AM80" s="5"/>
    </row>
    <row r="81" spans="1:40" x14ac:dyDescent="0.2">
      <c r="A81" s="4"/>
      <c r="B81" s="5"/>
      <c r="C81" s="5"/>
      <c r="D81" s="5"/>
      <c r="E81" s="5"/>
      <c r="F81" s="5"/>
      <c r="G81" s="5"/>
      <c r="J81" s="5"/>
      <c r="K81" s="5"/>
      <c r="L81" s="5"/>
      <c r="M81" s="5"/>
      <c r="N81" s="5"/>
      <c r="O81" s="5"/>
      <c r="Q81" s="5"/>
      <c r="R81" s="5"/>
      <c r="S81" s="5"/>
      <c r="T81" s="5"/>
      <c r="U81" s="5"/>
      <c r="V81" s="5"/>
      <c r="W81" s="5"/>
      <c r="Y81" s="5"/>
      <c r="Z81" s="5"/>
      <c r="AA81" s="5"/>
      <c r="AB81" s="5"/>
      <c r="AC81" s="5"/>
      <c r="AD81" s="5"/>
      <c r="AE81" s="5"/>
      <c r="AG81" s="5"/>
      <c r="AH81" s="5"/>
      <c r="AI81" s="5"/>
      <c r="AJ81" s="5"/>
      <c r="AK81" s="5"/>
      <c r="AL81" s="5"/>
      <c r="AM81" s="5"/>
    </row>
    <row r="82" spans="1:40" x14ac:dyDescent="0.2">
      <c r="A82" s="4"/>
      <c r="B82" s="5"/>
      <c r="C82" s="5"/>
      <c r="D82" s="5"/>
      <c r="E82" s="5"/>
      <c r="F82" s="5"/>
      <c r="G82" s="5"/>
      <c r="J82" s="5"/>
      <c r="K82" s="5"/>
      <c r="L82" s="5"/>
      <c r="M82" s="5"/>
      <c r="N82" s="5"/>
      <c r="O82" s="5"/>
      <c r="Q82" s="5"/>
      <c r="R82" s="5"/>
      <c r="S82" s="5"/>
      <c r="T82" s="5"/>
      <c r="U82" s="5"/>
      <c r="V82" s="5"/>
      <c r="W82" s="5"/>
      <c r="Y82" s="5"/>
      <c r="Z82" s="5"/>
      <c r="AA82" s="5"/>
      <c r="AB82" s="5"/>
      <c r="AC82" s="5"/>
      <c r="AD82" s="5"/>
      <c r="AE82" s="5"/>
      <c r="AG82" s="5"/>
      <c r="AH82" s="5"/>
      <c r="AI82" s="5"/>
      <c r="AJ82" s="5"/>
      <c r="AK82" s="5"/>
      <c r="AL82" s="5"/>
      <c r="AM82" s="5"/>
    </row>
    <row r="83" spans="1:40" x14ac:dyDescent="0.2">
      <c r="A83" s="4"/>
      <c r="B83" s="5"/>
      <c r="C83" s="5"/>
      <c r="D83" s="5"/>
      <c r="E83" s="5"/>
      <c r="F83" s="5"/>
      <c r="G83" s="5"/>
      <c r="J83" s="5"/>
      <c r="K83" s="5"/>
      <c r="L83" s="5"/>
      <c r="M83" s="5"/>
      <c r="N83" s="5"/>
      <c r="O83" s="5"/>
      <c r="Q83" s="5"/>
      <c r="R83" s="5"/>
      <c r="S83" s="5"/>
      <c r="T83" s="5"/>
      <c r="U83" s="5"/>
      <c r="V83" s="5"/>
      <c r="W83" s="5"/>
      <c r="Y83" s="5"/>
      <c r="Z83" s="5"/>
      <c r="AA83" s="5"/>
      <c r="AB83" s="5"/>
      <c r="AC83" s="5"/>
      <c r="AD83" s="5"/>
      <c r="AE83" s="5"/>
      <c r="AG83" s="5"/>
      <c r="AH83" s="5"/>
      <c r="AI83" s="5"/>
      <c r="AJ83" s="5"/>
      <c r="AK83" s="5"/>
      <c r="AL83" s="5"/>
      <c r="AM83" s="5"/>
    </row>
    <row r="84" spans="1:40" x14ac:dyDescent="0.2">
      <c r="A84" s="4"/>
      <c r="B84" s="5"/>
      <c r="C84" s="5"/>
      <c r="D84" s="5"/>
      <c r="E84" s="5"/>
      <c r="F84" s="5"/>
      <c r="G84" s="5"/>
      <c r="J84" s="5"/>
      <c r="K84" s="5"/>
      <c r="L84" s="5"/>
      <c r="M84" s="5"/>
      <c r="N84" s="5"/>
      <c r="O84" s="5"/>
      <c r="Q84" s="5"/>
      <c r="R84" s="5"/>
      <c r="S84" s="5"/>
      <c r="T84" s="5"/>
      <c r="U84" s="5"/>
      <c r="V84" s="5"/>
      <c r="W84" s="5"/>
      <c r="Y84" s="5"/>
      <c r="Z84" s="5"/>
      <c r="AA84" s="5"/>
      <c r="AB84" s="5"/>
      <c r="AC84" s="5"/>
      <c r="AD84" s="5"/>
      <c r="AE84" s="5"/>
      <c r="AG84" s="5"/>
      <c r="AH84" s="5"/>
      <c r="AI84" s="5"/>
      <c r="AJ84" s="5"/>
      <c r="AK84" s="5"/>
      <c r="AL84" s="5"/>
      <c r="AM84" s="5"/>
    </row>
    <row r="85" spans="1:40" x14ac:dyDescent="0.2">
      <c r="A85" s="4"/>
      <c r="B85" s="5"/>
      <c r="C85" s="5"/>
      <c r="D85" s="5"/>
      <c r="E85" s="5"/>
      <c r="F85" s="5"/>
      <c r="G85" s="5"/>
      <c r="J85" s="5"/>
      <c r="K85" s="5"/>
      <c r="L85" s="5"/>
      <c r="M85" s="5"/>
      <c r="N85" s="5"/>
      <c r="O85" s="5"/>
      <c r="Q85" s="5"/>
      <c r="R85" s="5"/>
      <c r="S85" s="5"/>
      <c r="T85" s="5"/>
      <c r="U85" s="5"/>
      <c r="V85" s="5"/>
      <c r="W85" s="5"/>
      <c r="Y85" s="5"/>
      <c r="Z85" s="5"/>
      <c r="AA85" s="5"/>
      <c r="AB85" s="5"/>
      <c r="AC85" s="5"/>
      <c r="AD85" s="5"/>
      <c r="AE85" s="5"/>
      <c r="AG85" s="5"/>
      <c r="AH85" s="5"/>
      <c r="AI85" s="5"/>
      <c r="AJ85" s="5"/>
      <c r="AK85" s="5"/>
      <c r="AL85" s="5"/>
      <c r="AM85" s="5"/>
    </row>
    <row r="86" spans="1:40" x14ac:dyDescent="0.2">
      <c r="A86" s="4"/>
      <c r="B86" s="5"/>
      <c r="C86" s="5"/>
      <c r="D86" s="5"/>
      <c r="E86" s="5"/>
      <c r="F86" s="5"/>
      <c r="G86" s="5"/>
      <c r="J86" s="5"/>
      <c r="K86" s="5"/>
      <c r="L86" s="5"/>
      <c r="M86" s="5"/>
      <c r="N86" s="5"/>
      <c r="O86" s="5"/>
      <c r="Q86" s="5"/>
      <c r="R86" s="5"/>
      <c r="S86" s="5"/>
      <c r="T86" s="5"/>
      <c r="U86" s="5"/>
      <c r="V86" s="5"/>
      <c r="W86" s="5"/>
      <c r="Y86" s="5"/>
      <c r="Z86" s="5"/>
      <c r="AA86" s="5"/>
      <c r="AB86" s="5"/>
      <c r="AC86" s="5"/>
      <c r="AD86" s="5"/>
      <c r="AE86" s="5"/>
      <c r="AG86" s="5"/>
      <c r="AH86" s="5"/>
      <c r="AI86" s="5"/>
      <c r="AJ86" s="5"/>
      <c r="AK86" s="5"/>
      <c r="AL86" s="5"/>
      <c r="AM86" s="5"/>
    </row>
    <row r="87" spans="1:40" x14ac:dyDescent="0.2">
      <c r="A87" s="4"/>
      <c r="B87" s="5"/>
      <c r="C87" s="5"/>
      <c r="D87" s="5"/>
      <c r="E87" s="5"/>
      <c r="F87" s="5"/>
      <c r="G87" s="5"/>
      <c r="J87" s="5"/>
      <c r="K87" s="5"/>
      <c r="L87" s="5"/>
      <c r="M87" s="5"/>
      <c r="N87" s="5"/>
      <c r="O87" s="5"/>
      <c r="Q87" s="5"/>
      <c r="R87" s="5"/>
      <c r="S87" s="5"/>
      <c r="T87" s="5"/>
      <c r="U87" s="5"/>
      <c r="V87" s="5"/>
      <c r="W87" s="5"/>
      <c r="Y87" s="5"/>
      <c r="Z87" s="5"/>
      <c r="AA87" s="5"/>
      <c r="AB87" s="5"/>
      <c r="AC87" s="5"/>
      <c r="AD87" s="5"/>
      <c r="AE87" s="5"/>
      <c r="AG87" s="5"/>
      <c r="AH87" s="5"/>
      <c r="AI87" s="5"/>
      <c r="AJ87" s="5"/>
      <c r="AK87" s="5"/>
      <c r="AL87" s="5"/>
      <c r="AM87" s="5"/>
    </row>
    <row r="88" spans="1:40" x14ac:dyDescent="0.2">
      <c r="A88" s="4"/>
      <c r="B88" s="5"/>
      <c r="C88" s="5"/>
      <c r="D88" s="5"/>
      <c r="E88" s="5"/>
      <c r="F88" s="5"/>
      <c r="G88" s="5"/>
      <c r="J88" s="5"/>
      <c r="K88" s="5"/>
      <c r="L88" s="5"/>
      <c r="M88" s="5"/>
      <c r="N88" s="5"/>
      <c r="O88" s="5"/>
      <c r="Q88" s="5"/>
      <c r="R88" s="5"/>
      <c r="S88" s="5"/>
      <c r="T88" s="5"/>
      <c r="U88" s="5"/>
      <c r="V88" s="5"/>
      <c r="W88" s="5"/>
      <c r="Y88" s="5"/>
      <c r="Z88" s="5"/>
      <c r="AA88" s="5"/>
      <c r="AB88" s="5"/>
      <c r="AC88" s="5"/>
      <c r="AD88" s="5"/>
      <c r="AE88" s="5"/>
      <c r="AG88" s="5"/>
      <c r="AH88" s="5"/>
      <c r="AI88" s="5"/>
      <c r="AJ88" s="5"/>
      <c r="AK88" s="5"/>
      <c r="AL88" s="5"/>
      <c r="AM88" s="5"/>
    </row>
    <row r="89" spans="1:40" x14ac:dyDescent="0.2">
      <c r="A89" s="4"/>
      <c r="B89" s="5"/>
      <c r="C89" s="5"/>
      <c r="D89" s="5"/>
      <c r="E89" s="5"/>
      <c r="F89" s="5"/>
      <c r="G89" s="5"/>
      <c r="J89" s="5"/>
      <c r="K89" s="5"/>
      <c r="L89" s="5"/>
      <c r="M89" s="5"/>
      <c r="N89" s="5"/>
      <c r="O89" s="5"/>
      <c r="Q89" s="5"/>
      <c r="R89" s="5"/>
      <c r="S89" s="5"/>
      <c r="T89" s="5"/>
      <c r="U89" s="5"/>
      <c r="V89" s="5"/>
      <c r="W89" s="5"/>
      <c r="Y89" s="5"/>
      <c r="Z89" s="5"/>
      <c r="AA89" s="5"/>
      <c r="AB89" s="5"/>
      <c r="AC89" s="5"/>
      <c r="AD89" s="5"/>
      <c r="AE89" s="5"/>
      <c r="AG89" s="5"/>
      <c r="AH89" s="5"/>
      <c r="AI89" s="5"/>
      <c r="AJ89" s="5"/>
      <c r="AK89" s="5"/>
      <c r="AL89" s="5"/>
      <c r="AM89" s="5"/>
    </row>
    <row r="90" spans="1:40" x14ac:dyDescent="0.2">
      <c r="A90" s="4"/>
      <c r="B90" s="5"/>
      <c r="C90" s="5"/>
      <c r="D90" s="5"/>
      <c r="E90" s="5"/>
      <c r="F90" s="5"/>
      <c r="G90" s="5"/>
      <c r="J90" s="5"/>
      <c r="K90" s="5"/>
      <c r="L90" s="5"/>
      <c r="M90" s="5"/>
      <c r="N90" s="5"/>
      <c r="O90" s="5"/>
      <c r="Q90" s="5"/>
      <c r="R90" s="5"/>
      <c r="S90" s="5"/>
      <c r="T90" s="5"/>
      <c r="U90" s="5"/>
      <c r="V90" s="5"/>
      <c r="W90" s="5"/>
      <c r="Y90" s="5"/>
      <c r="Z90" s="5"/>
      <c r="AA90" s="5"/>
      <c r="AB90" s="5"/>
      <c r="AC90" s="5"/>
      <c r="AD90" s="5"/>
      <c r="AE90" s="5"/>
      <c r="AG90" s="5"/>
      <c r="AH90" s="5"/>
      <c r="AI90" s="5"/>
      <c r="AJ90" s="5"/>
      <c r="AK90" s="5"/>
      <c r="AL90" s="5"/>
      <c r="AM90" s="5"/>
    </row>
    <row r="91" spans="1:40" x14ac:dyDescent="0.2">
      <c r="A91" s="4"/>
      <c r="B91" s="5"/>
      <c r="C91" s="5"/>
      <c r="D91" s="5"/>
      <c r="E91" s="5"/>
      <c r="F91" s="5"/>
      <c r="G91" s="5"/>
      <c r="J91" s="5"/>
      <c r="K91" s="5"/>
      <c r="L91" s="5"/>
      <c r="M91" s="5"/>
      <c r="N91" s="5"/>
      <c r="O91" s="5"/>
      <c r="Q91" s="5"/>
      <c r="R91" s="5"/>
      <c r="S91" s="5"/>
      <c r="T91" s="5"/>
      <c r="U91" s="5"/>
      <c r="V91" s="5"/>
      <c r="W91" s="5"/>
      <c r="Y91" s="5"/>
      <c r="Z91" s="5"/>
      <c r="AA91" s="5"/>
      <c r="AB91" s="5"/>
      <c r="AC91" s="5"/>
      <c r="AD91" s="5"/>
      <c r="AE91" s="5"/>
      <c r="AG91" s="5"/>
      <c r="AH91" s="5"/>
      <c r="AI91" s="5"/>
      <c r="AJ91" s="5"/>
      <c r="AK91" s="5"/>
      <c r="AL91" s="5"/>
      <c r="AM91" s="5"/>
    </row>
    <row r="92" spans="1:40" x14ac:dyDescent="0.2">
      <c r="A92" s="4"/>
      <c r="B92" s="5"/>
      <c r="C92" s="5"/>
      <c r="D92" s="5"/>
      <c r="E92" s="5"/>
      <c r="F92" s="5"/>
      <c r="G92" s="5"/>
      <c r="J92" s="5"/>
      <c r="K92" s="5"/>
      <c r="L92" s="5"/>
      <c r="M92" s="5"/>
      <c r="N92" s="5"/>
      <c r="O92" s="5"/>
      <c r="Q92" s="5"/>
      <c r="R92" s="5"/>
      <c r="S92" s="5"/>
      <c r="T92" s="5"/>
      <c r="U92" s="5"/>
      <c r="V92" s="5"/>
      <c r="W92" s="5"/>
      <c r="Y92" s="5"/>
      <c r="Z92" s="5"/>
      <c r="AA92" s="5"/>
      <c r="AB92" s="5"/>
      <c r="AC92" s="5"/>
      <c r="AD92" s="5"/>
      <c r="AE92" s="5"/>
      <c r="AG92" s="5"/>
      <c r="AH92" s="5"/>
      <c r="AI92" s="5"/>
      <c r="AJ92" s="5"/>
      <c r="AK92" s="5"/>
      <c r="AL92" s="5"/>
      <c r="AM92" s="5"/>
    </row>
    <row r="93" spans="1:40" x14ac:dyDescent="0.2">
      <c r="A93" s="4"/>
      <c r="B93" s="5"/>
      <c r="C93" s="5"/>
      <c r="D93" s="5"/>
      <c r="E93" s="5"/>
      <c r="F93" s="5"/>
      <c r="G93" s="5"/>
      <c r="J93" s="5"/>
      <c r="K93" s="5"/>
      <c r="L93" s="5"/>
      <c r="M93" s="5"/>
      <c r="N93" s="5"/>
      <c r="O93" s="5"/>
      <c r="Q93" s="5"/>
      <c r="R93" s="5"/>
      <c r="S93" s="5"/>
      <c r="T93" s="5"/>
      <c r="U93" s="5"/>
      <c r="V93" s="5"/>
      <c r="W93" s="5"/>
      <c r="Y93" s="5"/>
      <c r="Z93" s="5"/>
      <c r="AA93" s="5"/>
      <c r="AB93" s="5"/>
      <c r="AC93" s="5"/>
      <c r="AD93" s="5"/>
      <c r="AE93" s="5"/>
      <c r="AG93" s="5"/>
      <c r="AH93" s="5"/>
      <c r="AI93" s="5"/>
      <c r="AJ93" s="5"/>
      <c r="AK93" s="5"/>
      <c r="AL93" s="5"/>
      <c r="AM93" s="5"/>
    </row>
    <row r="94" spans="1:40" x14ac:dyDescent="0.2">
      <c r="A94" s="4"/>
      <c r="B94" s="5"/>
      <c r="C94" s="5"/>
      <c r="D94" s="5"/>
      <c r="E94" s="5"/>
      <c r="F94" s="5"/>
      <c r="G94" s="5"/>
      <c r="J94" s="5"/>
      <c r="K94" s="5"/>
      <c r="L94" s="5"/>
      <c r="M94" s="5"/>
      <c r="N94" s="5"/>
      <c r="O94" s="5"/>
      <c r="Q94" s="5"/>
      <c r="R94" s="5"/>
      <c r="S94" s="5"/>
      <c r="T94" s="5"/>
      <c r="U94" s="5"/>
      <c r="V94" s="5"/>
      <c r="W94" s="5"/>
      <c r="Y94" s="5"/>
      <c r="Z94" s="5"/>
      <c r="AA94" s="5"/>
      <c r="AB94" s="5"/>
      <c r="AC94" s="5"/>
      <c r="AD94" s="5"/>
      <c r="AE94" s="5"/>
      <c r="AG94" s="5"/>
      <c r="AH94" s="5"/>
      <c r="AI94" s="5"/>
      <c r="AJ94" s="5"/>
      <c r="AK94" s="5"/>
      <c r="AL94" s="5"/>
      <c r="AM94" s="5"/>
    </row>
    <row r="95" spans="1:40" s="6" customFormat="1" ht="13.5" thickBot="1" x14ac:dyDescent="0.25">
      <c r="A95" s="8"/>
      <c r="H95" s="7"/>
      <c r="I95" s="8"/>
      <c r="P95" s="7"/>
      <c r="X95" s="7"/>
      <c r="AF95" s="7"/>
      <c r="AN95" s="7"/>
    </row>
    <row r="96" spans="1:40" s="10" customFormat="1" x14ac:dyDescent="0.2">
      <c r="A96" s="9"/>
      <c r="H96" s="11"/>
      <c r="I96" s="9"/>
      <c r="P96" s="11"/>
      <c r="X96" s="11"/>
      <c r="AF96" s="11"/>
      <c r="AN96" s="11"/>
    </row>
    <row r="97" spans="1:39" ht="13.5" thickBot="1" x14ac:dyDescent="0.25">
      <c r="A97" s="4"/>
      <c r="B97" s="5"/>
      <c r="C97" s="5"/>
      <c r="D97" s="1" t="str">
        <f>'Point Estimates'!A30</f>
        <v>Pi - Norte Piauiense</v>
      </c>
      <c r="E97" s="1" t="str">
        <f>'Point Estimates'!$B$5</f>
        <v>desl</v>
      </c>
      <c r="F97" s="5"/>
      <c r="G97" s="5"/>
      <c r="J97" s="5"/>
      <c r="K97" s="5"/>
      <c r="L97" s="1" t="str">
        <f>'Point Estimates'!A31</f>
        <v>Pi - Centro-Norte Piaui</v>
      </c>
      <c r="M97" s="1" t="str">
        <f>'Point Estimates'!$B$5</f>
        <v>desl</v>
      </c>
      <c r="N97" s="5"/>
      <c r="O97" s="5"/>
      <c r="Q97" s="5"/>
      <c r="R97" s="5"/>
      <c r="S97" s="5"/>
      <c r="T97" s="1" t="str">
        <f>'Point Estimates'!A32</f>
        <v>Pi - Sudoeste Piauiense</v>
      </c>
      <c r="U97" s="1" t="str">
        <f>'Point Estimates'!$B$5</f>
        <v>desl</v>
      </c>
      <c r="V97" s="5"/>
      <c r="W97" s="5"/>
      <c r="Y97" s="5"/>
      <c r="Z97" s="5"/>
      <c r="AA97" s="5"/>
      <c r="AB97" s="1" t="str">
        <f>'Point Estimates'!A33</f>
        <v>Pi - Sudeste Piauiense</v>
      </c>
      <c r="AC97" s="1" t="str">
        <f>'Point Estimates'!$B$5</f>
        <v>desl</v>
      </c>
      <c r="AD97" s="5"/>
      <c r="AE97" s="5"/>
      <c r="AG97" s="5"/>
      <c r="AH97" s="5"/>
      <c r="AI97" s="5"/>
      <c r="AJ97" s="1" t="str">
        <f>'Point Estimates'!A34</f>
        <v>Ce - Noroeste Cearense</v>
      </c>
      <c r="AK97" s="1" t="str">
        <f>'Point Estimates'!$B$5</f>
        <v>desl</v>
      </c>
      <c r="AL97" s="5"/>
      <c r="AM97" s="5"/>
    </row>
    <row r="98" spans="1:39" x14ac:dyDescent="0.2">
      <c r="A98" s="4"/>
      <c r="B98" s="5"/>
      <c r="C98" s="5"/>
      <c r="D98" s="5"/>
      <c r="E98" s="5"/>
      <c r="F98" s="5"/>
      <c r="G98" s="5"/>
      <c r="J98" s="5"/>
      <c r="K98" s="5"/>
      <c r="L98" s="5"/>
      <c r="M98" s="5"/>
      <c r="N98" s="5"/>
      <c r="O98" s="5"/>
      <c r="Q98" s="5"/>
      <c r="R98" s="5"/>
      <c r="S98" s="5"/>
      <c r="T98" s="5"/>
      <c r="U98" s="5"/>
      <c r="V98" s="5"/>
      <c r="W98" s="5"/>
      <c r="Y98" s="5"/>
      <c r="Z98" s="5"/>
      <c r="AA98" s="5"/>
      <c r="AB98" s="5"/>
      <c r="AC98" s="5"/>
      <c r="AD98" s="5"/>
      <c r="AE98" s="5"/>
      <c r="AG98" s="5"/>
      <c r="AH98" s="5"/>
      <c r="AI98" s="5"/>
      <c r="AJ98" s="5"/>
      <c r="AK98" s="5"/>
      <c r="AL98" s="5"/>
      <c r="AM98" s="5"/>
    </row>
    <row r="99" spans="1:39" x14ac:dyDescent="0.2">
      <c r="A99" s="4"/>
      <c r="B99" s="5"/>
      <c r="C99" s="5"/>
      <c r="D99" s="5"/>
      <c r="E99" s="5"/>
      <c r="F99" s="5"/>
      <c r="G99" s="5"/>
      <c r="J99" s="5"/>
      <c r="K99" s="5"/>
      <c r="L99" s="5"/>
      <c r="M99" s="5"/>
      <c r="N99" s="5"/>
      <c r="O99" s="5"/>
      <c r="Q99" s="5"/>
      <c r="R99" s="5"/>
      <c r="S99" s="5"/>
      <c r="T99" s="5"/>
      <c r="U99" s="5"/>
      <c r="V99" s="5"/>
      <c r="W99" s="5"/>
      <c r="Y99" s="5"/>
      <c r="Z99" s="5"/>
      <c r="AA99" s="5"/>
      <c r="AB99" s="5"/>
      <c r="AC99" s="5"/>
      <c r="AD99" s="5"/>
      <c r="AE99" s="5"/>
      <c r="AG99" s="5"/>
      <c r="AH99" s="5"/>
      <c r="AI99" s="5"/>
      <c r="AJ99" s="5"/>
      <c r="AK99" s="5"/>
      <c r="AL99" s="5"/>
      <c r="AM99" s="5"/>
    </row>
    <row r="100" spans="1:39" x14ac:dyDescent="0.2">
      <c r="A100" s="4"/>
      <c r="B100" s="5"/>
      <c r="C100" s="5"/>
      <c r="D100" s="5"/>
      <c r="E100" s="5"/>
      <c r="F100" s="5"/>
      <c r="G100" s="5"/>
      <c r="J100" s="5"/>
      <c r="K100" s="5"/>
      <c r="L100" s="5"/>
      <c r="M100" s="5"/>
      <c r="N100" s="5"/>
      <c r="O100" s="5"/>
      <c r="Q100" s="5"/>
      <c r="R100" s="5"/>
      <c r="S100" s="5"/>
      <c r="T100" s="5"/>
      <c r="U100" s="5"/>
      <c r="V100" s="5"/>
      <c r="W100" s="5"/>
      <c r="Y100" s="5"/>
      <c r="Z100" s="5"/>
      <c r="AA100" s="5"/>
      <c r="AB100" s="5"/>
      <c r="AC100" s="5"/>
      <c r="AD100" s="5"/>
      <c r="AE100" s="5"/>
      <c r="AG100" s="5"/>
      <c r="AH100" s="5"/>
      <c r="AI100" s="5"/>
      <c r="AJ100" s="5"/>
      <c r="AK100" s="5"/>
      <c r="AL100" s="5"/>
      <c r="AM100" s="5"/>
    </row>
    <row r="101" spans="1:39" x14ac:dyDescent="0.2">
      <c r="A101" s="4"/>
      <c r="B101" s="5"/>
      <c r="C101" s="5"/>
      <c r="D101" s="5"/>
      <c r="E101" s="5"/>
      <c r="F101" s="5"/>
      <c r="G101" s="5"/>
      <c r="J101" s="5"/>
      <c r="K101" s="5"/>
      <c r="L101" s="5"/>
      <c r="M101" s="5"/>
      <c r="N101" s="5"/>
      <c r="O101" s="5"/>
      <c r="Q101" s="5"/>
      <c r="R101" s="5"/>
      <c r="S101" s="5"/>
      <c r="T101" s="5"/>
      <c r="U101" s="5"/>
      <c r="V101" s="5"/>
      <c r="W101" s="5"/>
      <c r="Y101" s="5"/>
      <c r="Z101" s="5"/>
      <c r="AA101" s="5"/>
      <c r="AB101" s="5"/>
      <c r="AC101" s="5"/>
      <c r="AD101" s="5"/>
      <c r="AE101" s="5"/>
      <c r="AG101" s="5"/>
      <c r="AH101" s="5"/>
      <c r="AI101" s="5"/>
      <c r="AJ101" s="5"/>
      <c r="AK101" s="5"/>
      <c r="AL101" s="5"/>
      <c r="AM101" s="5"/>
    </row>
    <row r="102" spans="1:39" x14ac:dyDescent="0.2">
      <c r="A102" s="4"/>
      <c r="B102" s="5"/>
      <c r="C102" s="5"/>
      <c r="D102" s="5"/>
      <c r="E102" s="5"/>
      <c r="F102" s="5"/>
      <c r="G102" s="5"/>
      <c r="J102" s="5"/>
      <c r="K102" s="5"/>
      <c r="L102" s="5"/>
      <c r="M102" s="5"/>
      <c r="N102" s="5"/>
      <c r="O102" s="5"/>
      <c r="Q102" s="5"/>
      <c r="R102" s="5"/>
      <c r="S102" s="5"/>
      <c r="T102" s="5"/>
      <c r="U102" s="5"/>
      <c r="V102" s="5"/>
      <c r="W102" s="5"/>
      <c r="Y102" s="5"/>
      <c r="Z102" s="5"/>
      <c r="AA102" s="5"/>
      <c r="AB102" s="5"/>
      <c r="AC102" s="5"/>
      <c r="AD102" s="5"/>
      <c r="AE102" s="5"/>
      <c r="AG102" s="5"/>
      <c r="AH102" s="5"/>
      <c r="AI102" s="5"/>
      <c r="AJ102" s="5"/>
      <c r="AK102" s="5"/>
      <c r="AL102" s="5"/>
      <c r="AM102" s="5"/>
    </row>
    <row r="103" spans="1:39" x14ac:dyDescent="0.2">
      <c r="A103" s="4"/>
      <c r="B103" s="5"/>
      <c r="C103" s="5"/>
      <c r="D103" s="5"/>
      <c r="E103" s="5"/>
      <c r="F103" s="5"/>
      <c r="G103" s="5"/>
      <c r="J103" s="5"/>
      <c r="K103" s="5"/>
      <c r="L103" s="5"/>
      <c r="M103" s="5"/>
      <c r="N103" s="5"/>
      <c r="O103" s="5"/>
      <c r="Q103" s="5"/>
      <c r="R103" s="5"/>
      <c r="S103" s="5"/>
      <c r="T103" s="5"/>
      <c r="U103" s="5"/>
      <c r="V103" s="5"/>
      <c r="W103" s="5"/>
      <c r="Y103" s="5"/>
      <c r="Z103" s="5"/>
      <c r="AA103" s="5"/>
      <c r="AB103" s="5"/>
      <c r="AC103" s="5"/>
      <c r="AD103" s="5"/>
      <c r="AE103" s="5"/>
      <c r="AG103" s="5"/>
      <c r="AH103" s="5"/>
      <c r="AI103" s="5"/>
      <c r="AJ103" s="5"/>
      <c r="AK103" s="5"/>
      <c r="AL103" s="5"/>
      <c r="AM103" s="5"/>
    </row>
    <row r="104" spans="1:39" x14ac:dyDescent="0.2">
      <c r="A104" s="4"/>
      <c r="B104" s="5"/>
      <c r="C104" s="5"/>
      <c r="D104" s="5"/>
      <c r="E104" s="5"/>
      <c r="F104" s="5"/>
      <c r="G104" s="5"/>
      <c r="J104" s="5"/>
      <c r="K104" s="5"/>
      <c r="L104" s="5"/>
      <c r="M104" s="5"/>
      <c r="N104" s="5"/>
      <c r="O104" s="5"/>
      <c r="Q104" s="5"/>
      <c r="R104" s="5"/>
      <c r="S104" s="5"/>
      <c r="T104" s="5"/>
      <c r="U104" s="5"/>
      <c r="V104" s="5"/>
      <c r="W104" s="5"/>
      <c r="Y104" s="5"/>
      <c r="Z104" s="5"/>
      <c r="AA104" s="5"/>
      <c r="AB104" s="5"/>
      <c r="AC104" s="5"/>
      <c r="AD104" s="5"/>
      <c r="AE104" s="5"/>
      <c r="AG104" s="5"/>
      <c r="AH104" s="5"/>
      <c r="AI104" s="5"/>
      <c r="AJ104" s="5"/>
      <c r="AK104" s="5"/>
      <c r="AL104" s="5"/>
      <c r="AM104" s="5"/>
    </row>
    <row r="105" spans="1:39" x14ac:dyDescent="0.2">
      <c r="A105" s="4"/>
      <c r="B105" s="5"/>
      <c r="C105" s="5"/>
      <c r="D105" s="5"/>
      <c r="E105" s="5"/>
      <c r="F105" s="5"/>
      <c r="G105" s="5"/>
      <c r="J105" s="5"/>
      <c r="K105" s="5"/>
      <c r="L105" s="5"/>
      <c r="M105" s="5"/>
      <c r="N105" s="5"/>
      <c r="O105" s="5"/>
      <c r="Q105" s="5"/>
      <c r="R105" s="5"/>
      <c r="S105" s="5"/>
      <c r="T105" s="5"/>
      <c r="U105" s="5"/>
      <c r="V105" s="5"/>
      <c r="W105" s="5"/>
      <c r="Y105" s="5"/>
      <c r="Z105" s="5"/>
      <c r="AA105" s="5"/>
      <c r="AB105" s="5"/>
      <c r="AC105" s="5"/>
      <c r="AD105" s="5"/>
      <c r="AE105" s="5"/>
      <c r="AG105" s="5"/>
      <c r="AH105" s="5"/>
      <c r="AI105" s="5"/>
      <c r="AJ105" s="5"/>
      <c r="AK105" s="5"/>
      <c r="AL105" s="5"/>
      <c r="AM105" s="5"/>
    </row>
    <row r="106" spans="1:39" x14ac:dyDescent="0.2">
      <c r="A106" s="4"/>
      <c r="B106" s="5"/>
      <c r="C106" s="5"/>
      <c r="D106" s="5"/>
      <c r="E106" s="5"/>
      <c r="F106" s="5"/>
      <c r="G106" s="5"/>
      <c r="J106" s="5"/>
      <c r="K106" s="5"/>
      <c r="L106" s="5"/>
      <c r="M106" s="5"/>
      <c r="N106" s="5"/>
      <c r="O106" s="5"/>
      <c r="Q106" s="5"/>
      <c r="R106" s="5"/>
      <c r="S106" s="5"/>
      <c r="T106" s="5"/>
      <c r="U106" s="5"/>
      <c r="V106" s="5"/>
      <c r="W106" s="5"/>
      <c r="Y106" s="5"/>
      <c r="Z106" s="5"/>
      <c r="AA106" s="5"/>
      <c r="AB106" s="5"/>
      <c r="AC106" s="5"/>
      <c r="AD106" s="5"/>
      <c r="AE106" s="5"/>
      <c r="AG106" s="5"/>
      <c r="AH106" s="5"/>
      <c r="AI106" s="5"/>
      <c r="AJ106" s="5"/>
      <c r="AK106" s="5"/>
      <c r="AL106" s="5"/>
      <c r="AM106" s="5"/>
    </row>
    <row r="107" spans="1:39" x14ac:dyDescent="0.2">
      <c r="A107" s="4"/>
      <c r="B107" s="5"/>
      <c r="C107" s="5"/>
      <c r="D107" s="5"/>
      <c r="E107" s="5"/>
      <c r="F107" s="5"/>
      <c r="G107" s="5"/>
      <c r="J107" s="5"/>
      <c r="K107" s="5"/>
      <c r="L107" s="5"/>
      <c r="M107" s="5"/>
      <c r="N107" s="5"/>
      <c r="O107" s="5"/>
      <c r="Q107" s="5"/>
      <c r="R107" s="5"/>
      <c r="S107" s="5"/>
      <c r="T107" s="5"/>
      <c r="U107" s="5"/>
      <c r="V107" s="5"/>
      <c r="W107" s="5"/>
      <c r="Y107" s="5"/>
      <c r="Z107" s="5"/>
      <c r="AA107" s="5"/>
      <c r="AB107" s="5"/>
      <c r="AC107" s="5"/>
      <c r="AD107" s="5"/>
      <c r="AE107" s="5"/>
      <c r="AG107" s="5"/>
      <c r="AH107" s="5"/>
      <c r="AI107" s="5"/>
      <c r="AJ107" s="5"/>
      <c r="AK107" s="5"/>
      <c r="AL107" s="5"/>
      <c r="AM107" s="5"/>
    </row>
    <row r="108" spans="1:39" x14ac:dyDescent="0.2">
      <c r="A108" s="4"/>
      <c r="B108" s="5"/>
      <c r="C108" s="5"/>
      <c r="D108" s="5"/>
      <c r="E108" s="5"/>
      <c r="F108" s="5"/>
      <c r="G108" s="5"/>
      <c r="J108" s="5"/>
      <c r="K108" s="5"/>
      <c r="L108" s="5"/>
      <c r="M108" s="5"/>
      <c r="N108" s="5"/>
      <c r="O108" s="5"/>
      <c r="Q108" s="5"/>
      <c r="R108" s="5"/>
      <c r="S108" s="5"/>
      <c r="T108" s="5"/>
      <c r="U108" s="5"/>
      <c r="V108" s="5"/>
      <c r="W108" s="5"/>
      <c r="Y108" s="5"/>
      <c r="Z108" s="5"/>
      <c r="AA108" s="5"/>
      <c r="AB108" s="5"/>
      <c r="AC108" s="5"/>
      <c r="AD108" s="5"/>
      <c r="AE108" s="5"/>
      <c r="AG108" s="5"/>
      <c r="AH108" s="5"/>
      <c r="AI108" s="5"/>
      <c r="AJ108" s="5"/>
      <c r="AK108" s="5"/>
      <c r="AL108" s="5"/>
      <c r="AM108" s="5"/>
    </row>
    <row r="109" spans="1:39" x14ac:dyDescent="0.2">
      <c r="A109" s="4"/>
      <c r="B109" s="5"/>
      <c r="C109" s="5"/>
      <c r="D109" s="5"/>
      <c r="E109" s="5"/>
      <c r="F109" s="5"/>
      <c r="G109" s="5"/>
      <c r="J109" s="5"/>
      <c r="K109" s="5"/>
      <c r="L109" s="5"/>
      <c r="M109" s="5"/>
      <c r="N109" s="5"/>
      <c r="O109" s="5"/>
      <c r="Q109" s="5"/>
      <c r="R109" s="5"/>
      <c r="S109" s="5"/>
      <c r="T109" s="5"/>
      <c r="U109" s="5"/>
      <c r="V109" s="5"/>
      <c r="W109" s="5"/>
      <c r="Y109" s="5"/>
      <c r="Z109" s="5"/>
      <c r="AA109" s="5"/>
      <c r="AB109" s="5"/>
      <c r="AC109" s="5"/>
      <c r="AD109" s="5"/>
      <c r="AE109" s="5"/>
      <c r="AG109" s="5"/>
      <c r="AH109" s="5"/>
      <c r="AI109" s="5"/>
      <c r="AJ109" s="5"/>
      <c r="AK109" s="5"/>
      <c r="AL109" s="5"/>
      <c r="AM109" s="5"/>
    </row>
    <row r="110" spans="1:39" x14ac:dyDescent="0.2">
      <c r="A110" s="4"/>
      <c r="B110" s="5"/>
      <c r="C110" s="5"/>
      <c r="D110" s="5"/>
      <c r="E110" s="5"/>
      <c r="F110" s="5"/>
      <c r="G110" s="5"/>
      <c r="J110" s="5"/>
      <c r="K110" s="5"/>
      <c r="L110" s="5"/>
      <c r="M110" s="5"/>
      <c r="N110" s="5"/>
      <c r="O110" s="5"/>
      <c r="Q110" s="5"/>
      <c r="R110" s="5"/>
      <c r="S110" s="5"/>
      <c r="T110" s="5"/>
      <c r="U110" s="5"/>
      <c r="V110" s="5"/>
      <c r="W110" s="5"/>
      <c r="Y110" s="5"/>
      <c r="Z110" s="5"/>
      <c r="AA110" s="5"/>
      <c r="AB110" s="5"/>
      <c r="AC110" s="5"/>
      <c r="AD110" s="5"/>
      <c r="AE110" s="5"/>
      <c r="AG110" s="5"/>
      <c r="AH110" s="5"/>
      <c r="AI110" s="5"/>
      <c r="AJ110" s="5"/>
      <c r="AK110" s="5"/>
      <c r="AL110" s="5"/>
      <c r="AM110" s="5"/>
    </row>
    <row r="111" spans="1:39" x14ac:dyDescent="0.2">
      <c r="A111" s="4"/>
      <c r="B111" s="5"/>
      <c r="C111" s="5"/>
      <c r="D111" s="5"/>
      <c r="E111" s="5"/>
      <c r="F111" s="5"/>
      <c r="G111" s="5"/>
      <c r="J111" s="5"/>
      <c r="K111" s="5"/>
      <c r="L111" s="5"/>
      <c r="M111" s="5"/>
      <c r="N111" s="5"/>
      <c r="O111" s="5"/>
      <c r="Q111" s="5"/>
      <c r="R111" s="5"/>
      <c r="S111" s="5"/>
      <c r="T111" s="5"/>
      <c r="U111" s="5"/>
      <c r="V111" s="5"/>
      <c r="W111" s="5"/>
      <c r="Y111" s="5"/>
      <c r="Z111" s="5"/>
      <c r="AA111" s="5"/>
      <c r="AB111" s="5"/>
      <c r="AC111" s="5"/>
      <c r="AD111" s="5"/>
      <c r="AE111" s="5"/>
      <c r="AG111" s="5"/>
      <c r="AH111" s="5"/>
      <c r="AI111" s="5"/>
      <c r="AJ111" s="5"/>
      <c r="AK111" s="5"/>
      <c r="AL111" s="5"/>
      <c r="AM111" s="5"/>
    </row>
    <row r="112" spans="1:39" x14ac:dyDescent="0.2">
      <c r="A112" s="4"/>
      <c r="B112" s="5"/>
      <c r="C112" s="5"/>
      <c r="D112" s="5"/>
      <c r="E112" s="5"/>
      <c r="F112" s="5"/>
      <c r="G112" s="5"/>
      <c r="J112" s="5"/>
      <c r="K112" s="5"/>
      <c r="L112" s="5"/>
      <c r="M112" s="5"/>
      <c r="N112" s="5"/>
      <c r="O112" s="5"/>
      <c r="Q112" s="5"/>
      <c r="R112" s="5"/>
      <c r="S112" s="5"/>
      <c r="T112" s="5"/>
      <c r="U112" s="5"/>
      <c r="V112" s="5"/>
      <c r="W112" s="5"/>
      <c r="Y112" s="5"/>
      <c r="Z112" s="5"/>
      <c r="AA112" s="5"/>
      <c r="AB112" s="5"/>
      <c r="AC112" s="5"/>
      <c r="AD112" s="5"/>
      <c r="AE112" s="5"/>
      <c r="AG112" s="5"/>
      <c r="AH112" s="5"/>
      <c r="AI112" s="5"/>
      <c r="AJ112" s="5"/>
      <c r="AK112" s="5"/>
      <c r="AL112" s="5"/>
      <c r="AM112" s="5"/>
    </row>
    <row r="113" spans="1:40" x14ac:dyDescent="0.2">
      <c r="A113" s="4"/>
      <c r="B113" s="5"/>
      <c r="C113" s="5"/>
      <c r="D113" s="5"/>
      <c r="E113" s="5"/>
      <c r="F113" s="5"/>
      <c r="G113" s="5"/>
      <c r="J113" s="5"/>
      <c r="K113" s="5"/>
      <c r="L113" s="5"/>
      <c r="M113" s="5"/>
      <c r="N113" s="5"/>
      <c r="O113" s="5"/>
      <c r="Q113" s="5"/>
      <c r="R113" s="5"/>
      <c r="S113" s="5"/>
      <c r="T113" s="5"/>
      <c r="U113" s="5"/>
      <c r="V113" s="5"/>
      <c r="W113" s="5"/>
      <c r="Y113" s="5"/>
      <c r="Z113" s="5"/>
      <c r="AA113" s="5"/>
      <c r="AB113" s="5"/>
      <c r="AC113" s="5"/>
      <c r="AD113" s="5"/>
      <c r="AE113" s="5"/>
      <c r="AG113" s="5"/>
      <c r="AH113" s="5"/>
      <c r="AI113" s="5"/>
      <c r="AJ113" s="5"/>
      <c r="AK113" s="5"/>
      <c r="AL113" s="5"/>
      <c r="AM113" s="5"/>
    </row>
    <row r="114" spans="1:40" s="6" customFormat="1" ht="13.5" thickBot="1" x14ac:dyDescent="0.25">
      <c r="A114" s="8"/>
      <c r="H114" s="7"/>
      <c r="I114" s="8"/>
      <c r="P114" s="7"/>
      <c r="X114" s="7"/>
      <c r="AF114" s="7"/>
      <c r="AN114" s="7"/>
    </row>
    <row r="115" spans="1:40" s="10" customFormat="1" x14ac:dyDescent="0.2">
      <c r="A115" s="9"/>
      <c r="H115" s="11"/>
      <c r="I115" s="9"/>
      <c r="P115" s="11"/>
      <c r="X115" s="11"/>
      <c r="AF115" s="11"/>
      <c r="AN115" s="11"/>
    </row>
    <row r="116" spans="1:40" ht="13.5" thickBot="1" x14ac:dyDescent="0.25">
      <c r="A116" s="4"/>
      <c r="B116" s="5"/>
      <c r="C116" s="5"/>
      <c r="D116" s="1" t="str">
        <f>'Point Estimates'!A35</f>
        <v>Ce - Norte Cearense</v>
      </c>
      <c r="E116" s="1" t="str">
        <f>'Point Estimates'!$B$5</f>
        <v>desl</v>
      </c>
      <c r="F116" s="5"/>
      <c r="G116" s="5"/>
      <c r="J116" s="5"/>
      <c r="K116" s="5"/>
      <c r="L116" s="1" t="str">
        <f>'Point Estimates'!A36</f>
        <v>Ce - Metropol Fortaleza</v>
      </c>
      <c r="M116" s="1" t="str">
        <f>'Point Estimates'!$B$5</f>
        <v>desl</v>
      </c>
      <c r="N116" s="5"/>
      <c r="O116" s="5"/>
      <c r="Q116" s="5"/>
      <c r="R116" s="5"/>
      <c r="S116" s="5"/>
      <c r="T116" s="1" t="str">
        <f>'Point Estimates'!A37</f>
        <v>Ce - Sertoes Cearenses</v>
      </c>
      <c r="U116" s="1" t="str">
        <f>'Point Estimates'!$B$5</f>
        <v>desl</v>
      </c>
      <c r="V116" s="5"/>
      <c r="W116" s="5"/>
      <c r="Y116" s="5"/>
      <c r="Z116" s="5"/>
      <c r="AA116" s="5"/>
      <c r="AB116" s="1" t="str">
        <f>'Point Estimates'!A38</f>
        <v>Ce - Jaguaribe</v>
      </c>
      <c r="AC116" s="1" t="str">
        <f>'Point Estimates'!$B$5</f>
        <v>desl</v>
      </c>
      <c r="AD116" s="5"/>
      <c r="AE116" s="5"/>
      <c r="AG116" s="5"/>
      <c r="AH116" s="5"/>
      <c r="AI116" s="5"/>
      <c r="AJ116" s="1" t="str">
        <f>'Point Estimates'!A39</f>
        <v>Ce - Centro-Sul Cearense</v>
      </c>
      <c r="AK116" s="1" t="str">
        <f>'Point Estimates'!$B$5</f>
        <v>desl</v>
      </c>
      <c r="AL116" s="5"/>
      <c r="AM116" s="5"/>
    </row>
    <row r="117" spans="1:40" x14ac:dyDescent="0.2">
      <c r="A117" s="4"/>
      <c r="B117" s="5"/>
      <c r="C117" s="5"/>
      <c r="D117" s="5"/>
      <c r="E117" s="5"/>
      <c r="F117" s="5"/>
      <c r="G117" s="5"/>
      <c r="J117" s="5"/>
      <c r="K117" s="5"/>
      <c r="L117" s="5"/>
      <c r="M117" s="5"/>
      <c r="N117" s="5"/>
      <c r="O117" s="5"/>
      <c r="Q117" s="5"/>
      <c r="R117" s="5"/>
      <c r="S117" s="5"/>
      <c r="T117" s="5"/>
      <c r="U117" s="5"/>
      <c r="V117" s="5"/>
      <c r="W117" s="5"/>
      <c r="Y117" s="5"/>
      <c r="Z117" s="5"/>
      <c r="AA117" s="5"/>
      <c r="AB117" s="5"/>
      <c r="AC117" s="5"/>
      <c r="AD117" s="5"/>
      <c r="AE117" s="5"/>
      <c r="AG117" s="5"/>
      <c r="AH117" s="5"/>
      <c r="AI117" s="5"/>
      <c r="AJ117" s="5"/>
      <c r="AK117" s="5"/>
      <c r="AL117" s="5"/>
      <c r="AM117" s="5"/>
    </row>
    <row r="118" spans="1:40" x14ac:dyDescent="0.2">
      <c r="A118" s="4"/>
      <c r="B118" s="5"/>
      <c r="C118" s="5"/>
      <c r="D118" s="5"/>
      <c r="E118" s="5"/>
      <c r="F118" s="5"/>
      <c r="G118" s="5"/>
      <c r="J118" s="5"/>
      <c r="K118" s="5"/>
      <c r="L118" s="5"/>
      <c r="M118" s="5"/>
      <c r="N118" s="5"/>
      <c r="O118" s="5"/>
      <c r="Q118" s="5"/>
      <c r="R118" s="5"/>
      <c r="S118" s="5"/>
      <c r="T118" s="5"/>
      <c r="U118" s="5"/>
      <c r="V118" s="5"/>
      <c r="W118" s="5"/>
      <c r="Y118" s="5"/>
      <c r="Z118" s="5"/>
      <c r="AA118" s="5"/>
      <c r="AB118" s="5"/>
      <c r="AC118" s="5"/>
      <c r="AD118" s="5"/>
      <c r="AE118" s="5"/>
      <c r="AG118" s="5"/>
      <c r="AH118" s="5"/>
      <c r="AI118" s="5"/>
      <c r="AJ118" s="5"/>
      <c r="AK118" s="5"/>
      <c r="AL118" s="5"/>
      <c r="AM118" s="5"/>
    </row>
    <row r="119" spans="1:40" x14ac:dyDescent="0.2">
      <c r="A119" s="4"/>
      <c r="B119" s="5"/>
      <c r="C119" s="5"/>
      <c r="D119" s="5"/>
      <c r="E119" s="5"/>
      <c r="F119" s="5"/>
      <c r="G119" s="5"/>
      <c r="J119" s="5"/>
      <c r="K119" s="5"/>
      <c r="L119" s="5"/>
      <c r="M119" s="5"/>
      <c r="N119" s="5"/>
      <c r="O119" s="5"/>
      <c r="Q119" s="5"/>
      <c r="R119" s="5"/>
      <c r="S119" s="5"/>
      <c r="T119" s="5"/>
      <c r="U119" s="5"/>
      <c r="V119" s="5"/>
      <c r="W119" s="5"/>
      <c r="Y119" s="5"/>
      <c r="Z119" s="5"/>
      <c r="AA119" s="5"/>
      <c r="AB119" s="5"/>
      <c r="AC119" s="5"/>
      <c r="AD119" s="5"/>
      <c r="AE119" s="5"/>
      <c r="AG119" s="5"/>
      <c r="AH119" s="5"/>
      <c r="AI119" s="5"/>
      <c r="AJ119" s="5"/>
      <c r="AK119" s="5"/>
      <c r="AL119" s="5"/>
      <c r="AM119" s="5"/>
    </row>
    <row r="120" spans="1:40" x14ac:dyDescent="0.2">
      <c r="A120" s="4"/>
      <c r="B120" s="5"/>
      <c r="C120" s="5"/>
      <c r="D120" s="5"/>
      <c r="E120" s="5"/>
      <c r="F120" s="5"/>
      <c r="G120" s="5"/>
      <c r="J120" s="5"/>
      <c r="K120" s="5"/>
      <c r="L120" s="5"/>
      <c r="M120" s="5"/>
      <c r="N120" s="5"/>
      <c r="O120" s="5"/>
      <c r="Q120" s="5"/>
      <c r="R120" s="5"/>
      <c r="S120" s="5"/>
      <c r="T120" s="5"/>
      <c r="U120" s="5"/>
      <c r="V120" s="5"/>
      <c r="W120" s="5"/>
      <c r="Y120" s="5"/>
      <c r="Z120" s="5"/>
      <c r="AA120" s="5"/>
      <c r="AB120" s="5"/>
      <c r="AC120" s="5"/>
      <c r="AD120" s="5"/>
      <c r="AE120" s="5"/>
      <c r="AG120" s="5"/>
      <c r="AH120" s="5"/>
      <c r="AI120" s="5"/>
      <c r="AJ120" s="5"/>
      <c r="AK120" s="5"/>
      <c r="AL120" s="5"/>
      <c r="AM120" s="5"/>
    </row>
    <row r="121" spans="1:40" x14ac:dyDescent="0.2">
      <c r="A121" s="4"/>
      <c r="B121" s="5"/>
      <c r="C121" s="5"/>
      <c r="D121" s="5"/>
      <c r="E121" s="5"/>
      <c r="F121" s="5"/>
      <c r="G121" s="5"/>
      <c r="J121" s="5"/>
      <c r="K121" s="5"/>
      <c r="L121" s="5"/>
      <c r="M121" s="5"/>
      <c r="N121" s="5"/>
      <c r="O121" s="5"/>
      <c r="Q121" s="5"/>
      <c r="R121" s="5"/>
      <c r="S121" s="5"/>
      <c r="T121" s="5"/>
      <c r="U121" s="5"/>
      <c r="V121" s="5"/>
      <c r="W121" s="5"/>
      <c r="Y121" s="5"/>
      <c r="Z121" s="5"/>
      <c r="AA121" s="5"/>
      <c r="AB121" s="5"/>
      <c r="AC121" s="5"/>
      <c r="AD121" s="5"/>
      <c r="AE121" s="5"/>
      <c r="AG121" s="5"/>
      <c r="AH121" s="5"/>
      <c r="AI121" s="5"/>
      <c r="AJ121" s="5"/>
      <c r="AK121" s="5"/>
      <c r="AL121" s="5"/>
      <c r="AM121" s="5"/>
    </row>
    <row r="122" spans="1:40" x14ac:dyDescent="0.2">
      <c r="A122" s="4"/>
      <c r="B122" s="5"/>
      <c r="C122" s="5"/>
      <c r="D122" s="5"/>
      <c r="E122" s="5"/>
      <c r="F122" s="5"/>
      <c r="G122" s="5"/>
      <c r="J122" s="5"/>
      <c r="K122" s="5"/>
      <c r="L122" s="5"/>
      <c r="M122" s="5"/>
      <c r="N122" s="5"/>
      <c r="O122" s="5"/>
      <c r="Q122" s="5"/>
      <c r="R122" s="5"/>
      <c r="S122" s="5"/>
      <c r="T122" s="5"/>
      <c r="U122" s="5"/>
      <c r="V122" s="5"/>
      <c r="W122" s="5"/>
      <c r="Y122" s="5"/>
      <c r="Z122" s="5"/>
      <c r="AA122" s="5"/>
      <c r="AB122" s="5"/>
      <c r="AC122" s="5"/>
      <c r="AD122" s="5"/>
      <c r="AE122" s="5"/>
      <c r="AG122" s="5"/>
      <c r="AH122" s="5"/>
      <c r="AI122" s="5"/>
      <c r="AJ122" s="5"/>
      <c r="AK122" s="5"/>
      <c r="AL122" s="5"/>
      <c r="AM122" s="5"/>
    </row>
    <row r="123" spans="1:40" x14ac:dyDescent="0.2">
      <c r="A123" s="4"/>
      <c r="B123" s="5"/>
      <c r="C123" s="5"/>
      <c r="D123" s="5"/>
      <c r="E123" s="5"/>
      <c r="F123" s="5"/>
      <c r="G123" s="5"/>
      <c r="J123" s="5"/>
      <c r="K123" s="5"/>
      <c r="L123" s="5"/>
      <c r="M123" s="5"/>
      <c r="N123" s="5"/>
      <c r="O123" s="5"/>
      <c r="Q123" s="5"/>
      <c r="R123" s="5"/>
      <c r="S123" s="5"/>
      <c r="T123" s="5"/>
      <c r="U123" s="5"/>
      <c r="V123" s="5"/>
      <c r="W123" s="5"/>
      <c r="Y123" s="5"/>
      <c r="Z123" s="5"/>
      <c r="AA123" s="5"/>
      <c r="AB123" s="5"/>
      <c r="AC123" s="5"/>
      <c r="AD123" s="5"/>
      <c r="AE123" s="5"/>
      <c r="AG123" s="5"/>
      <c r="AH123" s="5"/>
      <c r="AI123" s="5"/>
      <c r="AJ123" s="5"/>
      <c r="AK123" s="5"/>
      <c r="AL123" s="5"/>
      <c r="AM123" s="5"/>
    </row>
    <row r="124" spans="1:40" x14ac:dyDescent="0.2">
      <c r="A124" s="4"/>
      <c r="B124" s="5"/>
      <c r="C124" s="5"/>
      <c r="D124" s="5"/>
      <c r="E124" s="5"/>
      <c r="F124" s="5"/>
      <c r="G124" s="5"/>
      <c r="J124" s="5"/>
      <c r="K124" s="5"/>
      <c r="L124" s="5"/>
      <c r="M124" s="5"/>
      <c r="N124" s="5"/>
      <c r="O124" s="5"/>
      <c r="Q124" s="5"/>
      <c r="R124" s="5"/>
      <c r="S124" s="5"/>
      <c r="T124" s="5"/>
      <c r="U124" s="5"/>
      <c r="V124" s="5"/>
      <c r="W124" s="5"/>
      <c r="Y124" s="5"/>
      <c r="Z124" s="5"/>
      <c r="AA124" s="5"/>
      <c r="AB124" s="5"/>
      <c r="AC124" s="5"/>
      <c r="AD124" s="5"/>
      <c r="AE124" s="5"/>
      <c r="AG124" s="5"/>
      <c r="AH124" s="5"/>
      <c r="AI124" s="5"/>
      <c r="AJ124" s="5"/>
      <c r="AK124" s="5"/>
      <c r="AL124" s="5"/>
      <c r="AM124" s="5"/>
    </row>
    <row r="125" spans="1:40" x14ac:dyDescent="0.2">
      <c r="A125" s="4"/>
      <c r="B125" s="5"/>
      <c r="C125" s="5"/>
      <c r="D125" s="5"/>
      <c r="E125" s="5"/>
      <c r="F125" s="5"/>
      <c r="G125" s="5"/>
      <c r="J125" s="5"/>
      <c r="K125" s="5"/>
      <c r="L125" s="5"/>
      <c r="M125" s="5"/>
      <c r="N125" s="5"/>
      <c r="O125" s="5"/>
      <c r="Q125" s="5"/>
      <c r="R125" s="5"/>
      <c r="S125" s="5"/>
      <c r="T125" s="5"/>
      <c r="U125" s="5"/>
      <c r="V125" s="5"/>
      <c r="W125" s="5"/>
      <c r="Y125" s="5"/>
      <c r="Z125" s="5"/>
      <c r="AA125" s="5"/>
      <c r="AB125" s="5"/>
      <c r="AC125" s="5"/>
      <c r="AD125" s="5"/>
      <c r="AE125" s="5"/>
      <c r="AG125" s="5"/>
      <c r="AH125" s="5"/>
      <c r="AI125" s="5"/>
      <c r="AJ125" s="5"/>
      <c r="AK125" s="5"/>
      <c r="AL125" s="5"/>
      <c r="AM125" s="5"/>
    </row>
    <row r="126" spans="1:40" x14ac:dyDescent="0.2">
      <c r="A126" s="4"/>
      <c r="B126" s="5"/>
      <c r="C126" s="5"/>
      <c r="D126" s="5"/>
      <c r="E126" s="5"/>
      <c r="F126" s="5"/>
      <c r="G126" s="5"/>
      <c r="J126" s="5"/>
      <c r="K126" s="5"/>
      <c r="L126" s="5"/>
      <c r="M126" s="5"/>
      <c r="N126" s="5"/>
      <c r="O126" s="5"/>
      <c r="Q126" s="5"/>
      <c r="R126" s="5"/>
      <c r="S126" s="5"/>
      <c r="T126" s="5"/>
      <c r="U126" s="5"/>
      <c r="V126" s="5"/>
      <c r="W126" s="5"/>
      <c r="Y126" s="5"/>
      <c r="Z126" s="5"/>
      <c r="AA126" s="5"/>
      <c r="AB126" s="5"/>
      <c r="AC126" s="5"/>
      <c r="AD126" s="5"/>
      <c r="AE126" s="5"/>
      <c r="AG126" s="5"/>
      <c r="AH126" s="5"/>
      <c r="AI126" s="5"/>
      <c r="AJ126" s="5"/>
      <c r="AK126" s="5"/>
      <c r="AL126" s="5"/>
      <c r="AM126" s="5"/>
    </row>
    <row r="127" spans="1:40" x14ac:dyDescent="0.2">
      <c r="A127" s="4"/>
      <c r="B127" s="5"/>
      <c r="C127" s="5"/>
      <c r="D127" s="5"/>
      <c r="E127" s="5"/>
      <c r="F127" s="5"/>
      <c r="G127" s="5"/>
      <c r="J127" s="5"/>
      <c r="K127" s="5"/>
      <c r="L127" s="5"/>
      <c r="M127" s="5"/>
      <c r="N127" s="5"/>
      <c r="O127" s="5"/>
      <c r="Q127" s="5"/>
      <c r="R127" s="5"/>
      <c r="S127" s="5"/>
      <c r="T127" s="5"/>
      <c r="U127" s="5"/>
      <c r="V127" s="5"/>
      <c r="W127" s="5"/>
      <c r="Y127" s="5"/>
      <c r="Z127" s="5"/>
      <c r="AA127" s="5"/>
      <c r="AB127" s="5"/>
      <c r="AC127" s="5"/>
      <c r="AD127" s="5"/>
      <c r="AE127" s="5"/>
      <c r="AG127" s="5"/>
      <c r="AH127" s="5"/>
      <c r="AI127" s="5"/>
      <c r="AJ127" s="5"/>
      <c r="AK127" s="5"/>
      <c r="AL127" s="5"/>
      <c r="AM127" s="5"/>
    </row>
    <row r="128" spans="1:40" x14ac:dyDescent="0.2">
      <c r="A128" s="4"/>
      <c r="B128" s="5"/>
      <c r="C128" s="5"/>
      <c r="D128" s="5"/>
      <c r="E128" s="5"/>
      <c r="F128" s="5"/>
      <c r="G128" s="5"/>
      <c r="J128" s="5"/>
      <c r="K128" s="5"/>
      <c r="L128" s="5"/>
      <c r="M128" s="5"/>
      <c r="N128" s="5"/>
      <c r="O128" s="5"/>
      <c r="Q128" s="5"/>
      <c r="R128" s="5"/>
      <c r="S128" s="5"/>
      <c r="T128" s="5"/>
      <c r="U128" s="5"/>
      <c r="V128" s="5"/>
      <c r="W128" s="5"/>
      <c r="Y128" s="5"/>
      <c r="Z128" s="5"/>
      <c r="AA128" s="5"/>
      <c r="AB128" s="5"/>
      <c r="AC128" s="5"/>
      <c r="AD128" s="5"/>
      <c r="AE128" s="5"/>
      <c r="AG128" s="5"/>
      <c r="AH128" s="5"/>
      <c r="AI128" s="5"/>
      <c r="AJ128" s="5"/>
      <c r="AK128" s="5"/>
      <c r="AL128" s="5"/>
      <c r="AM128" s="5"/>
    </row>
    <row r="129" spans="1:40" x14ac:dyDescent="0.2">
      <c r="A129" s="4"/>
      <c r="B129" s="5"/>
      <c r="C129" s="5"/>
      <c r="D129" s="5"/>
      <c r="E129" s="5"/>
      <c r="F129" s="5"/>
      <c r="G129" s="5"/>
      <c r="J129" s="5"/>
      <c r="K129" s="5"/>
      <c r="L129" s="5"/>
      <c r="M129" s="5"/>
      <c r="N129" s="5"/>
      <c r="O129" s="5"/>
      <c r="Q129" s="5"/>
      <c r="R129" s="5"/>
      <c r="S129" s="5"/>
      <c r="T129" s="5"/>
      <c r="U129" s="5"/>
      <c r="V129" s="5"/>
      <c r="W129" s="5"/>
      <c r="Y129" s="5"/>
      <c r="Z129" s="5"/>
      <c r="AA129" s="5"/>
      <c r="AB129" s="5"/>
      <c r="AC129" s="5"/>
      <c r="AD129" s="5"/>
      <c r="AE129" s="5"/>
      <c r="AG129" s="5"/>
      <c r="AH129" s="5"/>
      <c r="AI129" s="5"/>
      <c r="AJ129" s="5"/>
      <c r="AK129" s="5"/>
      <c r="AL129" s="5"/>
      <c r="AM129" s="5"/>
    </row>
    <row r="130" spans="1:40" x14ac:dyDescent="0.2">
      <c r="A130" s="4"/>
      <c r="B130" s="5"/>
      <c r="C130" s="5"/>
      <c r="D130" s="5"/>
      <c r="E130" s="5"/>
      <c r="F130" s="5"/>
      <c r="G130" s="5"/>
      <c r="J130" s="5"/>
      <c r="K130" s="5"/>
      <c r="L130" s="5"/>
      <c r="M130" s="5"/>
      <c r="N130" s="5"/>
      <c r="O130" s="5"/>
      <c r="Q130" s="5"/>
      <c r="R130" s="5"/>
      <c r="S130" s="5"/>
      <c r="T130" s="5"/>
      <c r="U130" s="5"/>
      <c r="V130" s="5"/>
      <c r="W130" s="5"/>
      <c r="Y130" s="5"/>
      <c r="Z130" s="5"/>
      <c r="AA130" s="5"/>
      <c r="AB130" s="5"/>
      <c r="AC130" s="5"/>
      <c r="AD130" s="5"/>
      <c r="AE130" s="5"/>
      <c r="AG130" s="5"/>
      <c r="AH130" s="5"/>
      <c r="AI130" s="5"/>
      <c r="AJ130" s="5"/>
      <c r="AK130" s="5"/>
      <c r="AL130" s="5"/>
      <c r="AM130" s="5"/>
    </row>
    <row r="131" spans="1:40" x14ac:dyDescent="0.2">
      <c r="A131" s="4"/>
      <c r="B131" s="5"/>
      <c r="C131" s="5"/>
      <c r="D131" s="5"/>
      <c r="E131" s="5"/>
      <c r="F131" s="5"/>
      <c r="G131" s="5"/>
      <c r="J131" s="5"/>
      <c r="K131" s="5"/>
      <c r="L131" s="5"/>
      <c r="M131" s="5"/>
      <c r="N131" s="5"/>
      <c r="O131" s="5"/>
      <c r="Q131" s="5"/>
      <c r="R131" s="5"/>
      <c r="S131" s="5"/>
      <c r="T131" s="5"/>
      <c r="U131" s="5"/>
      <c r="V131" s="5"/>
      <c r="W131" s="5"/>
      <c r="Y131" s="5"/>
      <c r="Z131" s="5"/>
      <c r="AA131" s="5"/>
      <c r="AB131" s="5"/>
      <c r="AC131" s="5"/>
      <c r="AD131" s="5"/>
      <c r="AE131" s="5"/>
      <c r="AG131" s="5"/>
      <c r="AH131" s="5"/>
      <c r="AI131" s="5"/>
      <c r="AJ131" s="5"/>
      <c r="AK131" s="5"/>
      <c r="AL131" s="5"/>
      <c r="AM131" s="5"/>
    </row>
    <row r="132" spans="1:40" x14ac:dyDescent="0.2">
      <c r="A132" s="4"/>
      <c r="B132" s="5"/>
      <c r="C132" s="5"/>
      <c r="D132" s="5"/>
      <c r="E132" s="5"/>
      <c r="F132" s="5"/>
      <c r="G132" s="5"/>
      <c r="J132" s="5"/>
      <c r="K132" s="5"/>
      <c r="L132" s="5"/>
      <c r="M132" s="5"/>
      <c r="N132" s="5"/>
      <c r="O132" s="5"/>
      <c r="Q132" s="5"/>
      <c r="R132" s="5"/>
      <c r="S132" s="5"/>
      <c r="T132" s="5"/>
      <c r="U132" s="5"/>
      <c r="V132" s="5"/>
      <c r="W132" s="5"/>
      <c r="Y132" s="5"/>
      <c r="Z132" s="5"/>
      <c r="AA132" s="5"/>
      <c r="AB132" s="5"/>
      <c r="AC132" s="5"/>
      <c r="AD132" s="5"/>
      <c r="AE132" s="5"/>
      <c r="AG132" s="5"/>
      <c r="AH132" s="5"/>
      <c r="AI132" s="5"/>
      <c r="AJ132" s="5"/>
      <c r="AK132" s="5"/>
      <c r="AL132" s="5"/>
      <c r="AM132" s="5"/>
    </row>
    <row r="133" spans="1:40" s="6" customFormat="1" ht="13.5" thickBot="1" x14ac:dyDescent="0.25">
      <c r="A133" s="8"/>
      <c r="H133" s="7"/>
      <c r="I133" s="8"/>
      <c r="P133" s="7"/>
      <c r="X133" s="7"/>
      <c r="AF133" s="7"/>
      <c r="AN133" s="7"/>
    </row>
    <row r="135" spans="1:40" ht="13.5" thickBot="1" x14ac:dyDescent="0.25">
      <c r="D135" s="1" t="str">
        <f>'Point Estimates'!A40</f>
        <v>Ce - Sul Cearense</v>
      </c>
      <c r="E135" s="1" t="str">
        <f>'Point Estimates'!$B$5</f>
        <v>desl</v>
      </c>
      <c r="L135" s="1" t="str">
        <f>'Point Estimates'!A41</f>
        <v>Rn - Oeste Potiguar</v>
      </c>
      <c r="M135" s="1" t="str">
        <f>'Point Estimates'!$B$5</f>
        <v>desl</v>
      </c>
      <c r="T135" s="1" t="str">
        <f>'Point Estimates'!A42</f>
        <v>Rn - Central Potiguar</v>
      </c>
      <c r="U135" s="1" t="str">
        <f>'Point Estimates'!$B$5</f>
        <v>desl</v>
      </c>
      <c r="AB135" s="1" t="str">
        <f>'Point Estimates'!A43</f>
        <v>Rn - Agreste Potiguar</v>
      </c>
      <c r="AC135" s="1" t="str">
        <f>'Point Estimates'!$B$5</f>
        <v>desl</v>
      </c>
      <c r="AJ135" s="1" t="str">
        <f>'Point Estimates'!A44</f>
        <v>Rn - Leste Potiguar</v>
      </c>
      <c r="AK135" s="1" t="str">
        <f>'Point Estimates'!$B$5</f>
        <v>desl</v>
      </c>
    </row>
    <row r="152" spans="8:40" s="6" customFormat="1" ht="13.5" thickBot="1" x14ac:dyDescent="0.25">
      <c r="H152" s="7"/>
      <c r="I152" s="8"/>
      <c r="P152" s="7"/>
      <c r="X152" s="7"/>
      <c r="AF152" s="7"/>
      <c r="AN152" s="7"/>
    </row>
  </sheetData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43"/>
  <sheetViews>
    <sheetView topLeftCell="A115" workbookViewId="0">
      <selection activeCell="C143" sqref="C143:AY143"/>
    </sheetView>
  </sheetViews>
  <sheetFormatPr defaultRowHeight="12.75" x14ac:dyDescent="0.2"/>
  <cols>
    <col min="1" max="1" width="66.28515625" bestFit="1" customWidth="1"/>
  </cols>
  <sheetData>
    <row r="1" spans="1:51" x14ac:dyDescent="0.2">
      <c r="A1" t="s">
        <v>0</v>
      </c>
    </row>
    <row r="2" spans="1:51" x14ac:dyDescent="0.2">
      <c r="A2" t="s">
        <v>1</v>
      </c>
    </row>
    <row r="3" spans="1:51" x14ac:dyDescent="0.2">
      <c r="A3" t="s">
        <v>2</v>
      </c>
    </row>
    <row r="4" spans="1:51" x14ac:dyDescent="0.2">
      <c r="C4">
        <v>0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N4">
        <v>11</v>
      </c>
      <c r="O4">
        <v>12</v>
      </c>
      <c r="P4">
        <v>13</v>
      </c>
      <c r="Q4">
        <v>14</v>
      </c>
      <c r="R4">
        <v>15</v>
      </c>
      <c r="S4">
        <v>16</v>
      </c>
      <c r="T4">
        <v>17</v>
      </c>
      <c r="U4">
        <v>18</v>
      </c>
      <c r="V4">
        <v>19</v>
      </c>
      <c r="W4">
        <v>20</v>
      </c>
      <c r="X4">
        <v>21</v>
      </c>
      <c r="Y4">
        <v>22</v>
      </c>
      <c r="Z4">
        <v>23</v>
      </c>
      <c r="AA4">
        <v>24</v>
      </c>
      <c r="AB4">
        <v>25</v>
      </c>
      <c r="AC4">
        <v>26</v>
      </c>
      <c r="AD4">
        <v>27</v>
      </c>
      <c r="AE4">
        <v>28</v>
      </c>
      <c r="AF4">
        <v>29</v>
      </c>
      <c r="AG4">
        <v>30</v>
      </c>
      <c r="AH4">
        <v>31</v>
      </c>
      <c r="AI4">
        <v>32</v>
      </c>
      <c r="AJ4">
        <v>33</v>
      </c>
      <c r="AK4">
        <v>34</v>
      </c>
      <c r="AL4">
        <v>35</v>
      </c>
      <c r="AM4">
        <v>36</v>
      </c>
      <c r="AN4">
        <v>37</v>
      </c>
      <c r="AO4">
        <v>38</v>
      </c>
      <c r="AP4">
        <v>39</v>
      </c>
      <c r="AQ4">
        <v>40</v>
      </c>
      <c r="AR4">
        <v>41</v>
      </c>
      <c r="AS4">
        <v>42</v>
      </c>
      <c r="AT4">
        <v>43</v>
      </c>
      <c r="AU4">
        <v>44</v>
      </c>
      <c r="AV4">
        <v>45</v>
      </c>
      <c r="AW4">
        <v>46</v>
      </c>
      <c r="AX4">
        <v>47</v>
      </c>
      <c r="AY4">
        <v>48</v>
      </c>
    </row>
    <row r="5" spans="1:51" x14ac:dyDescent="0.2">
      <c r="A5" t="s">
        <v>3</v>
      </c>
      <c r="B5" t="s">
        <v>4</v>
      </c>
      <c r="C5">
        <v>64.986854394084105</v>
      </c>
      <c r="D5">
        <v>124.7097829284094</v>
      </c>
      <c r="E5">
        <v>237.19749720281899</v>
      </c>
      <c r="F5">
        <v>199.16752870199869</v>
      </c>
      <c r="G5">
        <v>271.68685897406789</v>
      </c>
      <c r="H5">
        <v>273.72944707351172</v>
      </c>
      <c r="I5">
        <v>327.02030231864387</v>
      </c>
      <c r="J5">
        <v>361.90920009491958</v>
      </c>
      <c r="K5">
        <v>386.09030472423211</v>
      </c>
      <c r="L5">
        <v>432.38879653094159</v>
      </c>
      <c r="M5">
        <v>451.4549404464239</v>
      </c>
      <c r="N5">
        <v>482.40561543267341</v>
      </c>
      <c r="O5">
        <v>495.32276118163406</v>
      </c>
      <c r="P5">
        <v>506.38673300473931</v>
      </c>
      <c r="Q5">
        <v>517.32034523308573</v>
      </c>
      <c r="R5">
        <v>522.78194917804592</v>
      </c>
      <c r="S5">
        <v>534.56803447134564</v>
      </c>
      <c r="T5">
        <v>543.62697644069658</v>
      </c>
      <c r="U5">
        <v>556.60788021637109</v>
      </c>
      <c r="V5">
        <v>569.6571780199265</v>
      </c>
      <c r="W5">
        <v>581.93598813879544</v>
      </c>
      <c r="X5">
        <v>594.28319517311047</v>
      </c>
      <c r="Y5">
        <v>603.78419993672628</v>
      </c>
      <c r="Z5">
        <v>612.52008515395858</v>
      </c>
      <c r="AA5">
        <v>619.12423989128331</v>
      </c>
      <c r="AB5">
        <v>624.65285466879811</v>
      </c>
      <c r="AC5">
        <v>629.5289090234445</v>
      </c>
      <c r="AD5">
        <v>633.80219593053209</v>
      </c>
      <c r="AE5">
        <v>638.37353124084848</v>
      </c>
      <c r="AF5">
        <v>642.93407122092538</v>
      </c>
      <c r="AG5">
        <v>647.86059627715088</v>
      </c>
      <c r="AH5">
        <v>652.8880050768305</v>
      </c>
      <c r="AI5">
        <v>657.82696406375339</v>
      </c>
      <c r="AJ5">
        <v>662.55469616449102</v>
      </c>
      <c r="AK5">
        <v>666.77158154629046</v>
      </c>
      <c r="AL5">
        <v>670.50489460383801</v>
      </c>
      <c r="AM5">
        <v>673.68746868587516</v>
      </c>
      <c r="AN5">
        <v>676.44817703475951</v>
      </c>
      <c r="AO5">
        <v>678.92555631770983</v>
      </c>
      <c r="AP5">
        <v>681.24060058345719</v>
      </c>
      <c r="AQ5">
        <v>683.53313565645237</v>
      </c>
      <c r="AR5">
        <v>685.83686273791818</v>
      </c>
      <c r="AS5">
        <v>688.17650149931717</v>
      </c>
      <c r="AT5">
        <v>690.5101869947739</v>
      </c>
      <c r="AU5">
        <v>692.78282069168654</v>
      </c>
      <c r="AV5">
        <v>694.94341115519217</v>
      </c>
      <c r="AW5">
        <v>696.9441709795617</v>
      </c>
      <c r="AX5">
        <v>698.77304453789998</v>
      </c>
      <c r="AY5">
        <v>700.43193579111482</v>
      </c>
    </row>
    <row r="6" spans="1:51" x14ac:dyDescent="0.2">
      <c r="A6" t="s">
        <v>5</v>
      </c>
      <c r="B6" t="s">
        <v>4</v>
      </c>
      <c r="C6">
        <v>96.183765344829084</v>
      </c>
      <c r="D6">
        <v>101.29619760687264</v>
      </c>
      <c r="E6">
        <v>284.4655785985442</v>
      </c>
      <c r="F6">
        <v>81.043935882788531</v>
      </c>
      <c r="G6">
        <v>187.70558879313049</v>
      </c>
      <c r="H6">
        <v>189.03868968787324</v>
      </c>
      <c r="I6">
        <v>209.93068665977862</v>
      </c>
      <c r="J6">
        <v>245.04078498661431</v>
      </c>
      <c r="K6">
        <v>207.46985773942725</v>
      </c>
      <c r="L6">
        <v>256.33117135498043</v>
      </c>
      <c r="M6">
        <v>243.74493818021077</v>
      </c>
      <c r="N6">
        <v>257.88177900370965</v>
      </c>
      <c r="O6">
        <v>261.34458520435123</v>
      </c>
      <c r="P6">
        <v>258.22210920597212</v>
      </c>
      <c r="Q6">
        <v>275.50255007731062</v>
      </c>
      <c r="R6">
        <v>277.0625445353574</v>
      </c>
      <c r="S6">
        <v>292.99684668455353</v>
      </c>
      <c r="T6">
        <v>301.51351715846886</v>
      </c>
      <c r="U6">
        <v>311.18470097847728</v>
      </c>
      <c r="V6">
        <v>321.49935421841349</v>
      </c>
      <c r="W6">
        <v>326.07047798734339</v>
      </c>
      <c r="X6">
        <v>333.21219655184882</v>
      </c>
      <c r="Y6">
        <v>336.49366244488829</v>
      </c>
      <c r="Z6">
        <v>341.33571698114463</v>
      </c>
      <c r="AA6">
        <v>346.02530290087543</v>
      </c>
      <c r="AB6">
        <v>350.59496491761769</v>
      </c>
      <c r="AC6">
        <v>356.41288169644804</v>
      </c>
      <c r="AD6">
        <v>361.52174461368008</v>
      </c>
      <c r="AE6">
        <v>367.36689214141921</v>
      </c>
      <c r="AF6">
        <v>372.68146161359829</v>
      </c>
      <c r="AG6">
        <v>377.78650403163067</v>
      </c>
      <c r="AH6">
        <v>382.62204675346374</v>
      </c>
      <c r="AI6">
        <v>386.83389695718267</v>
      </c>
      <c r="AJ6">
        <v>390.86438946168107</v>
      </c>
      <c r="AK6">
        <v>394.41416324686844</v>
      </c>
      <c r="AL6">
        <v>397.83357375049991</v>
      </c>
      <c r="AM6">
        <v>401.13073897739554</v>
      </c>
      <c r="AN6">
        <v>404.38697665438337</v>
      </c>
      <c r="AO6">
        <v>407.72167913314394</v>
      </c>
      <c r="AP6">
        <v>411.03342740796637</v>
      </c>
      <c r="AQ6">
        <v>414.3621025163738</v>
      </c>
      <c r="AR6">
        <v>417.58884830300343</v>
      </c>
      <c r="AS6">
        <v>420.6774894415949</v>
      </c>
      <c r="AT6">
        <v>423.591864895355</v>
      </c>
      <c r="AU6">
        <v>426.30509806571723</v>
      </c>
      <c r="AV6">
        <v>428.85576583752606</v>
      </c>
      <c r="AW6">
        <v>431.25768424221405</v>
      </c>
      <c r="AX6">
        <v>433.56113396953009</v>
      </c>
      <c r="AY6">
        <v>435.79327038739939</v>
      </c>
    </row>
    <row r="7" spans="1:51" x14ac:dyDescent="0.2">
      <c r="A7" t="s">
        <v>6</v>
      </c>
      <c r="B7" t="s">
        <v>4</v>
      </c>
      <c r="C7">
        <v>0.25656642691084847</v>
      </c>
      <c r="D7">
        <v>0.80955973129615832</v>
      </c>
      <c r="E7">
        <v>9.3787794517396694</v>
      </c>
      <c r="F7">
        <v>8.1109714137235276</v>
      </c>
      <c r="G7">
        <v>14.113676756754804</v>
      </c>
      <c r="H7">
        <v>13.150624449614932</v>
      </c>
      <c r="I7">
        <v>12.554616801836767</v>
      </c>
      <c r="J7">
        <v>13.101443900770663</v>
      </c>
      <c r="K7">
        <v>12.213687283536089</v>
      </c>
      <c r="L7">
        <v>13.881779067024437</v>
      </c>
      <c r="M7">
        <v>13.822548628188546</v>
      </c>
      <c r="N7">
        <v>15.19769453216565</v>
      </c>
      <c r="O7">
        <v>16.350875413136986</v>
      </c>
      <c r="P7">
        <v>17.193634039060971</v>
      </c>
      <c r="Q7">
        <v>18.218468662116901</v>
      </c>
      <c r="R7">
        <v>18.426642242453749</v>
      </c>
      <c r="S7">
        <v>18.872889327733354</v>
      </c>
      <c r="T7">
        <v>18.966275855585117</v>
      </c>
      <c r="U7">
        <v>19.132587401238517</v>
      </c>
      <c r="V7">
        <v>19.395793141700086</v>
      </c>
      <c r="W7">
        <v>19.639594715818056</v>
      </c>
      <c r="X7">
        <v>20.097943102110985</v>
      </c>
      <c r="Y7">
        <v>20.525065509087913</v>
      </c>
      <c r="Z7">
        <v>21.038952244297679</v>
      </c>
      <c r="AA7">
        <v>21.525847136554532</v>
      </c>
      <c r="AB7">
        <v>21.965479412682324</v>
      </c>
      <c r="AC7">
        <v>22.375318740194754</v>
      </c>
      <c r="AD7">
        <v>22.695912908479468</v>
      </c>
      <c r="AE7">
        <v>22.983188521418008</v>
      </c>
      <c r="AF7">
        <v>23.217165136640951</v>
      </c>
      <c r="AG7">
        <v>23.435460778643009</v>
      </c>
      <c r="AH7">
        <v>23.655868541591559</v>
      </c>
      <c r="AI7">
        <v>23.883997381619221</v>
      </c>
      <c r="AJ7">
        <v>24.137667394917962</v>
      </c>
      <c r="AK7">
        <v>24.40267497309495</v>
      </c>
      <c r="AL7">
        <v>24.678077242345211</v>
      </c>
      <c r="AM7">
        <v>24.948356585230702</v>
      </c>
      <c r="AN7">
        <v>25.203313895700557</v>
      </c>
      <c r="AO7">
        <v>25.438180185402757</v>
      </c>
      <c r="AP7">
        <v>25.648400460965412</v>
      </c>
      <c r="AQ7">
        <v>25.839230158139699</v>
      </c>
      <c r="AR7">
        <v>26.014288707738562</v>
      </c>
      <c r="AS7">
        <v>26.180728299114637</v>
      </c>
      <c r="AT7">
        <v>26.343890463266241</v>
      </c>
      <c r="AU7">
        <v>26.506781880269557</v>
      </c>
      <c r="AV7">
        <v>26.671203813317071</v>
      </c>
      <c r="AW7">
        <v>26.835720343975854</v>
      </c>
      <c r="AX7">
        <v>26.998594954034395</v>
      </c>
      <c r="AY7">
        <v>27.157002054685645</v>
      </c>
    </row>
    <row r="8" spans="1:51" x14ac:dyDescent="0.2">
      <c r="A8" t="s">
        <v>7</v>
      </c>
      <c r="B8" t="s">
        <v>4</v>
      </c>
      <c r="C8">
        <v>-11.346331206865678</v>
      </c>
      <c r="D8">
        <v>-3.0705982103257452</v>
      </c>
      <c r="E8">
        <v>98.59197065294191</v>
      </c>
      <c r="F8">
        <v>39.797855592312899</v>
      </c>
      <c r="G8">
        <v>99.696984862243966</v>
      </c>
      <c r="H8">
        <v>78.86064506981586</v>
      </c>
      <c r="I8">
        <v>89.036367231507725</v>
      </c>
      <c r="J8">
        <v>103.72052137958322</v>
      </c>
      <c r="K8">
        <v>89.092347249391096</v>
      </c>
      <c r="L8">
        <v>108.99603272962</v>
      </c>
      <c r="M8">
        <v>100.40184758104618</v>
      </c>
      <c r="N8">
        <v>109.8259049634719</v>
      </c>
      <c r="O8">
        <v>111.58568470680085</v>
      </c>
      <c r="P8">
        <v>111.31640659143986</v>
      </c>
      <c r="Q8">
        <v>117.73244928119512</v>
      </c>
      <c r="R8">
        <v>116.79187792095806</v>
      </c>
      <c r="S8">
        <v>122.77409935529191</v>
      </c>
      <c r="T8">
        <v>124.70367790696284</v>
      </c>
      <c r="U8">
        <v>128.02232688932392</v>
      </c>
      <c r="V8">
        <v>131.39250456653767</v>
      </c>
      <c r="W8">
        <v>132.83507229665494</v>
      </c>
      <c r="X8">
        <v>135.70021675123942</v>
      </c>
      <c r="Y8">
        <v>136.85906180837873</v>
      </c>
      <c r="Z8">
        <v>138.91388593780971</v>
      </c>
      <c r="AA8">
        <v>140.68791169852565</v>
      </c>
      <c r="AB8">
        <v>142.45058856981009</v>
      </c>
      <c r="AC8">
        <v>144.60805014517396</v>
      </c>
      <c r="AD8">
        <v>146.34533134426945</v>
      </c>
      <c r="AE8">
        <v>148.36263275441505</v>
      </c>
      <c r="AF8">
        <v>150.07884343301967</v>
      </c>
      <c r="AG8">
        <v>151.77391495324966</v>
      </c>
      <c r="AH8">
        <v>153.39716954136469</v>
      </c>
      <c r="AI8">
        <v>154.8514819821456</v>
      </c>
      <c r="AJ8">
        <v>156.31785049939506</v>
      </c>
      <c r="AK8">
        <v>157.63362047298182</v>
      </c>
      <c r="AL8">
        <v>158.93603331228314</v>
      </c>
      <c r="AM8">
        <v>160.17518957554458</v>
      </c>
      <c r="AN8">
        <v>161.37790280682469</v>
      </c>
      <c r="AO8">
        <v>162.57921628538125</v>
      </c>
      <c r="AP8">
        <v>163.74190716916351</v>
      </c>
      <c r="AQ8">
        <v>164.89937928889412</v>
      </c>
      <c r="AR8">
        <v>166.01227589097917</v>
      </c>
      <c r="AS8">
        <v>167.08393152055652</v>
      </c>
      <c r="AT8">
        <v>168.10445776116904</v>
      </c>
      <c r="AU8">
        <v>169.06684684507132</v>
      </c>
      <c r="AV8">
        <v>169.98469599984318</v>
      </c>
      <c r="AW8">
        <v>170.8570534381428</v>
      </c>
      <c r="AX8">
        <v>171.69893342717248</v>
      </c>
      <c r="AY8">
        <v>172.51379853975411</v>
      </c>
    </row>
    <row r="9" spans="1:51" x14ac:dyDescent="0.2">
      <c r="A9" t="s">
        <v>8</v>
      </c>
      <c r="B9" t="s">
        <v>4</v>
      </c>
      <c r="C9">
        <v>-8.9619260573075792</v>
      </c>
      <c r="D9">
        <v>-1.830127099735636</v>
      </c>
      <c r="E9">
        <v>-2.0411266825252348</v>
      </c>
      <c r="F9">
        <v>-2.5258215374591861</v>
      </c>
      <c r="G9">
        <v>-1.6231102696396855</v>
      </c>
      <c r="H9">
        <v>-3.2979017112743976</v>
      </c>
      <c r="I9">
        <v>-1.6859181931631457</v>
      </c>
      <c r="J9">
        <v>-2.5991681198286956</v>
      </c>
      <c r="K9">
        <v>-2.3922774309205823</v>
      </c>
      <c r="L9">
        <v>-2.3368889952570897</v>
      </c>
      <c r="M9">
        <v>-2.5967987583536316</v>
      </c>
      <c r="N9">
        <v>-2.0884413530509645</v>
      </c>
      <c r="O9">
        <v>-2.3143293709208947</v>
      </c>
      <c r="P9">
        <v>-2.0302543175824233</v>
      </c>
      <c r="Q9">
        <v>-2.02464468699511</v>
      </c>
      <c r="R9">
        <v>-1.9719784704401098</v>
      </c>
      <c r="S9">
        <v>-1.8355068265934502</v>
      </c>
      <c r="T9">
        <v>-1.8881111595805751</v>
      </c>
      <c r="U9">
        <v>-1.7928255467182459</v>
      </c>
      <c r="V9">
        <v>-1.8239005234898522</v>
      </c>
      <c r="W9">
        <v>-1.7922664316669934</v>
      </c>
      <c r="X9">
        <v>-1.7665128532193577</v>
      </c>
      <c r="Y9">
        <v>-1.7558637691423584</v>
      </c>
      <c r="Z9">
        <v>-1.6970962745970151</v>
      </c>
      <c r="AA9">
        <v>-1.6680740228750985</v>
      </c>
      <c r="AB9">
        <v>-1.609207350986799</v>
      </c>
      <c r="AC9">
        <v>-1.5671171228029983</v>
      </c>
      <c r="AD9">
        <v>-1.5290563151423466</v>
      </c>
      <c r="AE9">
        <v>-1.4929898779114352</v>
      </c>
      <c r="AF9">
        <v>-1.4723586465101204</v>
      </c>
      <c r="AG9">
        <v>-1.4477837443759185</v>
      </c>
      <c r="AH9">
        <v>-1.4314754416792457</v>
      </c>
      <c r="AI9">
        <v>-1.4118627182067449</v>
      </c>
      <c r="AJ9">
        <v>-1.3911695172242091</v>
      </c>
      <c r="AK9">
        <v>-1.3697532201932867</v>
      </c>
      <c r="AL9">
        <v>-1.3446786433031863</v>
      </c>
      <c r="AM9">
        <v>-1.320730136283037</v>
      </c>
      <c r="AN9">
        <v>-1.2955325085066189</v>
      </c>
      <c r="AO9">
        <v>-1.2721045518282463</v>
      </c>
      <c r="AP9">
        <v>-1.2502993053389215</v>
      </c>
      <c r="AQ9">
        <v>-1.2302419057084597</v>
      </c>
      <c r="AR9">
        <v>-1.2126482096607791</v>
      </c>
      <c r="AS9">
        <v>-1.1962619664944862</v>
      </c>
      <c r="AT9">
        <v>-1.1813131341539371</v>
      </c>
      <c r="AU9">
        <v>-1.16675403531178</v>
      </c>
      <c r="AV9">
        <v>-1.1523012140315245</v>
      </c>
      <c r="AW9">
        <v>-1.1377416274613057</v>
      </c>
      <c r="AX9">
        <v>-1.1228736206111858</v>
      </c>
      <c r="AY9">
        <v>-1.1080760145734714</v>
      </c>
    </row>
    <row r="10" spans="1:51" x14ac:dyDescent="0.2">
      <c r="A10" t="s">
        <v>9</v>
      </c>
      <c r="B10" t="s">
        <v>4</v>
      </c>
      <c r="C10">
        <v>0.46404691238659912</v>
      </c>
      <c r="D10">
        <v>-0.36164723002333743</v>
      </c>
      <c r="E10">
        <v>1.1548237513326349</v>
      </c>
      <c r="F10">
        <v>0.12300519615235511</v>
      </c>
      <c r="G10">
        <v>0.61093612617846305</v>
      </c>
      <c r="H10">
        <v>0.47676543864614218</v>
      </c>
      <c r="I10">
        <v>0.44665559000792621</v>
      </c>
      <c r="J10">
        <v>0.63229728078399128</v>
      </c>
      <c r="K10">
        <v>0.35450563411538816</v>
      </c>
      <c r="L10">
        <v>0.6266175794907074</v>
      </c>
      <c r="M10">
        <v>0.57681436292554844</v>
      </c>
      <c r="N10">
        <v>0.70018702428171475</v>
      </c>
      <c r="O10">
        <v>0.7791492756536148</v>
      </c>
      <c r="P10">
        <v>0.77640805737321417</v>
      </c>
      <c r="Q10">
        <v>0.87194192473346788</v>
      </c>
      <c r="R10">
        <v>0.84313071029960485</v>
      </c>
      <c r="S10">
        <v>0.88208337302039264</v>
      </c>
      <c r="T10">
        <v>0.87554388345619127</v>
      </c>
      <c r="U10">
        <v>0.87756226592281972</v>
      </c>
      <c r="V10">
        <v>0.90172874338095532</v>
      </c>
      <c r="W10">
        <v>0.90688647571296821</v>
      </c>
      <c r="X10">
        <v>0.94281814746149006</v>
      </c>
      <c r="Y10">
        <v>0.96471317294329262</v>
      </c>
      <c r="Z10">
        <v>0.99732432182472885</v>
      </c>
      <c r="AA10">
        <v>1.027381866324411</v>
      </c>
      <c r="AB10">
        <v>1.0502123214233305</v>
      </c>
      <c r="AC10">
        <v>1.0743636900183631</v>
      </c>
      <c r="AD10">
        <v>1.0883386610207459</v>
      </c>
      <c r="AE10">
        <v>1.1029612266804942</v>
      </c>
      <c r="AF10">
        <v>1.1135856920386187</v>
      </c>
      <c r="AG10">
        <v>1.1241325861538958</v>
      </c>
      <c r="AH10">
        <v>1.1364495506505021</v>
      </c>
      <c r="AI10">
        <v>1.1489630962826591</v>
      </c>
      <c r="AJ10">
        <v>1.164319754496459</v>
      </c>
      <c r="AK10">
        <v>1.1797460628619092</v>
      </c>
      <c r="AL10">
        <v>1.1958195772988791</v>
      </c>
      <c r="AM10">
        <v>1.2112034441744139</v>
      </c>
      <c r="AN10">
        <v>1.225149225569248</v>
      </c>
      <c r="AO10">
        <v>1.2378899155815619</v>
      </c>
      <c r="AP10">
        <v>1.2488639169312343</v>
      </c>
      <c r="AQ10">
        <v>1.2588770625736256</v>
      </c>
      <c r="AR10">
        <v>1.2680403566756269</v>
      </c>
      <c r="AS10">
        <v>1.2768960257603059</v>
      </c>
      <c r="AT10">
        <v>1.2858049158306986</v>
      </c>
      <c r="AU10">
        <v>1.2948192361931266</v>
      </c>
      <c r="AV10">
        <v>1.3040883128601286</v>
      </c>
      <c r="AW10">
        <v>1.313378568475859</v>
      </c>
      <c r="AX10">
        <v>1.3225712790860356</v>
      </c>
      <c r="AY10">
        <v>1.3314409523306101</v>
      </c>
    </row>
    <row r="11" spans="1:51" x14ac:dyDescent="0.2">
      <c r="A11" t="s">
        <v>10</v>
      </c>
      <c r="B11" t="s">
        <v>4</v>
      </c>
      <c r="C11">
        <v>-86.018607044304147</v>
      </c>
      <c r="D11">
        <v>235.02900388752695</v>
      </c>
      <c r="E11">
        <v>879.06333983667059</v>
      </c>
      <c r="F11">
        <v>508.50219085487447</v>
      </c>
      <c r="G11">
        <v>791.58246129976942</v>
      </c>
      <c r="H11">
        <v>741.65203925029948</v>
      </c>
      <c r="I11">
        <v>868.62670354684838</v>
      </c>
      <c r="J11">
        <v>930.39421008404406</v>
      </c>
      <c r="K11">
        <v>837.32899520277499</v>
      </c>
      <c r="L11">
        <v>932.9239832569175</v>
      </c>
      <c r="M11">
        <v>877.2051728255841</v>
      </c>
      <c r="N11">
        <v>909.68061320159154</v>
      </c>
      <c r="O11">
        <v>888.59591593864059</v>
      </c>
      <c r="P11">
        <v>868.2415132480445</v>
      </c>
      <c r="Q11">
        <v>890.12355668207613</v>
      </c>
      <c r="R11">
        <v>883.95724803658868</v>
      </c>
      <c r="S11">
        <v>920.14331348325425</v>
      </c>
      <c r="T11">
        <v>935.78108330349119</v>
      </c>
      <c r="U11">
        <v>959.4745094951536</v>
      </c>
      <c r="V11">
        <v>978.71957302782414</v>
      </c>
      <c r="W11">
        <v>983.96047722896162</v>
      </c>
      <c r="X11">
        <v>992.21129869195317</v>
      </c>
      <c r="Y11">
        <v>989.12955794914251</v>
      </c>
      <c r="Z11">
        <v>990.93208513690433</v>
      </c>
      <c r="AA11">
        <v>992.23243719998823</v>
      </c>
      <c r="AB11">
        <v>995.78287617403191</v>
      </c>
      <c r="AC11">
        <v>1003.2724604724948</v>
      </c>
      <c r="AD11">
        <v>1010.309007949544</v>
      </c>
      <c r="AE11">
        <v>1019.9284229801597</v>
      </c>
      <c r="AF11">
        <v>1028.3084575785788</v>
      </c>
      <c r="AG11">
        <v>1036.4947744060569</v>
      </c>
      <c r="AH11">
        <v>1043.6652850130938</v>
      </c>
      <c r="AI11">
        <v>1049.2261352157293</v>
      </c>
      <c r="AJ11">
        <v>1054.0819500077259</v>
      </c>
      <c r="AK11">
        <v>1057.5805216641713</v>
      </c>
      <c r="AL11">
        <v>1060.7899561989084</v>
      </c>
      <c r="AM11">
        <v>1063.7775501167405</v>
      </c>
      <c r="AN11">
        <v>1067.0244668515679</v>
      </c>
      <c r="AO11">
        <v>1070.8565478833148</v>
      </c>
      <c r="AP11">
        <v>1075.0911570393037</v>
      </c>
      <c r="AQ11">
        <v>1079.7603263328942</v>
      </c>
      <c r="AR11">
        <v>1084.4311495845941</v>
      </c>
      <c r="AS11">
        <v>1088.9048449558486</v>
      </c>
      <c r="AT11">
        <v>1092.9558533626227</v>
      </c>
      <c r="AU11">
        <v>1096.4796355896763</v>
      </c>
      <c r="AV11">
        <v>1099.5629481462088</v>
      </c>
      <c r="AW11">
        <v>1102.2845390152725</v>
      </c>
      <c r="AX11">
        <v>1104.8351110084247</v>
      </c>
      <c r="AY11">
        <v>1107.333197318085</v>
      </c>
    </row>
    <row r="12" spans="1:51" x14ac:dyDescent="0.2">
      <c r="A12" t="s">
        <v>11</v>
      </c>
      <c r="B12" t="s">
        <v>4</v>
      </c>
      <c r="C12">
        <v>-2.4016211636199776</v>
      </c>
      <c r="D12">
        <v>0.25859474408311817</v>
      </c>
      <c r="E12">
        <v>2.2206010934042624</v>
      </c>
      <c r="F12">
        <v>0.86795472128308859</v>
      </c>
      <c r="G12">
        <v>1.5768327616397662</v>
      </c>
      <c r="H12">
        <v>1.6915299125531582</v>
      </c>
      <c r="I12">
        <v>2.5427959698005189</v>
      </c>
      <c r="J12">
        <v>2.9246410413091004</v>
      </c>
      <c r="K12">
        <v>2.8941031066759346</v>
      </c>
      <c r="L12">
        <v>3.3871729830342447</v>
      </c>
      <c r="M12">
        <v>3.4664085835273402</v>
      </c>
      <c r="N12">
        <v>3.7845480979581096</v>
      </c>
      <c r="O12">
        <v>3.8873482466022096</v>
      </c>
      <c r="P12">
        <v>4.0224806820792436</v>
      </c>
      <c r="Q12">
        <v>4.2671142948709075</v>
      </c>
      <c r="R12">
        <v>4.4454279940767032</v>
      </c>
      <c r="S12">
        <v>4.7366531580701254</v>
      </c>
      <c r="T12">
        <v>4.9545527768474411</v>
      </c>
      <c r="U12">
        <v>5.1940288926021081</v>
      </c>
      <c r="V12">
        <v>5.4044947923502233</v>
      </c>
      <c r="W12">
        <v>5.5693746879379615</v>
      </c>
      <c r="X12">
        <v>5.7298236211741846</v>
      </c>
      <c r="Y12">
        <v>5.8495324049670794</v>
      </c>
      <c r="Z12">
        <v>5.9782940595565606</v>
      </c>
      <c r="AA12">
        <v>6.0997789511709515</v>
      </c>
      <c r="AB12">
        <v>6.2263465644931966</v>
      </c>
      <c r="AC12">
        <v>6.3607808421060952</v>
      </c>
      <c r="AD12">
        <v>6.4924344862582686</v>
      </c>
      <c r="AE12">
        <v>6.6289624394832449</v>
      </c>
      <c r="AF12">
        <v>6.758335059090701</v>
      </c>
      <c r="AG12">
        <v>6.8832602275531363</v>
      </c>
      <c r="AH12">
        <v>7.0000151235445633</v>
      </c>
      <c r="AI12">
        <v>7.1073839248493353</v>
      </c>
      <c r="AJ12">
        <v>7.2078526028424283</v>
      </c>
      <c r="AK12">
        <v>7.3002718529378905</v>
      </c>
      <c r="AL12">
        <v>7.3884555196234594</v>
      </c>
      <c r="AM12">
        <v>7.4731065212220917</v>
      </c>
      <c r="AN12">
        <v>7.5562521573312713</v>
      </c>
      <c r="AO12">
        <v>7.6389187385947324</v>
      </c>
      <c r="AP12">
        <v>7.7206926793891197</v>
      </c>
      <c r="AQ12">
        <v>7.8015173073921131</v>
      </c>
      <c r="AR12">
        <v>7.8799715098399066</v>
      </c>
      <c r="AS12">
        <v>7.955372512496151</v>
      </c>
      <c r="AT12">
        <v>8.0269592686764462</v>
      </c>
      <c r="AU12">
        <v>8.0944850590274839</v>
      </c>
      <c r="AV12">
        <v>8.1582904493572972</v>
      </c>
      <c r="AW12">
        <v>8.218786993437039</v>
      </c>
      <c r="AX12">
        <v>8.2767341354069472</v>
      </c>
      <c r="AY12">
        <v>8.3326682542711694</v>
      </c>
    </row>
    <row r="13" spans="1:51" x14ac:dyDescent="0.2">
      <c r="A13" t="s">
        <v>12</v>
      </c>
      <c r="B13" t="s">
        <v>4</v>
      </c>
      <c r="C13">
        <v>53.406422005894861</v>
      </c>
      <c r="D13">
        <v>-4.9370582908684515</v>
      </c>
      <c r="E13">
        <v>57.603204101630809</v>
      </c>
      <c r="F13">
        <v>3.5554555748830694</v>
      </c>
      <c r="G13">
        <v>40.263734775930864</v>
      </c>
      <c r="H13">
        <v>37.894901227741457</v>
      </c>
      <c r="I13">
        <v>33.508881488043151</v>
      </c>
      <c r="J13">
        <v>49.147726835843287</v>
      </c>
      <c r="K13">
        <v>34.505465590458002</v>
      </c>
      <c r="L13">
        <v>47.999381647179376</v>
      </c>
      <c r="M13">
        <v>39.887151013161706</v>
      </c>
      <c r="N13">
        <v>40.333737330040215</v>
      </c>
      <c r="O13">
        <v>40.326051097644424</v>
      </c>
      <c r="P13">
        <v>36.280558096774186</v>
      </c>
      <c r="Q13">
        <v>40.08172228393147</v>
      </c>
      <c r="R13">
        <v>38.107527869611495</v>
      </c>
      <c r="S13">
        <v>41.125900455879012</v>
      </c>
      <c r="T13">
        <v>42.19923408501279</v>
      </c>
      <c r="U13">
        <v>43.228817251640528</v>
      </c>
      <c r="V13">
        <v>44.968668349158726</v>
      </c>
      <c r="W13">
        <v>44.611349219572588</v>
      </c>
      <c r="X13">
        <v>45.337613864043767</v>
      </c>
      <c r="Y13">
        <v>44.819730132991779</v>
      </c>
      <c r="Z13">
        <v>44.730257236059622</v>
      </c>
      <c r="AA13">
        <v>44.703530732475279</v>
      </c>
      <c r="AB13">
        <v>44.578313434124411</v>
      </c>
      <c r="AC13">
        <v>45.007741997441066</v>
      </c>
      <c r="AD13">
        <v>45.259072662163312</v>
      </c>
      <c r="AE13">
        <v>45.841254526408456</v>
      </c>
      <c r="AF13">
        <v>46.343919300677257</v>
      </c>
      <c r="AG13">
        <v>46.812458722948854</v>
      </c>
      <c r="AH13">
        <v>47.257151656754779</v>
      </c>
      <c r="AI13">
        <v>47.510214618973592</v>
      </c>
      <c r="AJ13">
        <v>47.73673560192902</v>
      </c>
      <c r="AK13">
        <v>47.833505683993494</v>
      </c>
      <c r="AL13">
        <v>47.916524370155273</v>
      </c>
      <c r="AM13">
        <v>48.001961475703062</v>
      </c>
      <c r="AN13">
        <v>48.107196078185126</v>
      </c>
      <c r="AO13">
        <v>48.280527312148777</v>
      </c>
      <c r="AP13">
        <v>48.482642671599621</v>
      </c>
      <c r="AQ13">
        <v>48.727084419280885</v>
      </c>
      <c r="AR13">
        <v>48.97404293765635</v>
      </c>
      <c r="AS13">
        <v>49.207218528781951</v>
      </c>
      <c r="AT13">
        <v>49.414624762821717</v>
      </c>
      <c r="AU13">
        <v>49.582493156057687</v>
      </c>
      <c r="AV13">
        <v>49.721962226691808</v>
      </c>
      <c r="AW13">
        <v>49.835212288409579</v>
      </c>
      <c r="AX13">
        <v>49.937625593057753</v>
      </c>
      <c r="AY13">
        <v>50.038706150352503</v>
      </c>
    </row>
    <row r="14" spans="1:51" x14ac:dyDescent="0.2">
      <c r="A14" t="s">
        <v>13</v>
      </c>
      <c r="B14" t="s">
        <v>4</v>
      </c>
      <c r="C14">
        <v>1.2305904197117106</v>
      </c>
      <c r="D14">
        <v>-0.67264426643874564</v>
      </c>
      <c r="E14">
        <v>1.5143873253578162</v>
      </c>
      <c r="F14">
        <v>-2.2900316215479295</v>
      </c>
      <c r="G14">
        <v>0.22211031759410554</v>
      </c>
      <c r="H14">
        <v>0.11988392968544576</v>
      </c>
      <c r="I14">
        <v>0.63155550246765579</v>
      </c>
      <c r="J14">
        <v>1.5264345986800858</v>
      </c>
      <c r="K14">
        <v>1.2326447185909117</v>
      </c>
      <c r="L14">
        <v>2.4049702957051644</v>
      </c>
      <c r="M14">
        <v>2.2388984369485336</v>
      </c>
      <c r="N14">
        <v>2.6125063019496593</v>
      </c>
      <c r="O14">
        <v>2.7009019571676842</v>
      </c>
      <c r="P14">
        <v>2.6582916993408205</v>
      </c>
      <c r="Q14">
        <v>2.9188624117664661</v>
      </c>
      <c r="R14">
        <v>2.8591266890159623</v>
      </c>
      <c r="S14">
        <v>3.0957547672747676</v>
      </c>
      <c r="T14">
        <v>3.2169671627399392</v>
      </c>
      <c r="U14">
        <v>3.4212649686845116</v>
      </c>
      <c r="V14">
        <v>3.6669712220087725</v>
      </c>
      <c r="W14">
        <v>3.8334724981843418</v>
      </c>
      <c r="X14">
        <v>4.0512558626889632</v>
      </c>
      <c r="Y14">
        <v>4.1774450792291145</v>
      </c>
      <c r="Z14">
        <v>4.3090091236674901</v>
      </c>
      <c r="AA14">
        <v>4.406636950703378</v>
      </c>
      <c r="AB14">
        <v>4.4851427753541655</v>
      </c>
      <c r="AC14">
        <v>4.5783197458249933</v>
      </c>
      <c r="AD14">
        <v>4.660537235386685</v>
      </c>
      <c r="AE14">
        <v>4.7659748362025516</v>
      </c>
      <c r="AF14">
        <v>4.8717781447211239</v>
      </c>
      <c r="AG14">
        <v>4.9846478314541072</v>
      </c>
      <c r="AH14">
        <v>5.0990356022159817</v>
      </c>
      <c r="AI14">
        <v>5.20512254619827</v>
      </c>
      <c r="AJ14">
        <v>5.3072787200116238</v>
      </c>
      <c r="AK14">
        <v>5.3968844223250665</v>
      </c>
      <c r="AL14">
        <v>5.4791344413011736</v>
      </c>
      <c r="AM14">
        <v>5.5533251514718636</v>
      </c>
      <c r="AN14">
        <v>5.621999895372376</v>
      </c>
      <c r="AO14">
        <v>5.6888954166021346</v>
      </c>
      <c r="AP14">
        <v>5.7542994349817196</v>
      </c>
      <c r="AQ14">
        <v>5.8210199468447401</v>
      </c>
      <c r="AR14">
        <v>5.8881386781492351</v>
      </c>
      <c r="AS14">
        <v>5.9555289538176908</v>
      </c>
      <c r="AT14">
        <v>6.021993993911825</v>
      </c>
      <c r="AU14">
        <v>6.0859731560424564</v>
      </c>
      <c r="AV14">
        <v>6.1468593092634238</v>
      </c>
      <c r="AW14">
        <v>6.20377205103087</v>
      </c>
      <c r="AX14">
        <v>6.2570088334287624</v>
      </c>
      <c r="AY14">
        <v>6.3069479032712055</v>
      </c>
    </row>
    <row r="15" spans="1:51" x14ac:dyDescent="0.2">
      <c r="A15" t="s">
        <v>14</v>
      </c>
      <c r="B15" t="s">
        <v>4</v>
      </c>
      <c r="C15">
        <v>14.486140050763135</v>
      </c>
      <c r="D15">
        <v>-12.934211058256233</v>
      </c>
      <c r="E15">
        <v>63.733074593150299</v>
      </c>
      <c r="F15">
        <v>24.4379440278286</v>
      </c>
      <c r="G15">
        <v>55.111184525294561</v>
      </c>
      <c r="H15">
        <v>56.610134175710378</v>
      </c>
      <c r="I15">
        <v>54.213067096743764</v>
      </c>
      <c r="J15">
        <v>68.169858357841562</v>
      </c>
      <c r="K15">
        <v>51.13639907153452</v>
      </c>
      <c r="L15">
        <v>58.701865231232532</v>
      </c>
      <c r="M15">
        <v>50.273486802463289</v>
      </c>
      <c r="N15">
        <v>48.854970721437624</v>
      </c>
      <c r="O15">
        <v>49.092799056995169</v>
      </c>
      <c r="P15">
        <v>45.959628375817815</v>
      </c>
      <c r="Q15">
        <v>51.328102064245833</v>
      </c>
      <c r="R15">
        <v>52.696377757464269</v>
      </c>
      <c r="S15">
        <v>58.545376976072312</v>
      </c>
      <c r="T15">
        <v>62.769880106129122</v>
      </c>
      <c r="U15">
        <v>65.943985749917189</v>
      </c>
      <c r="V15">
        <v>69.020966650411822</v>
      </c>
      <c r="W15">
        <v>69.323824616054054</v>
      </c>
      <c r="X15">
        <v>69.973836582713801</v>
      </c>
      <c r="Y15">
        <v>69.407038239022569</v>
      </c>
      <c r="Z15">
        <v>69.325910334978076</v>
      </c>
      <c r="AA15">
        <v>69.791606324294989</v>
      </c>
      <c r="AB15">
        <v>70.594710071045029</v>
      </c>
      <c r="AC15">
        <v>72.259350409074031</v>
      </c>
      <c r="AD15">
        <v>73.944735690259577</v>
      </c>
      <c r="AE15">
        <v>75.889593824332408</v>
      </c>
      <c r="AF15">
        <v>77.623134588964206</v>
      </c>
      <c r="AG15">
        <v>79.075815571407702</v>
      </c>
      <c r="AH15">
        <v>80.274542121567293</v>
      </c>
      <c r="AI15">
        <v>81.102414672922791</v>
      </c>
      <c r="AJ15">
        <v>81.778429230871239</v>
      </c>
      <c r="AK15">
        <v>82.293511271848374</v>
      </c>
      <c r="AL15">
        <v>82.808516485111213</v>
      </c>
      <c r="AM15">
        <v>83.39111481831911</v>
      </c>
      <c r="AN15">
        <v>84.069991820024327</v>
      </c>
      <c r="AO15">
        <v>84.88285876603058</v>
      </c>
      <c r="AP15">
        <v>85.765396909554966</v>
      </c>
      <c r="AQ15">
        <v>86.687700310031389</v>
      </c>
      <c r="AR15">
        <v>87.576193627589703</v>
      </c>
      <c r="AS15">
        <v>88.385294194502279</v>
      </c>
      <c r="AT15">
        <v>89.093478201389885</v>
      </c>
      <c r="AU15">
        <v>89.693614241850796</v>
      </c>
      <c r="AV15">
        <v>90.214790516750796</v>
      </c>
      <c r="AW15">
        <v>90.684410449098522</v>
      </c>
      <c r="AX15">
        <v>91.139053092900951</v>
      </c>
      <c r="AY15">
        <v>91.603381978155369</v>
      </c>
    </row>
    <row r="16" spans="1:51" x14ac:dyDescent="0.2">
      <c r="A16" t="s">
        <v>15</v>
      </c>
      <c r="B16" t="s">
        <v>4</v>
      </c>
      <c r="C16">
        <v>-2.1515070489281687</v>
      </c>
      <c r="D16">
        <v>-6.3241307880405486</v>
      </c>
      <c r="E16">
        <v>-0.7696400404730751</v>
      </c>
      <c r="F16">
        <v>-7.655521478940849</v>
      </c>
      <c r="G16">
        <v>-5.8216313762728298</v>
      </c>
      <c r="H16">
        <v>-6.3992544370560323</v>
      </c>
      <c r="I16">
        <v>-7.6371484332855273</v>
      </c>
      <c r="J16">
        <v>-7.3086791843532222</v>
      </c>
      <c r="K16">
        <v>-9.2898580943532583</v>
      </c>
      <c r="L16">
        <v>-8.140706807786092</v>
      </c>
      <c r="M16">
        <v>-8.4456581951028724</v>
      </c>
      <c r="N16">
        <v>-7.9303904436543977</v>
      </c>
      <c r="O16">
        <v>-7.3387122085868599</v>
      </c>
      <c r="P16">
        <v>-7.2029531233858926</v>
      </c>
      <c r="Q16">
        <v>-6.5427152654464438</v>
      </c>
      <c r="R16">
        <v>-6.6562756718953278</v>
      </c>
      <c r="S16">
        <v>-6.5839463065340276</v>
      </c>
      <c r="T16">
        <v>-6.8083704466284329</v>
      </c>
      <c r="U16">
        <v>-7.0738824596737224</v>
      </c>
      <c r="V16">
        <v>-7.1934658023074229</v>
      </c>
      <c r="W16">
        <v>-7.3760969396147047</v>
      </c>
      <c r="X16">
        <v>-7.3274422859551329</v>
      </c>
      <c r="Y16">
        <v>-7.2752837675280793</v>
      </c>
      <c r="Z16">
        <v>-7.1274554228892963</v>
      </c>
      <c r="AA16">
        <v>-6.9627688786986868</v>
      </c>
      <c r="AB16">
        <v>-6.8444399372994882</v>
      </c>
      <c r="AC16">
        <v>-6.7355384928777555</v>
      </c>
      <c r="AD16">
        <v>-6.705557428662698</v>
      </c>
      <c r="AE16">
        <v>-6.6990006119329699</v>
      </c>
      <c r="AF16">
        <v>-6.7298760036966074</v>
      </c>
      <c r="AG16">
        <v>-6.7722603370294232</v>
      </c>
      <c r="AH16">
        <v>-6.8030166927222497</v>
      </c>
      <c r="AI16">
        <v>-6.8236303709594113</v>
      </c>
      <c r="AJ16">
        <v>-6.8142579744168525</v>
      </c>
      <c r="AK16">
        <v>-6.7873542301827294</v>
      </c>
      <c r="AL16">
        <v>-6.7429422815561502</v>
      </c>
      <c r="AM16">
        <v>-6.6920353035022497</v>
      </c>
      <c r="AN16">
        <v>-6.6455041677754378</v>
      </c>
      <c r="AO16">
        <v>-6.6073734637574857</v>
      </c>
      <c r="AP16">
        <v>-6.5843792169180944</v>
      </c>
      <c r="AQ16">
        <v>-6.5734520680097299</v>
      </c>
      <c r="AR16">
        <v>-6.5724060576171643</v>
      </c>
      <c r="AS16">
        <v>-6.5756352423208249</v>
      </c>
      <c r="AT16">
        <v>-6.5776427162944753</v>
      </c>
      <c r="AU16">
        <v>-6.5753887891661114</v>
      </c>
      <c r="AV16">
        <v>-6.5664366503142375</v>
      </c>
      <c r="AW16">
        <v>-6.55175302258173</v>
      </c>
      <c r="AX16">
        <v>-6.5329292728390236</v>
      </c>
      <c r="AY16">
        <v>-6.512683789245874</v>
      </c>
    </row>
    <row r="17" spans="1:51" x14ac:dyDescent="0.2">
      <c r="A17" t="s">
        <v>16</v>
      </c>
      <c r="B17" t="s">
        <v>4</v>
      </c>
      <c r="C17">
        <v>-10.791136898827475</v>
      </c>
      <c r="D17">
        <v>115.705157808195</v>
      </c>
      <c r="E17">
        <v>485.45681537663597</v>
      </c>
      <c r="F17">
        <v>218.57747645634319</v>
      </c>
      <c r="G17">
        <v>356.53814137575557</v>
      </c>
      <c r="H17">
        <v>372.68575930171949</v>
      </c>
      <c r="I17">
        <v>429.80817367065453</v>
      </c>
      <c r="J17">
        <v>489.73956510546236</v>
      </c>
      <c r="K17">
        <v>431.50411986045515</v>
      </c>
      <c r="L17">
        <v>501.55389951693655</v>
      </c>
      <c r="M17">
        <v>486.03647859090614</v>
      </c>
      <c r="N17">
        <v>509.94732061255479</v>
      </c>
      <c r="O17">
        <v>516.31537583087731</v>
      </c>
      <c r="P17">
        <v>513.59092232380806</v>
      </c>
      <c r="Q17">
        <v>542.59946648478285</v>
      </c>
      <c r="R17">
        <v>550.64584132453274</v>
      </c>
      <c r="S17">
        <v>580.55159744803348</v>
      </c>
      <c r="T17">
        <v>599.2098405844913</v>
      </c>
      <c r="U17">
        <v>618.71873467882745</v>
      </c>
      <c r="V17">
        <v>637.95784855136617</v>
      </c>
      <c r="W17">
        <v>647.64693480823462</v>
      </c>
      <c r="X17">
        <v>660.14983532613405</v>
      </c>
      <c r="Y17">
        <v>666.57836698592257</v>
      </c>
      <c r="Z17">
        <v>675.44484700728276</v>
      </c>
      <c r="AA17">
        <v>684.54885617816069</v>
      </c>
      <c r="AB17">
        <v>694.01849863751738</v>
      </c>
      <c r="AC17">
        <v>705.69003432865975</v>
      </c>
      <c r="AD17">
        <v>716.49782699132857</v>
      </c>
      <c r="AE17">
        <v>728.35045292228767</v>
      </c>
      <c r="AF17">
        <v>739.22812957804763</v>
      </c>
      <c r="AG17">
        <v>749.51356859133659</v>
      </c>
      <c r="AH17">
        <v>759.08746778872546</v>
      </c>
      <c r="AI17">
        <v>767.46774103542202</v>
      </c>
      <c r="AJ17">
        <v>775.36364189485835</v>
      </c>
      <c r="AK17">
        <v>782.41613723728381</v>
      </c>
      <c r="AL17">
        <v>789.21864200726816</v>
      </c>
      <c r="AM17">
        <v>795.84857545695206</v>
      </c>
      <c r="AN17">
        <v>802.46866551766277</v>
      </c>
      <c r="AO17">
        <v>809.26105883633932</v>
      </c>
      <c r="AP17">
        <v>816.05380053266856</v>
      </c>
      <c r="AQ17">
        <v>822.85894187279098</v>
      </c>
      <c r="AR17">
        <v>829.4499471640155</v>
      </c>
      <c r="AS17">
        <v>835.73188011228035</v>
      </c>
      <c r="AT17">
        <v>841.62986764195364</v>
      </c>
      <c r="AU17">
        <v>847.107119009847</v>
      </c>
      <c r="AV17">
        <v>852.24154588534259</v>
      </c>
      <c r="AW17">
        <v>857.08481371888411</v>
      </c>
      <c r="AX17">
        <v>861.74147728791968</v>
      </c>
      <c r="AY17">
        <v>866.27368160435594</v>
      </c>
    </row>
    <row r="18" spans="1:51" x14ac:dyDescent="0.2">
      <c r="A18" t="s">
        <v>17</v>
      </c>
      <c r="B18" t="s">
        <v>4</v>
      </c>
      <c r="C18">
        <v>45.913440344365497</v>
      </c>
      <c r="D18">
        <v>-17.884061993686181</v>
      </c>
      <c r="E18">
        <v>78.572986193825074</v>
      </c>
      <c r="F18">
        <v>16.934880564370786</v>
      </c>
      <c r="G18">
        <v>76.596319388564666</v>
      </c>
      <c r="H18">
        <v>67.091922918827365</v>
      </c>
      <c r="I18">
        <v>65.986878232200823</v>
      </c>
      <c r="J18">
        <v>90.373613113427467</v>
      </c>
      <c r="K18">
        <v>74.760022144785552</v>
      </c>
      <c r="L18">
        <v>95.284347014426956</v>
      </c>
      <c r="M18">
        <v>85.915135182462251</v>
      </c>
      <c r="N18">
        <v>90.614853975162987</v>
      </c>
      <c r="O18">
        <v>93.311026471047072</v>
      </c>
      <c r="P18">
        <v>90.750972968620772</v>
      </c>
      <c r="Q18">
        <v>97.999282065655052</v>
      </c>
      <c r="R18">
        <v>97.527902202630372</v>
      </c>
      <c r="S18">
        <v>104.44166333909882</v>
      </c>
      <c r="T18">
        <v>108.67698024500297</v>
      </c>
      <c r="U18">
        <v>113.32949239529465</v>
      </c>
      <c r="V18">
        <v>118.73083882103674</v>
      </c>
      <c r="W18">
        <v>121.21599507554274</v>
      </c>
      <c r="X18">
        <v>124.87455298251905</v>
      </c>
      <c r="Y18">
        <v>126.45404159629727</v>
      </c>
      <c r="Z18">
        <v>128.43544712771143</v>
      </c>
      <c r="AA18">
        <v>130.29898783399136</v>
      </c>
      <c r="AB18">
        <v>132.0550635983578</v>
      </c>
      <c r="AC18">
        <v>134.57285929061101</v>
      </c>
      <c r="AD18">
        <v>136.8802456669527</v>
      </c>
      <c r="AE18">
        <v>139.65404522744882</v>
      </c>
      <c r="AF18">
        <v>142.2703556578544</v>
      </c>
      <c r="AG18">
        <v>144.79587421797049</v>
      </c>
      <c r="AH18">
        <v>147.19942790595289</v>
      </c>
      <c r="AI18">
        <v>149.26237350208064</v>
      </c>
      <c r="AJ18">
        <v>151.20394682450987</v>
      </c>
      <c r="AK18">
        <v>152.8834033040946</v>
      </c>
      <c r="AL18">
        <v>154.46994458287415</v>
      </c>
      <c r="AM18">
        <v>155.98532431399005</v>
      </c>
      <c r="AN18">
        <v>157.47098447503706</v>
      </c>
      <c r="AO18">
        <v>159.00273988611835</v>
      </c>
      <c r="AP18">
        <v>160.54064084920006</v>
      </c>
      <c r="AQ18">
        <v>162.11113285523928</v>
      </c>
      <c r="AR18">
        <v>163.65902973632853</v>
      </c>
      <c r="AS18">
        <v>165.15866137424587</v>
      </c>
      <c r="AT18">
        <v>166.58404765020205</v>
      </c>
      <c r="AU18">
        <v>167.90966664391391</v>
      </c>
      <c r="AV18">
        <v>169.14623855030217</v>
      </c>
      <c r="AW18">
        <v>170.29694368791849</v>
      </c>
      <c r="AX18">
        <v>171.38732551441069</v>
      </c>
      <c r="AY18">
        <v>172.4361975212237</v>
      </c>
    </row>
    <row r="19" spans="1:51" x14ac:dyDescent="0.2">
      <c r="A19" t="s">
        <v>18</v>
      </c>
      <c r="B19" t="s">
        <v>4</v>
      </c>
      <c r="C19">
        <v>1.2504012500621318</v>
      </c>
      <c r="D19">
        <v>13.94412542541318</v>
      </c>
      <c r="E19">
        <v>95.643716003274662</v>
      </c>
      <c r="F19">
        <v>24.986720492688956</v>
      </c>
      <c r="G19">
        <v>79.593446676876056</v>
      </c>
      <c r="H19">
        <v>57.633119968528931</v>
      </c>
      <c r="I19">
        <v>71.745588978893508</v>
      </c>
      <c r="J19">
        <v>76.459671847054736</v>
      </c>
      <c r="K19">
        <v>61.052567411913891</v>
      </c>
      <c r="L19">
        <v>78.937988651995198</v>
      </c>
      <c r="M19">
        <v>70.450896744312246</v>
      </c>
      <c r="N19">
        <v>81.37259207599817</v>
      </c>
      <c r="O19">
        <v>82.673610786706561</v>
      </c>
      <c r="P19">
        <v>84.912071647050681</v>
      </c>
      <c r="Q19">
        <v>92.029458375175949</v>
      </c>
      <c r="R19">
        <v>92.050129348144083</v>
      </c>
      <c r="S19">
        <v>97.820628762063563</v>
      </c>
      <c r="T19">
        <v>98.573443295583857</v>
      </c>
      <c r="U19">
        <v>101.02213271057316</v>
      </c>
      <c r="V19">
        <v>103.08788702437516</v>
      </c>
      <c r="W19">
        <v>103.93991818087535</v>
      </c>
      <c r="X19">
        <v>106.38936503117773</v>
      </c>
      <c r="Y19">
        <v>107.56416071274863</v>
      </c>
      <c r="Z19">
        <v>109.97376201969702</v>
      </c>
      <c r="AA19">
        <v>112.08208647142924</v>
      </c>
      <c r="AB19">
        <v>114.25977666755969</v>
      </c>
      <c r="AC19">
        <v>116.61042996441005</v>
      </c>
      <c r="AD19">
        <v>118.43371868916462</v>
      </c>
      <c r="AE19">
        <v>120.37957897888933</v>
      </c>
      <c r="AF19">
        <v>121.8955506913253</v>
      </c>
      <c r="AG19">
        <v>123.35722688551742</v>
      </c>
      <c r="AH19">
        <v>124.71464765773661</v>
      </c>
      <c r="AI19">
        <v>125.97068348384281</v>
      </c>
      <c r="AJ19">
        <v>127.30680748503903</v>
      </c>
      <c r="AK19">
        <v>128.58365589238741</v>
      </c>
      <c r="AL19">
        <v>129.9274835305292</v>
      </c>
      <c r="AM19">
        <v>131.24869952987589</v>
      </c>
      <c r="AN19">
        <v>132.55018692512411</v>
      </c>
      <c r="AO19">
        <v>133.82217500132188</v>
      </c>
      <c r="AP19">
        <v>135.0134851293837</v>
      </c>
      <c r="AQ19">
        <v>136.14951610757618</v>
      </c>
      <c r="AR19">
        <v>137.20019350782616</v>
      </c>
      <c r="AS19">
        <v>138.18996294904366</v>
      </c>
      <c r="AT19">
        <v>139.12668658883044</v>
      </c>
      <c r="AU19">
        <v>140.0225807378051</v>
      </c>
      <c r="AV19">
        <v>140.89862847651204</v>
      </c>
      <c r="AW19">
        <v>141.7553414954333</v>
      </c>
      <c r="AX19">
        <v>142.60210100918636</v>
      </c>
      <c r="AY19">
        <v>143.43254564923726</v>
      </c>
    </row>
    <row r="20" spans="1:51" x14ac:dyDescent="0.2">
      <c r="A20" t="s">
        <v>19</v>
      </c>
      <c r="B20" t="s">
        <v>4</v>
      </c>
      <c r="C20">
        <v>7.9722354216487465</v>
      </c>
      <c r="D20">
        <v>85.023074738643103</v>
      </c>
      <c r="E20">
        <v>370.01291395657393</v>
      </c>
      <c r="F20">
        <v>180.89326518047275</v>
      </c>
      <c r="G20">
        <v>258.74721188601353</v>
      </c>
      <c r="H20">
        <v>298.28210882771617</v>
      </c>
      <c r="I20">
        <v>303.33523025425251</v>
      </c>
      <c r="J20">
        <v>347.7732474625023</v>
      </c>
      <c r="K20">
        <v>285.21780473174056</v>
      </c>
      <c r="L20">
        <v>324.94164302339613</v>
      </c>
      <c r="M20">
        <v>311.63144002847093</v>
      </c>
      <c r="N20">
        <v>317.99724006210477</v>
      </c>
      <c r="O20">
        <v>327.0237193594063</v>
      </c>
      <c r="P20">
        <v>322.56801508343375</v>
      </c>
      <c r="Q20">
        <v>347.50037616166895</v>
      </c>
      <c r="R20">
        <v>355.91838124226985</v>
      </c>
      <c r="S20">
        <v>377.76107598110076</v>
      </c>
      <c r="T20">
        <v>392.72427885568356</v>
      </c>
      <c r="U20">
        <v>404.02456688075273</v>
      </c>
      <c r="V20">
        <v>416.10616201287678</v>
      </c>
      <c r="W20">
        <v>419.54367271155428</v>
      </c>
      <c r="X20">
        <v>425.4232630501358</v>
      </c>
      <c r="Y20">
        <v>427.9214383883027</v>
      </c>
      <c r="Z20">
        <v>432.52489432834534</v>
      </c>
      <c r="AA20">
        <v>438.87672085732299</v>
      </c>
      <c r="AB20">
        <v>445.68774427604694</v>
      </c>
      <c r="AC20">
        <v>454.66527424567022</v>
      </c>
      <c r="AD20">
        <v>462.90374310177668</v>
      </c>
      <c r="AE20">
        <v>471.50601960455464</v>
      </c>
      <c r="AF20">
        <v>479.11368506120795</v>
      </c>
      <c r="AG20">
        <v>485.7384386432546</v>
      </c>
      <c r="AH20">
        <v>491.67524130956099</v>
      </c>
      <c r="AI20">
        <v>496.57705395095024</v>
      </c>
      <c r="AJ20">
        <v>501.1955972139242</v>
      </c>
      <c r="AK20">
        <v>505.39828828544438</v>
      </c>
      <c r="AL20">
        <v>509.6240707202677</v>
      </c>
      <c r="AM20">
        <v>513.99274151590441</v>
      </c>
      <c r="AN20">
        <v>518.51088313020716</v>
      </c>
      <c r="AO20">
        <v>523.26687184422815</v>
      </c>
      <c r="AP20">
        <v>528.03333418066768</v>
      </c>
      <c r="AQ20">
        <v>532.74756330724654</v>
      </c>
      <c r="AR20">
        <v>537.21781125761424</v>
      </c>
      <c r="AS20">
        <v>541.35533409917093</v>
      </c>
      <c r="AT20">
        <v>545.14416939512353</v>
      </c>
      <c r="AU20">
        <v>548.59207434307609</v>
      </c>
      <c r="AV20">
        <v>551.80595467096634</v>
      </c>
      <c r="AW20">
        <v>554.86138107057866</v>
      </c>
      <c r="AX20">
        <v>557.85191061589967</v>
      </c>
      <c r="AY20">
        <v>560.8273480471737</v>
      </c>
    </row>
    <row r="21" spans="1:51" x14ac:dyDescent="0.2">
      <c r="A21" t="s">
        <v>20</v>
      </c>
      <c r="B21" t="s">
        <v>4</v>
      </c>
      <c r="C21">
        <v>-14.450331221910952</v>
      </c>
      <c r="D21">
        <v>-4.8492468641690065</v>
      </c>
      <c r="E21">
        <v>3.138059318832449</v>
      </c>
      <c r="F21">
        <v>4.9707900801703895</v>
      </c>
      <c r="G21">
        <v>5.8113471291414553</v>
      </c>
      <c r="H21">
        <v>1.6886061693870005</v>
      </c>
      <c r="I21">
        <v>2.5369884970692458</v>
      </c>
      <c r="J21">
        <v>1.1164818429311092</v>
      </c>
      <c r="K21">
        <v>0.26812220986508983</v>
      </c>
      <c r="L21">
        <v>2.3476345871926187E-2</v>
      </c>
      <c r="M21">
        <v>-0.53436178377113264</v>
      </c>
      <c r="N21">
        <v>0.38637337613837675</v>
      </c>
      <c r="O21">
        <v>0.38070425716340656</v>
      </c>
      <c r="P21">
        <v>0.72910164885782569</v>
      </c>
      <c r="Q21">
        <v>0.72907407622431164</v>
      </c>
      <c r="R21">
        <v>0.5543411545250474</v>
      </c>
      <c r="S21">
        <v>0.50463570643693234</v>
      </c>
      <c r="T21">
        <v>0.11915895038493053</v>
      </c>
      <c r="U21">
        <v>-0.10526370750595941</v>
      </c>
      <c r="V21">
        <v>-0.43958059328640003</v>
      </c>
      <c r="W21">
        <v>-0.67631990804096431</v>
      </c>
      <c r="X21">
        <v>-0.82373293116927526</v>
      </c>
      <c r="Y21">
        <v>-0.94923741784078297</v>
      </c>
      <c r="Z21">
        <v>-0.95593767011380537</v>
      </c>
      <c r="AA21">
        <v>-0.97095094662946402</v>
      </c>
      <c r="AB21">
        <v>-0.95225668459378721</v>
      </c>
      <c r="AC21">
        <v>-0.96764847507182428</v>
      </c>
      <c r="AD21">
        <v>-1.0291238687078388</v>
      </c>
      <c r="AE21">
        <v>-1.1214396089513006</v>
      </c>
      <c r="AF21">
        <v>-1.2569456034921211</v>
      </c>
      <c r="AG21">
        <v>-1.3932880648978871</v>
      </c>
      <c r="AH21">
        <v>-1.5288423937319946</v>
      </c>
      <c r="AI21">
        <v>-1.6417765006936613</v>
      </c>
      <c r="AJ21">
        <v>-1.7275246701142364</v>
      </c>
      <c r="AK21">
        <v>-1.7916968568708778</v>
      </c>
      <c r="AL21">
        <v>-1.8357015288540386</v>
      </c>
      <c r="AM21">
        <v>-1.8739384225783668</v>
      </c>
      <c r="AN21">
        <v>-1.9107484363213221</v>
      </c>
      <c r="AO21">
        <v>-1.9537149678725347</v>
      </c>
      <c r="AP21">
        <v>-2.0052019360930511</v>
      </c>
      <c r="AQ21">
        <v>-2.064031589002973</v>
      </c>
      <c r="AR21">
        <v>-2.1289989215383183</v>
      </c>
      <c r="AS21">
        <v>-2.1951723523404127</v>
      </c>
      <c r="AT21">
        <v>-2.2595660730603484</v>
      </c>
      <c r="AU21">
        <v>-2.3186356113208029</v>
      </c>
      <c r="AV21">
        <v>-2.3706528943120073</v>
      </c>
      <c r="AW21">
        <v>-2.4156137867772665</v>
      </c>
      <c r="AX21">
        <v>-2.454412296238186</v>
      </c>
      <c r="AY21">
        <v>-2.4894210768163112</v>
      </c>
    </row>
    <row r="22" spans="1:51" x14ac:dyDescent="0.2">
      <c r="A22" t="s">
        <v>21</v>
      </c>
      <c r="B22" t="s">
        <v>4</v>
      </c>
      <c r="C22">
        <v>41.817082534068973</v>
      </c>
      <c r="D22">
        <v>-0.32545960673198332</v>
      </c>
      <c r="E22">
        <v>104.83561692413969</v>
      </c>
      <c r="F22">
        <v>51.123323607766089</v>
      </c>
      <c r="G22">
        <v>103.83479164913257</v>
      </c>
      <c r="H22">
        <v>111.9486010217113</v>
      </c>
      <c r="I22">
        <v>111.43085528533511</v>
      </c>
      <c r="J22">
        <v>140.4432979630341</v>
      </c>
      <c r="K22">
        <v>123.24353517792844</v>
      </c>
      <c r="L22">
        <v>143.36157161869883</v>
      </c>
      <c r="M22">
        <v>137.58587050647006</v>
      </c>
      <c r="N22">
        <v>141.0945056685118</v>
      </c>
      <c r="O22">
        <v>145.2718222740796</v>
      </c>
      <c r="P22">
        <v>142.10040063191235</v>
      </c>
      <c r="Q22">
        <v>150.03295838090446</v>
      </c>
      <c r="R22">
        <v>150.55368265395347</v>
      </c>
      <c r="S22">
        <v>157.61762392680234</v>
      </c>
      <c r="T22">
        <v>162.71515480287511</v>
      </c>
      <c r="U22">
        <v>167.26080378186748</v>
      </c>
      <c r="V22">
        <v>172.86692794540022</v>
      </c>
      <c r="W22">
        <v>175.20348901979938</v>
      </c>
      <c r="X22">
        <v>178.61278550462151</v>
      </c>
      <c r="Y22">
        <v>180.16701052301647</v>
      </c>
      <c r="Z22">
        <v>182.04617540179865</v>
      </c>
      <c r="AA22">
        <v>184.11612743488871</v>
      </c>
      <c r="AB22">
        <v>186.04557874929699</v>
      </c>
      <c r="AC22">
        <v>188.79836974750833</v>
      </c>
      <c r="AD22">
        <v>191.32124783099781</v>
      </c>
      <c r="AE22">
        <v>194.21936156553929</v>
      </c>
      <c r="AF22">
        <v>196.95227148614379</v>
      </c>
      <c r="AG22">
        <v>199.51021005706716</v>
      </c>
      <c r="AH22">
        <v>201.94584229327535</v>
      </c>
      <c r="AI22">
        <v>204.02187630687629</v>
      </c>
      <c r="AJ22">
        <v>205.9765836752882</v>
      </c>
      <c r="AK22">
        <v>207.68711090712773</v>
      </c>
      <c r="AL22">
        <v>209.30649630766328</v>
      </c>
      <c r="AM22">
        <v>210.87829127512575</v>
      </c>
      <c r="AN22">
        <v>212.42808403612392</v>
      </c>
      <c r="AO22">
        <v>214.03550993707975</v>
      </c>
      <c r="AP22">
        <v>215.65215481112196</v>
      </c>
      <c r="AQ22">
        <v>217.29416427251829</v>
      </c>
      <c r="AR22">
        <v>218.90475374595417</v>
      </c>
      <c r="AS22">
        <v>220.45082241195252</v>
      </c>
      <c r="AT22">
        <v>221.91090215369883</v>
      </c>
      <c r="AU22">
        <v>223.26199157782656</v>
      </c>
      <c r="AV22">
        <v>224.5208976274381</v>
      </c>
      <c r="AW22">
        <v>225.69654983065894</v>
      </c>
      <c r="AX22">
        <v>226.81651146911577</v>
      </c>
      <c r="AY22">
        <v>227.90117200793091</v>
      </c>
    </row>
    <row r="23" spans="1:51" x14ac:dyDescent="0.2">
      <c r="A23" t="s">
        <v>22</v>
      </c>
      <c r="B23" t="s">
        <v>4</v>
      </c>
      <c r="C23">
        <v>-7.773418783265635</v>
      </c>
      <c r="D23">
        <v>84.553057463998172</v>
      </c>
      <c r="E23">
        <v>175.92094771843048</v>
      </c>
      <c r="F23">
        <v>91.89719250331288</v>
      </c>
      <c r="G23">
        <v>93.112629366783452</v>
      </c>
      <c r="H23">
        <v>101.42681263076683</v>
      </c>
      <c r="I23">
        <v>117.31879060007432</v>
      </c>
      <c r="J23">
        <v>125.33604593316664</v>
      </c>
      <c r="K23">
        <v>107.56846186576907</v>
      </c>
      <c r="L23">
        <v>118.90979998550436</v>
      </c>
      <c r="M23">
        <v>116.40217793558193</v>
      </c>
      <c r="N23">
        <v>118.83352052223455</v>
      </c>
      <c r="O23">
        <v>117.25277101147556</v>
      </c>
      <c r="P23">
        <v>114.24780621906693</v>
      </c>
      <c r="Q23">
        <v>119.35722868837209</v>
      </c>
      <c r="R23">
        <v>121.73883298036409</v>
      </c>
      <c r="S23">
        <v>128.52760383332924</v>
      </c>
      <c r="T23">
        <v>133.13126261650862</v>
      </c>
      <c r="U23">
        <v>137.25656011397018</v>
      </c>
      <c r="V23">
        <v>140.82433310221364</v>
      </c>
      <c r="W23">
        <v>141.88989888140338</v>
      </c>
      <c r="X23">
        <v>143.08466998030872</v>
      </c>
      <c r="Y23">
        <v>143.09386874357443</v>
      </c>
      <c r="Z23">
        <v>143.76388806691764</v>
      </c>
      <c r="AA23">
        <v>144.86363989462222</v>
      </c>
      <c r="AB23">
        <v>146.31344514502095</v>
      </c>
      <c r="AC23">
        <v>148.40147065359255</v>
      </c>
      <c r="AD23">
        <v>150.4298354274602</v>
      </c>
      <c r="AE23">
        <v>152.67249989007291</v>
      </c>
      <c r="AF23">
        <v>154.69751282614936</v>
      </c>
      <c r="AG23">
        <v>156.52260833618041</v>
      </c>
      <c r="AH23">
        <v>158.12645632861998</v>
      </c>
      <c r="AI23">
        <v>159.41422387554778</v>
      </c>
      <c r="AJ23">
        <v>160.5440328284316</v>
      </c>
      <c r="AK23">
        <v>161.48128234536898</v>
      </c>
      <c r="AL23">
        <v>162.37601836170725</v>
      </c>
      <c r="AM23">
        <v>163.28626009378135</v>
      </c>
      <c r="AN23">
        <v>164.26588244548765</v>
      </c>
      <c r="AO23">
        <v>165.35696251944168</v>
      </c>
      <c r="AP23">
        <v>166.5108138716663</v>
      </c>
      <c r="AQ23">
        <v>167.70063668309416</v>
      </c>
      <c r="AR23">
        <v>168.85251716776082</v>
      </c>
      <c r="AS23">
        <v>169.92296230829746</v>
      </c>
      <c r="AT23">
        <v>170.88701753879855</v>
      </c>
      <c r="AU23">
        <v>171.7395094292828</v>
      </c>
      <c r="AV23">
        <v>172.50765861683311</v>
      </c>
      <c r="AW23">
        <v>173.21762174994248</v>
      </c>
      <c r="AX23">
        <v>173.90374634404341</v>
      </c>
      <c r="AY23">
        <v>174.5874944957219</v>
      </c>
    </row>
    <row r="24" spans="1:51" x14ac:dyDescent="0.2">
      <c r="A24" t="s">
        <v>23</v>
      </c>
      <c r="B24" t="s">
        <v>4</v>
      </c>
      <c r="C24">
        <v>31.079295804906096</v>
      </c>
      <c r="D24">
        <v>125.41490848715273</v>
      </c>
      <c r="E24">
        <v>172.41278063685721</v>
      </c>
      <c r="F24">
        <v>122.56748894877747</v>
      </c>
      <c r="G24">
        <v>144.81890219706003</v>
      </c>
      <c r="H24">
        <v>143.13567387254756</v>
      </c>
      <c r="I24">
        <v>163.41969476850119</v>
      </c>
      <c r="J24">
        <v>162.53754841311871</v>
      </c>
      <c r="K24">
        <v>156.3019900624198</v>
      </c>
      <c r="L24">
        <v>165.76492893141682</v>
      </c>
      <c r="M24">
        <v>163.78199504992284</v>
      </c>
      <c r="N24">
        <v>168.71550917989214</v>
      </c>
      <c r="O24">
        <v>166.14106453988921</v>
      </c>
      <c r="P24">
        <v>165.93909685760798</v>
      </c>
      <c r="Q24">
        <v>168.50084271961521</v>
      </c>
      <c r="R24">
        <v>169.68027118195982</v>
      </c>
      <c r="S24">
        <v>174.20045626342826</v>
      </c>
      <c r="T24">
        <v>176.598536825217</v>
      </c>
      <c r="U24">
        <v>180.08378854606036</v>
      </c>
      <c r="V24">
        <v>182.63591962816622</v>
      </c>
      <c r="W24">
        <v>184.18336637157969</v>
      </c>
      <c r="X24">
        <v>185.69034785936333</v>
      </c>
      <c r="Y24">
        <v>186.23790358086455</v>
      </c>
      <c r="Z24">
        <v>187.28603540163775</v>
      </c>
      <c r="AA24">
        <v>188.20380136378529</v>
      </c>
      <c r="AB24">
        <v>189.40577892411454</v>
      </c>
      <c r="AC24">
        <v>190.83987421081804</v>
      </c>
      <c r="AD24">
        <v>192.24963718478392</v>
      </c>
      <c r="AE24">
        <v>193.84859553342375</v>
      </c>
      <c r="AF24">
        <v>195.30474490660393</v>
      </c>
      <c r="AG24">
        <v>196.74389195874377</v>
      </c>
      <c r="AH24">
        <v>198.04551809058714</v>
      </c>
      <c r="AI24">
        <v>199.19604637822169</v>
      </c>
      <c r="AJ24">
        <v>200.24209481817147</v>
      </c>
      <c r="AK24">
        <v>201.13885341456384</v>
      </c>
      <c r="AL24">
        <v>201.98432889882366</v>
      </c>
      <c r="AM24">
        <v>202.78395639739958</v>
      </c>
      <c r="AN24">
        <v>203.59750055373516</v>
      </c>
      <c r="AO24">
        <v>204.44753410809756</v>
      </c>
      <c r="AP24">
        <v>205.32444228660026</v>
      </c>
      <c r="AQ24">
        <v>206.22540561083406</v>
      </c>
      <c r="AR24">
        <v>207.10893407893195</v>
      </c>
      <c r="AS24">
        <v>207.95680303806941</v>
      </c>
      <c r="AT24">
        <v>208.74593577417551</v>
      </c>
      <c r="AU24">
        <v>209.47029431203458</v>
      </c>
      <c r="AV24">
        <v>210.1380293908401</v>
      </c>
      <c r="AW24">
        <v>210.7589238020085</v>
      </c>
      <c r="AX24">
        <v>211.35151503511929</v>
      </c>
      <c r="AY24">
        <v>211.92692896573715</v>
      </c>
    </row>
    <row r="25" spans="1:51" x14ac:dyDescent="0.2">
      <c r="A25" t="s">
        <v>24</v>
      </c>
      <c r="B25" t="s">
        <v>4</v>
      </c>
      <c r="C25">
        <v>27.3830012845618</v>
      </c>
      <c r="D25">
        <v>-18.050817763574859</v>
      </c>
      <c r="E25">
        <v>242.09066129909763</v>
      </c>
      <c r="F25">
        <v>105.57855698499358</v>
      </c>
      <c r="G25">
        <v>217.09529410126683</v>
      </c>
      <c r="H25">
        <v>296.68741184648934</v>
      </c>
      <c r="I25">
        <v>302.70607790675098</v>
      </c>
      <c r="J25">
        <v>407.69417149642987</v>
      </c>
      <c r="K25">
        <v>377.4088537015117</v>
      </c>
      <c r="L25">
        <v>446.77389598638666</v>
      </c>
      <c r="M25">
        <v>451.46332906462942</v>
      </c>
      <c r="N25">
        <v>467.0060816613896</v>
      </c>
      <c r="O25">
        <v>491.62556143475314</v>
      </c>
      <c r="P25">
        <v>491.05823980804865</v>
      </c>
      <c r="Q25">
        <v>523.58784833564778</v>
      </c>
      <c r="R25">
        <v>537.87253778176614</v>
      </c>
      <c r="S25">
        <v>568.88643327983254</v>
      </c>
      <c r="T25">
        <v>597.91608210114396</v>
      </c>
      <c r="U25">
        <v>623.85916524595427</v>
      </c>
      <c r="V25">
        <v>653.74997065052025</v>
      </c>
      <c r="W25">
        <v>673.53642338018074</v>
      </c>
      <c r="X25">
        <v>694.90775269779556</v>
      </c>
      <c r="Y25">
        <v>710.50344914204072</v>
      </c>
      <c r="Z25">
        <v>725.35009571625437</v>
      </c>
      <c r="AA25">
        <v>740.40995749621629</v>
      </c>
      <c r="AB25">
        <v>754.3856361156146</v>
      </c>
      <c r="AC25">
        <v>770.5842050170437</v>
      </c>
      <c r="AD25">
        <v>786.28727942350474</v>
      </c>
      <c r="AE25">
        <v>803.03457731788603</v>
      </c>
      <c r="AF25">
        <v>819.52188534695199</v>
      </c>
      <c r="AG25">
        <v>835.33318887609619</v>
      </c>
      <c r="AH25">
        <v>850.61001440200141</v>
      </c>
      <c r="AI25">
        <v>864.48407005429851</v>
      </c>
      <c r="AJ25">
        <v>877.53592758931893</v>
      </c>
      <c r="AK25">
        <v>889.45809554648963</v>
      </c>
      <c r="AL25">
        <v>900.6597047897659</v>
      </c>
      <c r="AM25">
        <v>911.39851159410046</v>
      </c>
      <c r="AN25">
        <v>921.80173748721484</v>
      </c>
      <c r="AO25">
        <v>932.18790390114862</v>
      </c>
      <c r="AP25">
        <v>942.47806808870951</v>
      </c>
      <c r="AQ25">
        <v>952.72905029135825</v>
      </c>
      <c r="AR25">
        <v>962.79016915032821</v>
      </c>
      <c r="AS25">
        <v>972.52913499116016</v>
      </c>
      <c r="AT25">
        <v>981.85818006176373</v>
      </c>
      <c r="AU25">
        <v>990.67693647674207</v>
      </c>
      <c r="AV25">
        <v>999.01168316994153</v>
      </c>
      <c r="AW25">
        <v>1006.8864757299178</v>
      </c>
      <c r="AX25">
        <v>1014.3876262078288</v>
      </c>
      <c r="AY25">
        <v>1021.5990060535019</v>
      </c>
    </row>
    <row r="26" spans="1:51" x14ac:dyDescent="0.2">
      <c r="A26" t="s">
        <v>25</v>
      </c>
      <c r="B26" t="s">
        <v>4</v>
      </c>
      <c r="C26">
        <v>-18.195685705965531</v>
      </c>
      <c r="D26">
        <v>-55.341177192554248</v>
      </c>
      <c r="E26">
        <v>45.897797347323511</v>
      </c>
      <c r="F26">
        <v>13.916925456163739</v>
      </c>
      <c r="G26">
        <v>44.494242305829133</v>
      </c>
      <c r="H26">
        <v>61.026830867172706</v>
      </c>
      <c r="I26">
        <v>52.672348519689102</v>
      </c>
      <c r="J26">
        <v>91.757228556182312</v>
      </c>
      <c r="K26">
        <v>77.96666294717464</v>
      </c>
      <c r="L26">
        <v>97.579522331951637</v>
      </c>
      <c r="M26">
        <v>95.587338370877873</v>
      </c>
      <c r="N26">
        <v>98.461937231298521</v>
      </c>
      <c r="O26">
        <v>106.73312276656549</v>
      </c>
      <c r="P26">
        <v>104.53468598995867</v>
      </c>
      <c r="Q26">
        <v>114.41363321865899</v>
      </c>
      <c r="R26">
        <v>117.69699233275361</v>
      </c>
      <c r="S26">
        <v>126.91257948867384</v>
      </c>
      <c r="T26">
        <v>135.6350736338986</v>
      </c>
      <c r="U26">
        <v>142.80168415409688</v>
      </c>
      <c r="V26">
        <v>151.60405616976399</v>
      </c>
      <c r="W26">
        <v>156.79045660465749</v>
      </c>
      <c r="X26">
        <v>162.74467645514127</v>
      </c>
      <c r="Y26">
        <v>166.81271615616967</v>
      </c>
      <c r="Z26">
        <v>170.66174466138364</v>
      </c>
      <c r="AA26">
        <v>174.76496576918493</v>
      </c>
      <c r="AB26">
        <v>178.51143565881301</v>
      </c>
      <c r="AC26">
        <v>183.12945299538208</v>
      </c>
      <c r="AD26">
        <v>187.57702515144592</v>
      </c>
      <c r="AE26">
        <v>192.389101583208</v>
      </c>
      <c r="AF26">
        <v>197.12656585485604</v>
      </c>
      <c r="AG26">
        <v>201.61914037974532</v>
      </c>
      <c r="AH26">
        <v>205.95944326310504</v>
      </c>
      <c r="AI26">
        <v>209.83264537371392</v>
      </c>
      <c r="AJ26">
        <v>213.4669359094251</v>
      </c>
      <c r="AK26">
        <v>216.75911063276121</v>
      </c>
      <c r="AL26">
        <v>219.8482696696243</v>
      </c>
      <c r="AM26">
        <v>222.82623547555576</v>
      </c>
      <c r="AN26">
        <v>225.72140409536954</v>
      </c>
      <c r="AO26">
        <v>228.64150524308207</v>
      </c>
      <c r="AP26">
        <v>231.54833960412253</v>
      </c>
      <c r="AQ26">
        <v>234.45748003295327</v>
      </c>
      <c r="AR26">
        <v>237.31551390625276</v>
      </c>
      <c r="AS26">
        <v>240.07560927245714</v>
      </c>
      <c r="AT26">
        <v>242.71158429432282</v>
      </c>
      <c r="AU26">
        <v>245.19033300189534</v>
      </c>
      <c r="AV26">
        <v>247.52428063303356</v>
      </c>
      <c r="AW26">
        <v>249.72295086081076</v>
      </c>
      <c r="AX26">
        <v>251.81600276433272</v>
      </c>
      <c r="AY26">
        <v>253.83150644841706</v>
      </c>
    </row>
    <row r="27" spans="1:51" x14ac:dyDescent="0.2">
      <c r="A27" t="s">
        <v>26</v>
      </c>
      <c r="B27" t="s">
        <v>4</v>
      </c>
      <c r="C27">
        <v>23.785248802357863</v>
      </c>
      <c r="D27">
        <v>-0.11181165470699851</v>
      </c>
      <c r="E27">
        <v>14.216796866299324</v>
      </c>
      <c r="F27">
        <v>8.5216174371878868</v>
      </c>
      <c r="G27">
        <v>12.708832051558954</v>
      </c>
      <c r="H27">
        <v>24.269942136988856</v>
      </c>
      <c r="I27">
        <v>21.631289952610729</v>
      </c>
      <c r="J27">
        <v>29.169867689992287</v>
      </c>
      <c r="K27">
        <v>27.447041372566186</v>
      </c>
      <c r="L27">
        <v>30.556251923695452</v>
      </c>
      <c r="M27">
        <v>32.085255631150233</v>
      </c>
      <c r="N27">
        <v>31.756476893598794</v>
      </c>
      <c r="O27">
        <v>34.397231019445499</v>
      </c>
      <c r="P27">
        <v>34.784870742379979</v>
      </c>
      <c r="Q27">
        <v>37.666492402148663</v>
      </c>
      <c r="R27">
        <v>39.737728701969075</v>
      </c>
      <c r="S27">
        <v>42.200956225137354</v>
      </c>
      <c r="T27">
        <v>45.030227215448512</v>
      </c>
      <c r="U27">
        <v>47.065139999246789</v>
      </c>
      <c r="V27">
        <v>49.422431526252822</v>
      </c>
      <c r="W27">
        <v>50.959790469521309</v>
      </c>
      <c r="X27">
        <v>52.448728101683805</v>
      </c>
      <c r="Y27">
        <v>53.70692848838361</v>
      </c>
      <c r="Z27">
        <v>54.82562002321869</v>
      </c>
      <c r="AA27">
        <v>56.130623689384691</v>
      </c>
      <c r="AB27">
        <v>57.387200450398041</v>
      </c>
      <c r="AC27">
        <v>58.849295459103729</v>
      </c>
      <c r="AD27">
        <v>60.319052206420643</v>
      </c>
      <c r="AE27">
        <v>61.806439802584684</v>
      </c>
      <c r="AF27">
        <v>63.26359851035847</v>
      </c>
      <c r="AG27">
        <v>64.596541374543165</v>
      </c>
      <c r="AH27">
        <v>65.851449545216539</v>
      </c>
      <c r="AI27">
        <v>66.972369212424084</v>
      </c>
      <c r="AJ27">
        <v>68.012566680870279</v>
      </c>
      <c r="AK27">
        <v>68.982504109584639</v>
      </c>
      <c r="AL27">
        <v>69.907091095272534</v>
      </c>
      <c r="AM27">
        <v>70.821431939026269</v>
      </c>
      <c r="AN27">
        <v>71.725067578621108</v>
      </c>
      <c r="AO27">
        <v>72.635664254965647</v>
      </c>
      <c r="AP27">
        <v>73.540516519911492</v>
      </c>
      <c r="AQ27">
        <v>74.43222496265841</v>
      </c>
      <c r="AR27">
        <v>75.298177189247198</v>
      </c>
      <c r="AS27">
        <v>76.123885719556355</v>
      </c>
      <c r="AT27">
        <v>76.905650572018445</v>
      </c>
      <c r="AU27">
        <v>77.639242689303103</v>
      </c>
      <c r="AV27">
        <v>78.330686734285024</v>
      </c>
      <c r="AW27">
        <v>78.986957830039515</v>
      </c>
      <c r="AX27">
        <v>79.616736866708138</v>
      </c>
      <c r="AY27">
        <v>80.228311589170289</v>
      </c>
    </row>
    <row r="28" spans="1:51" x14ac:dyDescent="0.2">
      <c r="A28" t="s">
        <v>27</v>
      </c>
      <c r="B28" t="s">
        <v>4</v>
      </c>
      <c r="C28">
        <v>-45.000912486619242</v>
      </c>
      <c r="D28">
        <v>-57.271183407656203</v>
      </c>
      <c r="E28">
        <v>58.476291688900034</v>
      </c>
      <c r="F28">
        <v>51.511057380198011</v>
      </c>
      <c r="G28">
        <v>89.934558687179958</v>
      </c>
      <c r="H28">
        <v>49.218133339051363</v>
      </c>
      <c r="I28">
        <v>37.333872456811974</v>
      </c>
      <c r="J28">
        <v>62.664330262874543</v>
      </c>
      <c r="K28">
        <v>43.917264264795655</v>
      </c>
      <c r="L28">
        <v>60.972760038466106</v>
      </c>
      <c r="M28">
        <v>49.55967546381433</v>
      </c>
      <c r="N28">
        <v>59.29790456189064</v>
      </c>
      <c r="O28">
        <v>64.229718244341683</v>
      </c>
      <c r="P28">
        <v>61.616544881699042</v>
      </c>
      <c r="Q28">
        <v>65.750677415191021</v>
      </c>
      <c r="R28">
        <v>60.391255732634207</v>
      </c>
      <c r="S28">
        <v>62.211268783046528</v>
      </c>
      <c r="T28">
        <v>60.479257069240809</v>
      </c>
      <c r="U28">
        <v>60.039428864366556</v>
      </c>
      <c r="V28">
        <v>61.270767563124743</v>
      </c>
      <c r="W28">
        <v>61.092778012469417</v>
      </c>
      <c r="X28">
        <v>63.379018686602912</v>
      </c>
      <c r="Y28">
        <v>64.154493247620124</v>
      </c>
      <c r="Z28">
        <v>65.653357613232259</v>
      </c>
      <c r="AA28">
        <v>66.724260587992916</v>
      </c>
      <c r="AB28">
        <v>67.278099501880618</v>
      </c>
      <c r="AC28">
        <v>68.027192866499675</v>
      </c>
      <c r="AD28">
        <v>68.0739314217128</v>
      </c>
      <c r="AE28">
        <v>68.350904130588503</v>
      </c>
      <c r="AF28">
        <v>68.422673141764733</v>
      </c>
      <c r="AG28">
        <v>68.622859752984596</v>
      </c>
      <c r="AH28">
        <v>69.019171245860733</v>
      </c>
      <c r="AI28">
        <v>69.450675772520924</v>
      </c>
      <c r="AJ28">
        <v>70.098527458015369</v>
      </c>
      <c r="AK28">
        <v>70.711314174365384</v>
      </c>
      <c r="AL28">
        <v>71.346419876048643</v>
      </c>
      <c r="AM28">
        <v>71.896914905163712</v>
      </c>
      <c r="AN28">
        <v>72.33218276986041</v>
      </c>
      <c r="AO28">
        <v>72.693664972200665</v>
      </c>
      <c r="AP28">
        <v>72.956560225399414</v>
      </c>
      <c r="AQ28">
        <v>73.198972226107585</v>
      </c>
      <c r="AR28">
        <v>73.426290427331466</v>
      </c>
      <c r="AS28">
        <v>73.675006072472684</v>
      </c>
      <c r="AT28">
        <v>73.957778603834683</v>
      </c>
      <c r="AU28">
        <v>74.264384786129966</v>
      </c>
      <c r="AV28">
        <v>74.595446296801512</v>
      </c>
      <c r="AW28">
        <v>74.925792992954158</v>
      </c>
      <c r="AX28">
        <v>75.246577954502243</v>
      </c>
      <c r="AY28">
        <v>75.543431252483316</v>
      </c>
    </row>
    <row r="29" spans="1:51" x14ac:dyDescent="0.2">
      <c r="A29" t="s">
        <v>28</v>
      </c>
      <c r="B29" t="s">
        <v>4</v>
      </c>
      <c r="C29">
        <v>-121.16848519699698</v>
      </c>
      <c r="D29">
        <v>13.114797872689714</v>
      </c>
      <c r="E29">
        <v>160.33068624883998</v>
      </c>
      <c r="F29">
        <v>125.85407062482059</v>
      </c>
      <c r="G29">
        <v>133.06572249489543</v>
      </c>
      <c r="H29">
        <v>92.71808341011041</v>
      </c>
      <c r="I29">
        <v>114.35268699598191</v>
      </c>
      <c r="J29">
        <v>128.71863653880581</v>
      </c>
      <c r="K29">
        <v>123.21631081451486</v>
      </c>
      <c r="L29">
        <v>136.65679601876067</v>
      </c>
      <c r="M29">
        <v>133.80525272125627</v>
      </c>
      <c r="N29">
        <v>144.70656436891221</v>
      </c>
      <c r="O29">
        <v>142.29893091032545</v>
      </c>
      <c r="P29">
        <v>136.51970233953628</v>
      </c>
      <c r="Q29">
        <v>132.32936608797263</v>
      </c>
      <c r="R29">
        <v>125.07008782400614</v>
      </c>
      <c r="S29">
        <v>124.34141040020367</v>
      </c>
      <c r="T29">
        <v>122.00332938718365</v>
      </c>
      <c r="U29">
        <v>122.84814203535633</v>
      </c>
      <c r="V29">
        <v>124.35972006155694</v>
      </c>
      <c r="W29">
        <v>125.51016844119481</v>
      </c>
      <c r="X29">
        <v>127.27937105470356</v>
      </c>
      <c r="Y29">
        <v>127.24423459665469</v>
      </c>
      <c r="Z29">
        <v>127.21619118161809</v>
      </c>
      <c r="AA29">
        <v>126.22774592590673</v>
      </c>
      <c r="AB29">
        <v>124.93864930921436</v>
      </c>
      <c r="AC29">
        <v>123.62475594874076</v>
      </c>
      <c r="AD29">
        <v>122.11107441814286</v>
      </c>
      <c r="AE29">
        <v>121.06853667878036</v>
      </c>
      <c r="AF29">
        <v>120.21345073470329</v>
      </c>
      <c r="AG29">
        <v>119.83079741636816</v>
      </c>
      <c r="AH29">
        <v>119.74845889435335</v>
      </c>
      <c r="AI29">
        <v>119.81221384484927</v>
      </c>
      <c r="AJ29">
        <v>119.95072949804019</v>
      </c>
      <c r="AK29">
        <v>119.91337453803121</v>
      </c>
      <c r="AL29">
        <v>119.70931658248233</v>
      </c>
      <c r="AM29">
        <v>119.27131043135377</v>
      </c>
      <c r="AN29">
        <v>118.67958195943078</v>
      </c>
      <c r="AO29">
        <v>118.03207483038393</v>
      </c>
      <c r="AP29">
        <v>117.40243384626177</v>
      </c>
      <c r="AQ29">
        <v>116.88417554055084</v>
      </c>
      <c r="AR29">
        <v>116.48604982844036</v>
      </c>
      <c r="AS29">
        <v>116.21375396132299</v>
      </c>
      <c r="AT29">
        <v>116.02812169302997</v>
      </c>
      <c r="AU29">
        <v>115.88282956537084</v>
      </c>
      <c r="AV29">
        <v>115.74043193110414</v>
      </c>
      <c r="AW29">
        <v>115.56524407159606</v>
      </c>
      <c r="AX29">
        <v>115.34815365073057</v>
      </c>
      <c r="AY29">
        <v>115.08747812490959</v>
      </c>
    </row>
    <row r="30" spans="1:51" x14ac:dyDescent="0.2">
      <c r="A30" t="s">
        <v>29</v>
      </c>
      <c r="B30" t="s">
        <v>4</v>
      </c>
      <c r="C30">
        <v>19.079979157966637</v>
      </c>
      <c r="D30">
        <v>-5.1715276612248484</v>
      </c>
      <c r="E30">
        <v>10.550534093271857</v>
      </c>
      <c r="F30">
        <v>16.377516597654882</v>
      </c>
      <c r="G30">
        <v>16.659835510849966</v>
      </c>
      <c r="H30">
        <v>28.586574766762922</v>
      </c>
      <c r="I30">
        <v>20.563153683877943</v>
      </c>
      <c r="J30">
        <v>29.874704692356321</v>
      </c>
      <c r="K30">
        <v>27.362929571778249</v>
      </c>
      <c r="L30">
        <v>29.324252305183919</v>
      </c>
      <c r="M30">
        <v>30.733562612116422</v>
      </c>
      <c r="N30">
        <v>29.197011105445345</v>
      </c>
      <c r="O30">
        <v>32.067389798294329</v>
      </c>
      <c r="P30">
        <v>31.395729821114553</v>
      </c>
      <c r="Q30">
        <v>33.506200316397425</v>
      </c>
      <c r="R30">
        <v>34.774366617005136</v>
      </c>
      <c r="S30">
        <v>36.284345293705258</v>
      </c>
      <c r="T30">
        <v>38.573096429481936</v>
      </c>
      <c r="U30">
        <v>39.771304968979962</v>
      </c>
      <c r="V30">
        <v>41.566329822122789</v>
      </c>
      <c r="W30">
        <v>42.496318056488704</v>
      </c>
      <c r="X30">
        <v>43.448749132058339</v>
      </c>
      <c r="Y30">
        <v>44.266922462309701</v>
      </c>
      <c r="Z30">
        <v>44.884602034206736</v>
      </c>
      <c r="AA30">
        <v>45.767612642012253</v>
      </c>
      <c r="AB30">
        <v>46.542262188738796</v>
      </c>
      <c r="AC30">
        <v>47.531791781583678</v>
      </c>
      <c r="AD30">
        <v>48.51402244514852</v>
      </c>
      <c r="AE30">
        <v>49.50008645280991</v>
      </c>
      <c r="AF30">
        <v>50.490272190988897</v>
      </c>
      <c r="AG30">
        <v>51.368465098590718</v>
      </c>
      <c r="AH30">
        <v>52.215557855826738</v>
      </c>
      <c r="AI30">
        <v>52.956555720415125</v>
      </c>
      <c r="AJ30">
        <v>53.643813246164349</v>
      </c>
      <c r="AK30">
        <v>54.281691366941651</v>
      </c>
      <c r="AL30">
        <v>54.879873851056921</v>
      </c>
      <c r="AM30">
        <v>55.476353818188777</v>
      </c>
      <c r="AN30">
        <v>56.062238075295014</v>
      </c>
      <c r="AO30">
        <v>56.65999741996319</v>
      </c>
      <c r="AP30">
        <v>57.258020749236394</v>
      </c>
      <c r="AQ30">
        <v>57.851025194177872</v>
      </c>
      <c r="AR30">
        <v>58.430440021215105</v>
      </c>
      <c r="AS30">
        <v>58.981517058559284</v>
      </c>
      <c r="AT30">
        <v>59.502703510598799</v>
      </c>
      <c r="AU30">
        <v>59.988582494185458</v>
      </c>
      <c r="AV30">
        <v>60.444346567848847</v>
      </c>
      <c r="AW30">
        <v>60.875450551965699</v>
      </c>
      <c r="AX30">
        <v>61.28832450115231</v>
      </c>
      <c r="AY30">
        <v>61.690008840349741</v>
      </c>
    </row>
    <row r="31" spans="1:51" x14ac:dyDescent="0.2">
      <c r="A31" t="s">
        <v>30</v>
      </c>
      <c r="B31" t="s">
        <v>4</v>
      </c>
      <c r="C31">
        <v>-103.69914670686022</v>
      </c>
      <c r="D31">
        <v>81.129733912958997</v>
      </c>
      <c r="E31">
        <v>63.435475040914532</v>
      </c>
      <c r="F31">
        <v>90.624887375015433</v>
      </c>
      <c r="G31">
        <v>57.472541505533279</v>
      </c>
      <c r="H31">
        <v>108.55447171900927</v>
      </c>
      <c r="I31">
        <v>95.905967805870475</v>
      </c>
      <c r="J31">
        <v>119.47680050224766</v>
      </c>
      <c r="K31">
        <v>106.68719272974344</v>
      </c>
      <c r="L31">
        <v>114.26469193917224</v>
      </c>
      <c r="M31">
        <v>126.81805288880031</v>
      </c>
      <c r="N31">
        <v>133.80338486955947</v>
      </c>
      <c r="O31">
        <v>151.62329628388261</v>
      </c>
      <c r="P31">
        <v>163.02188338514759</v>
      </c>
      <c r="Q31">
        <v>184.05873946231034</v>
      </c>
      <c r="R31">
        <v>204.9599991541028</v>
      </c>
      <c r="S31">
        <v>226.10850044435571</v>
      </c>
      <c r="T31">
        <v>247.79377630494827</v>
      </c>
      <c r="U31">
        <v>264.76563987767258</v>
      </c>
      <c r="V31">
        <v>281.10090364529151</v>
      </c>
      <c r="W31">
        <v>293.55136628509939</v>
      </c>
      <c r="X31">
        <v>304.96447232538009</v>
      </c>
      <c r="Y31">
        <v>315.94882804083778</v>
      </c>
      <c r="Z31">
        <v>327.00951796832152</v>
      </c>
      <c r="AA31">
        <v>339.55937288615462</v>
      </c>
      <c r="AB31">
        <v>352.48564166817664</v>
      </c>
      <c r="AC31">
        <v>366.15657101132439</v>
      </c>
      <c r="AD31">
        <v>379.59957945425504</v>
      </c>
      <c r="AE31">
        <v>392.48164662621429</v>
      </c>
      <c r="AF31">
        <v>404.62332327061449</v>
      </c>
      <c r="AG31">
        <v>415.70267739099751</v>
      </c>
      <c r="AH31">
        <v>426.01146908477165</v>
      </c>
      <c r="AI31">
        <v>435.52443413875181</v>
      </c>
      <c r="AJ31">
        <v>444.53489846229797</v>
      </c>
      <c r="AK31">
        <v>453.20355425940147</v>
      </c>
      <c r="AL31">
        <v>461.65968481205618</v>
      </c>
      <c r="AM31">
        <v>470.05824910643702</v>
      </c>
      <c r="AN31">
        <v>478.38606671380774</v>
      </c>
      <c r="AO31">
        <v>486.65953353656062</v>
      </c>
      <c r="AP31">
        <v>494.78026941551212</v>
      </c>
      <c r="AQ31">
        <v>502.65399591515325</v>
      </c>
      <c r="AR31">
        <v>510.19374403122379</v>
      </c>
      <c r="AS31">
        <v>517.32859530234066</v>
      </c>
      <c r="AT31">
        <v>524.05952575470701</v>
      </c>
      <c r="AU31">
        <v>530.4120966240481</v>
      </c>
      <c r="AV31">
        <v>536.45715124494257</v>
      </c>
      <c r="AW31">
        <v>542.26812509282377</v>
      </c>
      <c r="AX31">
        <v>547.90694544956966</v>
      </c>
      <c r="AY31">
        <v>553.41543010605915</v>
      </c>
    </row>
    <row r="32" spans="1:51" x14ac:dyDescent="0.2">
      <c r="A32" t="s">
        <v>31</v>
      </c>
      <c r="B32" t="s">
        <v>4</v>
      </c>
      <c r="C32">
        <v>-11.182028614536494</v>
      </c>
      <c r="D32">
        <v>0.19498881914153585</v>
      </c>
      <c r="E32">
        <v>27.335167201664266</v>
      </c>
      <c r="F32">
        <v>35.418246372402898</v>
      </c>
      <c r="G32">
        <v>36.34753534742439</v>
      </c>
      <c r="H32">
        <v>36.455366974147076</v>
      </c>
      <c r="I32">
        <v>36.556087613827913</v>
      </c>
      <c r="J32">
        <v>42.872551325294538</v>
      </c>
      <c r="K32">
        <v>40.734287417861253</v>
      </c>
      <c r="L32">
        <v>43.802363857581675</v>
      </c>
      <c r="M32">
        <v>45.21176460211408</v>
      </c>
      <c r="N32">
        <v>48.619943459940473</v>
      </c>
      <c r="O32">
        <v>51.775762098723575</v>
      </c>
      <c r="P32">
        <v>52.893050228518241</v>
      </c>
      <c r="Q32">
        <v>54.904789263792821</v>
      </c>
      <c r="R32">
        <v>55.794127441154174</v>
      </c>
      <c r="S32">
        <v>57.456048281219161</v>
      </c>
      <c r="T32">
        <v>58.946795066199336</v>
      </c>
      <c r="U32">
        <v>60.442944287091876</v>
      </c>
      <c r="V32">
        <v>62.306773258079851</v>
      </c>
      <c r="W32">
        <v>63.911991850308773</v>
      </c>
      <c r="X32">
        <v>65.740775425445747</v>
      </c>
      <c r="Y32">
        <v>67.336236127110112</v>
      </c>
      <c r="Z32">
        <v>68.903115869061594</v>
      </c>
      <c r="AA32">
        <v>70.412841071577944</v>
      </c>
      <c r="AB32">
        <v>71.778992719233202</v>
      </c>
      <c r="AC32">
        <v>73.125886780959405</v>
      </c>
      <c r="AD32">
        <v>74.330377340585912</v>
      </c>
      <c r="AE32">
        <v>75.505887512971825</v>
      </c>
      <c r="AF32">
        <v>76.632478709151229</v>
      </c>
      <c r="AG32">
        <v>77.740975624818148</v>
      </c>
      <c r="AH32">
        <v>78.863480492303566</v>
      </c>
      <c r="AI32">
        <v>79.969575352904357</v>
      </c>
      <c r="AJ32">
        <v>81.076618001634372</v>
      </c>
      <c r="AK32">
        <v>82.1454015928595</v>
      </c>
      <c r="AL32">
        <v>83.169725993380268</v>
      </c>
      <c r="AM32">
        <v>84.138535126996615</v>
      </c>
      <c r="AN32">
        <v>85.047145670523975</v>
      </c>
      <c r="AO32">
        <v>85.90960632327419</v>
      </c>
      <c r="AP32">
        <v>86.729744733563265</v>
      </c>
      <c r="AQ32">
        <v>87.522419594743624</v>
      </c>
      <c r="AR32">
        <v>88.292445402347312</v>
      </c>
      <c r="AS32">
        <v>89.043708292333321</v>
      </c>
      <c r="AT32">
        <v>89.777691332631719</v>
      </c>
      <c r="AU32">
        <v>90.491284684800377</v>
      </c>
      <c r="AV32">
        <v>91.183710621061323</v>
      </c>
      <c r="AW32">
        <v>91.851660829402988</v>
      </c>
      <c r="AX32">
        <v>92.494030661648935</v>
      </c>
      <c r="AY32">
        <v>93.109955472428638</v>
      </c>
    </row>
    <row r="33" spans="1:51" x14ac:dyDescent="0.2">
      <c r="A33" t="s">
        <v>32</v>
      </c>
      <c r="B33" t="s">
        <v>4</v>
      </c>
      <c r="C33">
        <v>7.5556979594643527</v>
      </c>
      <c r="D33">
        <v>11.125933566086097</v>
      </c>
      <c r="E33">
        <v>3.1483597535978194</v>
      </c>
      <c r="F33">
        <v>6.2219639551215487</v>
      </c>
      <c r="G33">
        <v>4.6673553617524917</v>
      </c>
      <c r="H33">
        <v>13.504028807018598</v>
      </c>
      <c r="I33">
        <v>13.632666942421457</v>
      </c>
      <c r="J33">
        <v>17.530036739613362</v>
      </c>
      <c r="K33">
        <v>17.935851651560302</v>
      </c>
      <c r="L33">
        <v>18.829875917826769</v>
      </c>
      <c r="M33">
        <v>19.653854854541464</v>
      </c>
      <c r="N33">
        <v>19.333291960195794</v>
      </c>
      <c r="O33">
        <v>20.74838017189062</v>
      </c>
      <c r="P33">
        <v>21.679101712785346</v>
      </c>
      <c r="Q33">
        <v>23.400503406018661</v>
      </c>
      <c r="R33">
        <v>24.982390230173817</v>
      </c>
      <c r="S33">
        <v>26.382093424958921</v>
      </c>
      <c r="T33">
        <v>28.01773930289124</v>
      </c>
      <c r="U33">
        <v>29.321492574988341</v>
      </c>
      <c r="V33">
        <v>30.8032774095741</v>
      </c>
      <c r="W33">
        <v>32.094443362893394</v>
      </c>
      <c r="X33">
        <v>33.352038304586792</v>
      </c>
      <c r="Y33">
        <v>34.570655068357034</v>
      </c>
      <c r="Z33">
        <v>35.661047719195921</v>
      </c>
      <c r="AA33">
        <v>36.769144751353394</v>
      </c>
      <c r="AB33">
        <v>37.798428663260985</v>
      </c>
      <c r="AC33">
        <v>38.848292851145246</v>
      </c>
      <c r="AD33">
        <v>39.888600141162009</v>
      </c>
      <c r="AE33">
        <v>40.913358689665458</v>
      </c>
      <c r="AF33">
        <v>41.931175195604773</v>
      </c>
      <c r="AG33">
        <v>42.898796641149829</v>
      </c>
      <c r="AH33">
        <v>43.834473204797781</v>
      </c>
      <c r="AI33">
        <v>44.71710225359368</v>
      </c>
      <c r="AJ33">
        <v>45.557260539052251</v>
      </c>
      <c r="AK33">
        <v>46.360410168648357</v>
      </c>
      <c r="AL33">
        <v>47.127657469916329</v>
      </c>
      <c r="AM33">
        <v>47.871195814124818</v>
      </c>
      <c r="AN33">
        <v>48.588701641055167</v>
      </c>
      <c r="AO33">
        <v>49.286726681350707</v>
      </c>
      <c r="AP33">
        <v>49.964656616942833</v>
      </c>
      <c r="AQ33">
        <v>50.62268996762392</v>
      </c>
      <c r="AR33">
        <v>51.261380579901832</v>
      </c>
      <c r="AS33">
        <v>51.87792745617709</v>
      </c>
      <c r="AT33">
        <v>52.472348529327348</v>
      </c>
      <c r="AU33">
        <v>53.042709832796497</v>
      </c>
      <c r="AV33">
        <v>53.589279793157345</v>
      </c>
      <c r="AW33">
        <v>54.112961799580972</v>
      </c>
      <c r="AX33">
        <v>54.615248225840993</v>
      </c>
      <c r="AY33">
        <v>55.098711682808798</v>
      </c>
    </row>
    <row r="34" spans="1:51" x14ac:dyDescent="0.2">
      <c r="A34" t="s">
        <v>33</v>
      </c>
      <c r="B34" t="s">
        <v>4</v>
      </c>
      <c r="C34">
        <v>-105.47101636578724</v>
      </c>
      <c r="D34">
        <v>-86.342667837587314</v>
      </c>
      <c r="E34">
        <v>-34.30143490142887</v>
      </c>
      <c r="F34">
        <v>-19.24830334512497</v>
      </c>
      <c r="G34">
        <v>27.818675829506624</v>
      </c>
      <c r="H34">
        <v>-8.4052588687076213</v>
      </c>
      <c r="I34">
        <v>14.944260593355478</v>
      </c>
      <c r="J34">
        <v>22.658353573619753</v>
      </c>
      <c r="K34">
        <v>18.29788942288009</v>
      </c>
      <c r="L34">
        <v>24.307746029380809</v>
      </c>
      <c r="M34">
        <v>14.305687705454696</v>
      </c>
      <c r="N34">
        <v>24.386544664934082</v>
      </c>
      <c r="O34">
        <v>25.003966518682905</v>
      </c>
      <c r="P34">
        <v>29.681285744385061</v>
      </c>
      <c r="Q34">
        <v>35.943463419250087</v>
      </c>
      <c r="R34">
        <v>39.96045004671992</v>
      </c>
      <c r="S34">
        <v>48.990156105103075</v>
      </c>
      <c r="T34">
        <v>53.924289807993873</v>
      </c>
      <c r="U34">
        <v>60.114217519544333</v>
      </c>
      <c r="V34">
        <v>64.097846136509233</v>
      </c>
      <c r="W34">
        <v>66.751207841375916</v>
      </c>
      <c r="X34">
        <v>69.418278752927804</v>
      </c>
      <c r="Y34">
        <v>70.751676374994133</v>
      </c>
      <c r="Z34">
        <v>73.088819518822532</v>
      </c>
      <c r="AA34">
        <v>75.397813107671652</v>
      </c>
      <c r="AB34">
        <v>78.489069701988186</v>
      </c>
      <c r="AC34">
        <v>82.040515518777795</v>
      </c>
      <c r="AD34">
        <v>85.545527392148344</v>
      </c>
      <c r="AE34">
        <v>89.165225065266966</v>
      </c>
      <c r="AF34">
        <v>92.300775432265624</v>
      </c>
      <c r="AG34">
        <v>95.181804614303189</v>
      </c>
      <c r="AH34">
        <v>97.647834405742927</v>
      </c>
      <c r="AI34">
        <v>99.803050156073482</v>
      </c>
      <c r="AJ34">
        <v>101.80310805369287</v>
      </c>
      <c r="AK34">
        <v>103.65235419217427</v>
      </c>
      <c r="AL34">
        <v>105.52765959853396</v>
      </c>
      <c r="AM34">
        <v>107.4107764059997</v>
      </c>
      <c r="AN34">
        <v>109.36026878279893</v>
      </c>
      <c r="AO34">
        <v>111.35880341946137</v>
      </c>
      <c r="AP34">
        <v>113.35820722079124</v>
      </c>
      <c r="AQ34">
        <v>115.33122955909036</v>
      </c>
      <c r="AR34">
        <v>117.20695498447162</v>
      </c>
      <c r="AS34">
        <v>118.96590650477293</v>
      </c>
      <c r="AT34">
        <v>120.58572144443379</v>
      </c>
      <c r="AU34">
        <v>122.07697825023355</v>
      </c>
      <c r="AV34">
        <v>123.46914310913404</v>
      </c>
      <c r="AW34">
        <v>124.7913564695624</v>
      </c>
      <c r="AX34">
        <v>126.08023044208223</v>
      </c>
      <c r="AY34">
        <v>127.3534477313066</v>
      </c>
    </row>
    <row r="35" spans="1:51" x14ac:dyDescent="0.2">
      <c r="A35" t="s">
        <v>34</v>
      </c>
      <c r="B35" t="s">
        <v>4</v>
      </c>
      <c r="C35">
        <v>13.455982901970977</v>
      </c>
      <c r="D35">
        <v>-85.456769324698115</v>
      </c>
      <c r="E35">
        <v>22.874612954062325</v>
      </c>
      <c r="F35">
        <v>-7.3660608158360468</v>
      </c>
      <c r="G35">
        <v>-5.2045155823454037</v>
      </c>
      <c r="H35">
        <v>10.29708698388337</v>
      </c>
      <c r="I35">
        <v>-8.9771471088381318</v>
      </c>
      <c r="J35">
        <v>20.366870031174468</v>
      </c>
      <c r="K35">
        <v>8.8558945932581956</v>
      </c>
      <c r="L35">
        <v>18.192069229737644</v>
      </c>
      <c r="M35">
        <v>21.58551982513756</v>
      </c>
      <c r="N35">
        <v>22.280768060186865</v>
      </c>
      <c r="O35">
        <v>32.744922379882489</v>
      </c>
      <c r="P35">
        <v>32.247509630696051</v>
      </c>
      <c r="Q35">
        <v>40.246956335714565</v>
      </c>
      <c r="R35">
        <v>43.639487116942369</v>
      </c>
      <c r="S35">
        <v>48.846399693190612</v>
      </c>
      <c r="T35">
        <v>54.930698254221369</v>
      </c>
      <c r="U35">
        <v>58.513930293711894</v>
      </c>
      <c r="V35">
        <v>64.136349448334968</v>
      </c>
      <c r="W35">
        <v>67.395862190374984</v>
      </c>
      <c r="X35">
        <v>71.352701921022799</v>
      </c>
      <c r="Y35">
        <v>74.632269674189899</v>
      </c>
      <c r="Z35">
        <v>77.521820433424679</v>
      </c>
      <c r="AA35">
        <v>80.91306236228472</v>
      </c>
      <c r="AB35">
        <v>83.825739627560736</v>
      </c>
      <c r="AC35">
        <v>87.252257756904157</v>
      </c>
      <c r="AD35">
        <v>90.444512862485169</v>
      </c>
      <c r="AE35">
        <v>93.658430429966032</v>
      </c>
      <c r="AF35">
        <v>96.803569889281349</v>
      </c>
      <c r="AG35">
        <v>99.665356651583295</v>
      </c>
      <c r="AH35">
        <v>102.47247882289936</v>
      </c>
      <c r="AI35">
        <v>105.00865075338488</v>
      </c>
      <c r="AJ35">
        <v>107.45693712669689</v>
      </c>
      <c r="AK35">
        <v>109.774136125414</v>
      </c>
      <c r="AL35">
        <v>111.99315320637331</v>
      </c>
      <c r="AM35">
        <v>114.17616157555916</v>
      </c>
      <c r="AN35">
        <v>116.28225390811238</v>
      </c>
      <c r="AO35">
        <v>118.3696009119239</v>
      </c>
      <c r="AP35">
        <v>120.40063373293711</v>
      </c>
      <c r="AQ35">
        <v>122.38331624444007</v>
      </c>
      <c r="AR35">
        <v>124.30474191174845</v>
      </c>
      <c r="AS35">
        <v>126.14412564702796</v>
      </c>
      <c r="AT35">
        <v>127.90680014233681</v>
      </c>
      <c r="AU35">
        <v>129.57974850542766</v>
      </c>
      <c r="AV35">
        <v>131.17618494803565</v>
      </c>
      <c r="AW35">
        <v>132.70208992522214</v>
      </c>
      <c r="AX35">
        <v>134.16896544131959</v>
      </c>
      <c r="AY35">
        <v>135.58904825614417</v>
      </c>
    </row>
    <row r="36" spans="1:51" x14ac:dyDescent="0.2">
      <c r="A36" t="s">
        <v>35</v>
      </c>
      <c r="B36" t="s">
        <v>4</v>
      </c>
      <c r="C36">
        <v>1187.1557665310625</v>
      </c>
      <c r="D36">
        <v>173.37564319491634</v>
      </c>
      <c r="E36">
        <v>1104.8910942051493</v>
      </c>
      <c r="F36">
        <v>679.08286477029753</v>
      </c>
      <c r="G36">
        <v>644.48231533761611</v>
      </c>
      <c r="H36">
        <v>1224.7215263964767</v>
      </c>
      <c r="I36">
        <v>944.76304500791412</v>
      </c>
      <c r="J36">
        <v>1387.0110533297088</v>
      </c>
      <c r="K36">
        <v>1225.2954496313021</v>
      </c>
      <c r="L36">
        <v>1374.4514690550252</v>
      </c>
      <c r="M36">
        <v>1456.4569256000229</v>
      </c>
      <c r="N36">
        <v>1397.068024028028</v>
      </c>
      <c r="O36">
        <v>1520.6907597579514</v>
      </c>
      <c r="P36">
        <v>1473.2182380076968</v>
      </c>
      <c r="Q36">
        <v>1576.4618792067217</v>
      </c>
      <c r="R36">
        <v>1625.4587374965963</v>
      </c>
      <c r="S36">
        <v>1693.6018500637847</v>
      </c>
      <c r="T36">
        <v>1791.6842220851008</v>
      </c>
      <c r="U36">
        <v>1843.0851189964492</v>
      </c>
      <c r="V36">
        <v>1927.5723416091364</v>
      </c>
      <c r="W36">
        <v>1970.2575930790683</v>
      </c>
      <c r="X36">
        <v>2017.7238501233076</v>
      </c>
      <c r="Y36">
        <v>2055.862576408831</v>
      </c>
      <c r="Z36">
        <v>2084.6384513273729</v>
      </c>
      <c r="AA36">
        <v>2123.6052212104846</v>
      </c>
      <c r="AB36">
        <v>2155.2566542642376</v>
      </c>
      <c r="AC36">
        <v>2196.7008323526129</v>
      </c>
      <c r="AD36">
        <v>2237.1210978242075</v>
      </c>
      <c r="AE36">
        <v>2279.1464822325215</v>
      </c>
      <c r="AF36">
        <v>2322.1962523380066</v>
      </c>
      <c r="AG36">
        <v>2361.093753735292</v>
      </c>
      <c r="AH36">
        <v>2399.3288685773837</v>
      </c>
      <c r="AI36">
        <v>2432.7413396011411</v>
      </c>
      <c r="AJ36">
        <v>2463.7922180529577</v>
      </c>
      <c r="AK36">
        <v>2492.1712964722901</v>
      </c>
      <c r="AL36">
        <v>2518.4530854276695</v>
      </c>
      <c r="AM36">
        <v>2544.3583398717983</v>
      </c>
      <c r="AN36">
        <v>2569.5459498267883</v>
      </c>
      <c r="AO36">
        <v>2595.2370939536604</v>
      </c>
      <c r="AP36">
        <v>2620.9257402364178</v>
      </c>
      <c r="AQ36">
        <v>2646.5433610919454</v>
      </c>
      <c r="AR36">
        <v>2671.7282494213073</v>
      </c>
      <c r="AS36">
        <v>2695.8483736084618</v>
      </c>
      <c r="AT36">
        <v>2718.8189868652398</v>
      </c>
      <c r="AU36">
        <v>2740.3111567734622</v>
      </c>
      <c r="AV36">
        <v>2760.4983314092897</v>
      </c>
      <c r="AW36">
        <v>2779.5332210895135</v>
      </c>
      <c r="AX36">
        <v>2797.6651378692804</v>
      </c>
      <c r="AY36">
        <v>2815.1965529868885</v>
      </c>
    </row>
    <row r="37" spans="1:51" x14ac:dyDescent="0.2">
      <c r="A37" t="s">
        <v>36</v>
      </c>
      <c r="B37" t="s">
        <v>4</v>
      </c>
      <c r="C37">
        <v>0.33466678264690708</v>
      </c>
      <c r="D37">
        <v>-6.7963464773047306</v>
      </c>
      <c r="E37">
        <v>10.011465698893208</v>
      </c>
      <c r="F37">
        <v>5.792080381806886</v>
      </c>
      <c r="G37">
        <v>10.628062793599756</v>
      </c>
      <c r="H37">
        <v>12.806194176024427</v>
      </c>
      <c r="I37">
        <v>14.748707744615345</v>
      </c>
      <c r="J37">
        <v>19.953988041964369</v>
      </c>
      <c r="K37">
        <v>18.584330840167741</v>
      </c>
      <c r="L37">
        <v>21.025991003693676</v>
      </c>
      <c r="M37">
        <v>21.125421802051122</v>
      </c>
      <c r="N37">
        <v>22.018975326120987</v>
      </c>
      <c r="O37">
        <v>23.148580569805691</v>
      </c>
      <c r="P37">
        <v>23.326968134596967</v>
      </c>
      <c r="Q37">
        <v>24.973541964018242</v>
      </c>
      <c r="R37">
        <v>26.026015893255948</v>
      </c>
      <c r="S37">
        <v>27.865378806426058</v>
      </c>
      <c r="T37">
        <v>29.569252613131866</v>
      </c>
      <c r="U37">
        <v>31.083343998938833</v>
      </c>
      <c r="V37">
        <v>32.626395303716407</v>
      </c>
      <c r="W37">
        <v>33.643931835310951</v>
      </c>
      <c r="X37">
        <v>34.63320910710992</v>
      </c>
      <c r="Y37">
        <v>35.331965973520539</v>
      </c>
      <c r="Z37">
        <v>36.01337256660068</v>
      </c>
      <c r="AA37">
        <v>36.744419162833289</v>
      </c>
      <c r="AB37">
        <v>37.494624243402733</v>
      </c>
      <c r="AC37">
        <v>38.383644203817383</v>
      </c>
      <c r="AD37">
        <v>39.278016449186246</v>
      </c>
      <c r="AE37">
        <v>40.217539417123078</v>
      </c>
      <c r="AF37">
        <v>41.12575661434402</v>
      </c>
      <c r="AG37">
        <v>41.976707388219204</v>
      </c>
      <c r="AH37">
        <v>42.771240101400636</v>
      </c>
      <c r="AI37">
        <v>43.479403017985668</v>
      </c>
      <c r="AJ37">
        <v>44.13336350693681</v>
      </c>
      <c r="AK37">
        <v>44.729867879226404</v>
      </c>
      <c r="AL37">
        <v>45.295115915966235</v>
      </c>
      <c r="AM37">
        <v>45.845530579708921</v>
      </c>
      <c r="AN37">
        <v>46.390317110987134</v>
      </c>
      <c r="AO37">
        <v>46.942446802631771</v>
      </c>
      <c r="AP37">
        <v>47.495938257851293</v>
      </c>
      <c r="AQ37">
        <v>48.048465606752018</v>
      </c>
      <c r="AR37">
        <v>48.588462208307398</v>
      </c>
      <c r="AS37">
        <v>49.106380332007014</v>
      </c>
      <c r="AT37">
        <v>49.596232232255886</v>
      </c>
      <c r="AU37">
        <v>50.05403642597345</v>
      </c>
      <c r="AV37">
        <v>50.482922438008281</v>
      </c>
      <c r="AW37">
        <v>50.887030008172921</v>
      </c>
      <c r="AX37">
        <v>51.273169928204929</v>
      </c>
      <c r="AY37">
        <v>51.647180006302939</v>
      </c>
    </row>
    <row r="38" spans="1:51" x14ac:dyDescent="0.2">
      <c r="A38" t="s">
        <v>37</v>
      </c>
      <c r="B38" t="s">
        <v>4</v>
      </c>
      <c r="C38">
        <v>-31.622172104295753</v>
      </c>
      <c r="D38">
        <v>-155.35393311043947</v>
      </c>
      <c r="E38">
        <v>-121.93636091775558</v>
      </c>
      <c r="F38">
        <v>-34.30063068052624</v>
      </c>
      <c r="G38">
        <v>57.852322356158375</v>
      </c>
      <c r="H38">
        <v>34.80656413928849</v>
      </c>
      <c r="I38">
        <v>35.895789726003237</v>
      </c>
      <c r="J38">
        <v>34.443341530546718</v>
      </c>
      <c r="K38">
        <v>27.866403682953234</v>
      </c>
      <c r="L38">
        <v>20.123044087398952</v>
      </c>
      <c r="M38">
        <v>-6.9518176094148107E-2</v>
      </c>
      <c r="N38">
        <v>-0.39064491354671738</v>
      </c>
      <c r="O38">
        <v>-1.1394345223615518</v>
      </c>
      <c r="P38">
        <v>4.1745651897177387</v>
      </c>
      <c r="Q38">
        <v>10.642142219069241</v>
      </c>
      <c r="R38">
        <v>16.046085412563521</v>
      </c>
      <c r="S38">
        <v>25.189149482854912</v>
      </c>
      <c r="T38">
        <v>31.196381606784612</v>
      </c>
      <c r="U38">
        <v>36.921659049134149</v>
      </c>
      <c r="V38">
        <v>39.371223927806746</v>
      </c>
      <c r="W38">
        <v>39.567006540183982</v>
      </c>
      <c r="X38">
        <v>38.863656884903016</v>
      </c>
      <c r="Y38">
        <v>37.036343441714443</v>
      </c>
      <c r="Z38">
        <v>36.282452821315019</v>
      </c>
      <c r="AA38">
        <v>36.335765127093346</v>
      </c>
      <c r="AB38">
        <v>37.986334586205558</v>
      </c>
      <c r="AC38">
        <v>40.811508790392537</v>
      </c>
      <c r="AD38">
        <v>44.091298390903681</v>
      </c>
      <c r="AE38">
        <v>47.469310190194918</v>
      </c>
      <c r="AF38">
        <v>50.193747487839964</v>
      </c>
      <c r="AG38">
        <v>52.263254342819678</v>
      </c>
      <c r="AH38">
        <v>53.562779288617179</v>
      </c>
      <c r="AI38">
        <v>54.30294562148719</v>
      </c>
      <c r="AJ38">
        <v>54.771889034476587</v>
      </c>
      <c r="AK38">
        <v>55.159381688421092</v>
      </c>
      <c r="AL38">
        <v>55.720406147631572</v>
      </c>
      <c r="AM38">
        <v>56.507731469628112</v>
      </c>
      <c r="AN38">
        <v>57.567917538122259</v>
      </c>
      <c r="AO38">
        <v>58.84351239170649</v>
      </c>
      <c r="AP38">
        <v>60.23129931340398</v>
      </c>
      <c r="AQ38">
        <v>61.630902935741119</v>
      </c>
      <c r="AR38">
        <v>62.921600394808074</v>
      </c>
      <c r="AS38">
        <v>64.041469035255858</v>
      </c>
      <c r="AT38">
        <v>64.956981341446848</v>
      </c>
      <c r="AU38">
        <v>65.689526265977079</v>
      </c>
      <c r="AV38">
        <v>66.296105603647973</v>
      </c>
      <c r="AW38">
        <v>66.844602426228604</v>
      </c>
      <c r="AX38">
        <v>67.404255016197993</v>
      </c>
      <c r="AY38">
        <v>68.016406793742505</v>
      </c>
    </row>
    <row r="39" spans="1:51" x14ac:dyDescent="0.2">
      <c r="A39" t="s">
        <v>38</v>
      </c>
      <c r="B39" t="s">
        <v>4</v>
      </c>
      <c r="C39">
        <v>19.84618404577698</v>
      </c>
      <c r="D39">
        <v>-4.1691785111262707</v>
      </c>
      <c r="E39">
        <v>19.272922954898768</v>
      </c>
      <c r="F39">
        <v>5.654576788536275</v>
      </c>
      <c r="G39">
        <v>11.739490400075855</v>
      </c>
      <c r="H39">
        <v>15.947139285249841</v>
      </c>
      <c r="I39">
        <v>15.255796536067329</v>
      </c>
      <c r="J39">
        <v>21.979551580765929</v>
      </c>
      <c r="K39">
        <v>17.901004904697555</v>
      </c>
      <c r="L39">
        <v>21.485997832608913</v>
      </c>
      <c r="M39">
        <v>20.835400730035666</v>
      </c>
      <c r="N39">
        <v>21.111088108372613</v>
      </c>
      <c r="O39">
        <v>22.549955493357615</v>
      </c>
      <c r="P39">
        <v>22.155148467081471</v>
      </c>
      <c r="Q39">
        <v>24.444497059913232</v>
      </c>
      <c r="R39">
        <v>25.330984463063789</v>
      </c>
      <c r="S39">
        <v>27.291733011343076</v>
      </c>
      <c r="T39">
        <v>28.956427100227408</v>
      </c>
      <c r="U39">
        <v>30.17007186550715</v>
      </c>
      <c r="V39">
        <v>31.614102748165408</v>
      </c>
      <c r="W39">
        <v>32.262896745663312</v>
      </c>
      <c r="X39">
        <v>33.085273028672255</v>
      </c>
      <c r="Y39">
        <v>33.582861822044357</v>
      </c>
      <c r="Z39">
        <v>34.130087599766881</v>
      </c>
      <c r="AA39">
        <v>34.809415236666808</v>
      </c>
      <c r="AB39">
        <v>35.472300560529426</v>
      </c>
      <c r="AC39">
        <v>36.339860878640167</v>
      </c>
      <c r="AD39">
        <v>37.169400058964911</v>
      </c>
      <c r="AE39">
        <v>38.052163072204678</v>
      </c>
      <c r="AF39">
        <v>38.885599882185531</v>
      </c>
      <c r="AG39">
        <v>39.636853355548432</v>
      </c>
      <c r="AH39">
        <v>40.333928946661615</v>
      </c>
      <c r="AI39">
        <v>40.926688783163272</v>
      </c>
      <c r="AJ39">
        <v>41.476924530355113</v>
      </c>
      <c r="AK39">
        <v>41.974581228818884</v>
      </c>
      <c r="AL39">
        <v>42.455096763565585</v>
      </c>
      <c r="AM39">
        <v>42.93756025974254</v>
      </c>
      <c r="AN39">
        <v>43.423358231576699</v>
      </c>
      <c r="AO39">
        <v>43.926791566471124</v>
      </c>
      <c r="AP39">
        <v>44.431509300619936</v>
      </c>
      <c r="AQ39">
        <v>44.933999609240033</v>
      </c>
      <c r="AR39">
        <v>45.419430839259746</v>
      </c>
      <c r="AS39">
        <v>45.877892297484863</v>
      </c>
      <c r="AT39">
        <v>46.306401985519543</v>
      </c>
      <c r="AU39">
        <v>46.702184402639716</v>
      </c>
      <c r="AV39">
        <v>47.072025247072233</v>
      </c>
      <c r="AW39">
        <v>47.421126619555722</v>
      </c>
      <c r="AX39">
        <v>47.757263776211424</v>
      </c>
      <c r="AY39">
        <v>48.086135631080744</v>
      </c>
    </row>
    <row r="40" spans="1:51" x14ac:dyDescent="0.2">
      <c r="A40" t="s">
        <v>39</v>
      </c>
      <c r="B40" t="s">
        <v>4</v>
      </c>
      <c r="C40">
        <v>3.4319205874454992</v>
      </c>
      <c r="D40">
        <v>-36.607918246332808</v>
      </c>
      <c r="E40">
        <v>37.512815123357974</v>
      </c>
      <c r="F40">
        <v>49.816301330942949</v>
      </c>
      <c r="G40">
        <v>33.678775980160886</v>
      </c>
      <c r="H40">
        <v>59.685220535144801</v>
      </c>
      <c r="I40">
        <v>58.388706539602289</v>
      </c>
      <c r="J40">
        <v>81.438197081466612</v>
      </c>
      <c r="K40">
        <v>80.204675680257949</v>
      </c>
      <c r="L40">
        <v>84.067264950001658</v>
      </c>
      <c r="M40">
        <v>92.455161799196205</v>
      </c>
      <c r="N40">
        <v>93.306198548661499</v>
      </c>
      <c r="O40">
        <v>101.40756916368183</v>
      </c>
      <c r="P40">
        <v>102.43743777255972</v>
      </c>
      <c r="Q40">
        <v>108.08939099592847</v>
      </c>
      <c r="R40">
        <v>113.49659592726131</v>
      </c>
      <c r="S40">
        <v>118.86634540353877</v>
      </c>
      <c r="T40">
        <v>126.09717151040886</v>
      </c>
      <c r="U40">
        <v>131.15017687508828</v>
      </c>
      <c r="V40">
        <v>137.16937735612663</v>
      </c>
      <c r="W40">
        <v>141.56226574349932</v>
      </c>
      <c r="X40">
        <v>145.49218717898356</v>
      </c>
      <c r="Y40">
        <v>149.03860159750488</v>
      </c>
      <c r="Z40">
        <v>151.93475898146821</v>
      </c>
      <c r="AA40">
        <v>155.27273578797465</v>
      </c>
      <c r="AB40">
        <v>158.40673780223383</v>
      </c>
      <c r="AC40">
        <v>161.90151119008848</v>
      </c>
      <c r="AD40">
        <v>165.43718591227065</v>
      </c>
      <c r="AE40">
        <v>168.94598888694821</v>
      </c>
      <c r="AF40">
        <v>172.46460059675152</v>
      </c>
      <c r="AG40">
        <v>175.72461702758318</v>
      </c>
      <c r="AH40">
        <v>178.8574611482826</v>
      </c>
      <c r="AI40">
        <v>181.72469156095963</v>
      </c>
      <c r="AJ40">
        <v>184.39798903805229</v>
      </c>
      <c r="AK40">
        <v>186.9046187105202</v>
      </c>
      <c r="AL40">
        <v>189.25723508760117</v>
      </c>
      <c r="AM40">
        <v>191.54616212356493</v>
      </c>
      <c r="AN40">
        <v>193.77100061800468</v>
      </c>
      <c r="AO40">
        <v>195.98517900518468</v>
      </c>
      <c r="AP40">
        <v>198.18123383321927</v>
      </c>
      <c r="AQ40">
        <v>200.34783708601299</v>
      </c>
      <c r="AR40">
        <v>202.46854055423969</v>
      </c>
      <c r="AS40">
        <v>204.50735469380837</v>
      </c>
      <c r="AT40">
        <v>206.4535642793025</v>
      </c>
      <c r="AU40">
        <v>208.29203695758315</v>
      </c>
      <c r="AV40">
        <v>210.02926095133822</v>
      </c>
      <c r="AW40">
        <v>211.67803528092838</v>
      </c>
      <c r="AX40">
        <v>213.25411609062917</v>
      </c>
      <c r="AY40">
        <v>214.77654947460698</v>
      </c>
    </row>
    <row r="41" spans="1:51" x14ac:dyDescent="0.2">
      <c r="A41" t="s">
        <v>40</v>
      </c>
      <c r="B41" t="s">
        <v>4</v>
      </c>
      <c r="C41">
        <v>-10.662273316920722</v>
      </c>
      <c r="D41">
        <v>-111.32655993218613</v>
      </c>
      <c r="E41">
        <v>-31.010311902959213</v>
      </c>
      <c r="F41">
        <v>-0.96561825792080636</v>
      </c>
      <c r="G41">
        <v>71.450633307901839</v>
      </c>
      <c r="H41">
        <v>59.779865308297822</v>
      </c>
      <c r="I41">
        <v>71.078864142820322</v>
      </c>
      <c r="J41">
        <v>94.899884732235279</v>
      </c>
      <c r="K41">
        <v>89.379831328354115</v>
      </c>
      <c r="L41">
        <v>95.627942743721093</v>
      </c>
      <c r="M41">
        <v>82.66324722875774</v>
      </c>
      <c r="N41">
        <v>85.876542367324703</v>
      </c>
      <c r="O41">
        <v>87.795423396477275</v>
      </c>
      <c r="P41">
        <v>88.987350509712485</v>
      </c>
      <c r="Q41">
        <v>95.62141591084027</v>
      </c>
      <c r="R41">
        <v>98.880553983853588</v>
      </c>
      <c r="S41">
        <v>107.78097706664792</v>
      </c>
      <c r="T41">
        <v>114.12022767743116</v>
      </c>
      <c r="U41">
        <v>120.19224396840779</v>
      </c>
      <c r="V41">
        <v>124.88716716651834</v>
      </c>
      <c r="W41">
        <v>126.87536651302045</v>
      </c>
      <c r="X41">
        <v>128.75644595488566</v>
      </c>
      <c r="Y41">
        <v>128.98936069766623</v>
      </c>
      <c r="Z41">
        <v>129.83668353786979</v>
      </c>
      <c r="AA41">
        <v>131.09094582077492</v>
      </c>
      <c r="AB41">
        <v>133.13193828855393</v>
      </c>
      <c r="AC41">
        <v>136.18038665663428</v>
      </c>
      <c r="AD41">
        <v>139.40113186165073</v>
      </c>
      <c r="AE41">
        <v>142.90315170419993</v>
      </c>
      <c r="AF41">
        <v>146.02083971044848</v>
      </c>
      <c r="AG41">
        <v>148.74528731937795</v>
      </c>
      <c r="AH41">
        <v>150.99848361178377</v>
      </c>
      <c r="AI41">
        <v>152.76470523678586</v>
      </c>
      <c r="AJ41">
        <v>154.28802234698506</v>
      </c>
      <c r="AK41">
        <v>155.60564752428689</v>
      </c>
      <c r="AL41">
        <v>156.93151880410358</v>
      </c>
      <c r="AM41">
        <v>158.32216402406348</v>
      </c>
      <c r="AN41">
        <v>159.83246384212882</v>
      </c>
      <c r="AO41">
        <v>161.4809555193826</v>
      </c>
      <c r="AP41">
        <v>163.20013796869242</v>
      </c>
      <c r="AQ41">
        <v>164.94742866502733</v>
      </c>
      <c r="AR41">
        <v>166.62930280951954</v>
      </c>
      <c r="AS41">
        <v>168.19255277859395</v>
      </c>
      <c r="AT41">
        <v>169.6017400863123</v>
      </c>
      <c r="AU41">
        <v>170.85179063021903</v>
      </c>
      <c r="AV41">
        <v>171.97664332319158</v>
      </c>
      <c r="AW41">
        <v>173.01521614543202</v>
      </c>
      <c r="AX41">
        <v>174.01855363793817</v>
      </c>
      <c r="AY41">
        <v>175.02096607613535</v>
      </c>
    </row>
    <row r="42" spans="1:51" x14ac:dyDescent="0.2">
      <c r="A42" t="s">
        <v>41</v>
      </c>
      <c r="B42" t="s">
        <v>4</v>
      </c>
      <c r="C42">
        <v>7.9010797670499295</v>
      </c>
      <c r="D42">
        <v>-12.125676470050651</v>
      </c>
      <c r="E42">
        <v>1.3839121245468466</v>
      </c>
      <c r="F42">
        <v>-1.2118241925912812</v>
      </c>
      <c r="G42">
        <v>2.9988429497858262</v>
      </c>
      <c r="H42">
        <v>11.723736619832172</v>
      </c>
      <c r="I42">
        <v>8.5460400122647489</v>
      </c>
      <c r="J42">
        <v>16.022739736935865</v>
      </c>
      <c r="K42">
        <v>14.852493399202327</v>
      </c>
      <c r="L42">
        <v>17.798285362396985</v>
      </c>
      <c r="M42">
        <v>18.914289306354405</v>
      </c>
      <c r="N42">
        <v>18.530957124069136</v>
      </c>
      <c r="O42">
        <v>20.689524809436939</v>
      </c>
      <c r="P42">
        <v>20.474236252562537</v>
      </c>
      <c r="Q42">
        <v>22.278245800669968</v>
      </c>
      <c r="R42">
        <v>23.172990573989633</v>
      </c>
      <c r="S42">
        <v>24.48728067321851</v>
      </c>
      <c r="T42">
        <v>26.188550983109725</v>
      </c>
      <c r="U42">
        <v>27.292859942968054</v>
      </c>
      <c r="V42">
        <v>28.834451336964619</v>
      </c>
      <c r="W42">
        <v>29.76261205879959</v>
      </c>
      <c r="X42">
        <v>30.75687676313332</v>
      </c>
      <c r="Y42">
        <v>31.56140665379645</v>
      </c>
      <c r="Z42">
        <v>32.217329986896033</v>
      </c>
      <c r="AA42">
        <v>32.981817899844501</v>
      </c>
      <c r="AB42">
        <v>33.639714653493002</v>
      </c>
      <c r="AC42">
        <v>34.440501062571819</v>
      </c>
      <c r="AD42">
        <v>35.226693374880966</v>
      </c>
      <c r="AE42">
        <v>36.043166571892797</v>
      </c>
      <c r="AF42">
        <v>36.867895884900427</v>
      </c>
      <c r="AG42">
        <v>37.63095980608464</v>
      </c>
      <c r="AH42">
        <v>38.37497044540779</v>
      </c>
      <c r="AI42">
        <v>39.039941951262342</v>
      </c>
      <c r="AJ42">
        <v>39.662018459192318</v>
      </c>
      <c r="AK42">
        <v>40.235201879040929</v>
      </c>
      <c r="AL42">
        <v>40.770887146911654</v>
      </c>
      <c r="AM42">
        <v>41.292846238623696</v>
      </c>
      <c r="AN42">
        <v>41.798290767019857</v>
      </c>
      <c r="AO42">
        <v>42.305759378068693</v>
      </c>
      <c r="AP42">
        <v>42.809036284366151</v>
      </c>
      <c r="AQ42">
        <v>43.308553802129296</v>
      </c>
      <c r="AR42">
        <v>43.798895245685081</v>
      </c>
      <c r="AS42">
        <v>44.271078920162317</v>
      </c>
      <c r="AT42">
        <v>44.722912646143484</v>
      </c>
      <c r="AU42">
        <v>45.148904432753099</v>
      </c>
      <c r="AV42">
        <v>45.551001282409189</v>
      </c>
      <c r="AW42">
        <v>45.931120502784445</v>
      </c>
      <c r="AX42">
        <v>46.293259193168318</v>
      </c>
      <c r="AY42">
        <v>46.642277934635587</v>
      </c>
    </row>
    <row r="43" spans="1:51" x14ac:dyDescent="0.2">
      <c r="A43" t="s">
        <v>42</v>
      </c>
      <c r="B43" t="s">
        <v>4</v>
      </c>
      <c r="C43">
        <v>16.672770687085951</v>
      </c>
      <c r="D43">
        <v>11.469530309856387</v>
      </c>
      <c r="E43">
        <v>18.97161471320991</v>
      </c>
      <c r="F43">
        <v>10.768480232377888</v>
      </c>
      <c r="G43">
        <v>13.076559486282173</v>
      </c>
      <c r="H43">
        <v>15.876983140222103</v>
      </c>
      <c r="I43">
        <v>15.384518997345548</v>
      </c>
      <c r="J43">
        <v>17.903662471128886</v>
      </c>
      <c r="K43">
        <v>15.961366624532292</v>
      </c>
      <c r="L43">
        <v>17.377619581508259</v>
      </c>
      <c r="M43">
        <v>16.94779686997353</v>
      </c>
      <c r="N43">
        <v>16.49690120155454</v>
      </c>
      <c r="O43">
        <v>16.542134773068437</v>
      </c>
      <c r="P43">
        <v>15.814835049140463</v>
      </c>
      <c r="Q43">
        <v>16.363315440837187</v>
      </c>
      <c r="R43">
        <v>16.444845035866042</v>
      </c>
      <c r="S43">
        <v>17.067468022749566</v>
      </c>
      <c r="T43">
        <v>17.701456200808295</v>
      </c>
      <c r="U43">
        <v>18.184198161344344</v>
      </c>
      <c r="V43">
        <v>18.783670013438588</v>
      </c>
      <c r="W43">
        <v>18.999670835956564</v>
      </c>
      <c r="X43">
        <v>19.225653637310444</v>
      </c>
      <c r="Y43">
        <v>19.266600527034285</v>
      </c>
      <c r="Z43">
        <v>19.286454086163801</v>
      </c>
      <c r="AA43">
        <v>19.355617921702592</v>
      </c>
      <c r="AB43">
        <v>19.42398553179504</v>
      </c>
      <c r="AC43">
        <v>19.605923167734208</v>
      </c>
      <c r="AD43">
        <v>19.806374575221977</v>
      </c>
      <c r="AE43">
        <v>20.060690785675629</v>
      </c>
      <c r="AF43">
        <v>20.320983567151067</v>
      </c>
      <c r="AG43">
        <v>20.5598560494421</v>
      </c>
      <c r="AH43">
        <v>20.78051572296355</v>
      </c>
      <c r="AI43">
        <v>20.952098065871962</v>
      </c>
      <c r="AJ43">
        <v>21.095551777197333</v>
      </c>
      <c r="AK43">
        <v>21.205990694824504</v>
      </c>
      <c r="AL43">
        <v>21.300360002565125</v>
      </c>
      <c r="AM43">
        <v>21.392583021027487</v>
      </c>
      <c r="AN43">
        <v>21.488731401106421</v>
      </c>
      <c r="AO43">
        <v>21.600108559429888</v>
      </c>
      <c r="AP43">
        <v>21.722754875135273</v>
      </c>
      <c r="AQ43">
        <v>21.85553639814793</v>
      </c>
      <c r="AR43">
        <v>21.990601916701319</v>
      </c>
      <c r="AS43">
        <v>22.120498358685932</v>
      </c>
      <c r="AT43">
        <v>22.240649222871028</v>
      </c>
      <c r="AU43">
        <v>22.347037375383682</v>
      </c>
      <c r="AV43">
        <v>22.440938020688492</v>
      </c>
      <c r="AW43">
        <v>22.524309496558292</v>
      </c>
      <c r="AX43">
        <v>22.601221973945457</v>
      </c>
      <c r="AY43">
        <v>22.675564687017239</v>
      </c>
    </row>
    <row r="44" spans="1:51" x14ac:dyDescent="0.2">
      <c r="A44" t="s">
        <v>43</v>
      </c>
      <c r="B44" t="s">
        <v>4</v>
      </c>
      <c r="C44">
        <v>244.36569232429935</v>
      </c>
      <c r="D44">
        <v>-32.851277194936898</v>
      </c>
      <c r="E44">
        <v>273.17002520213327</v>
      </c>
      <c r="F44">
        <v>169.61765923258574</v>
      </c>
      <c r="G44">
        <v>212.89303603889999</v>
      </c>
      <c r="H44">
        <v>334.60821362466049</v>
      </c>
      <c r="I44">
        <v>269.06664940432046</v>
      </c>
      <c r="J44">
        <v>356.9744934831495</v>
      </c>
      <c r="K44">
        <v>284.42046807655311</v>
      </c>
      <c r="L44">
        <v>300.64572354517458</v>
      </c>
      <c r="M44">
        <v>288.80107204751971</v>
      </c>
      <c r="N44">
        <v>261.51617397100978</v>
      </c>
      <c r="O44">
        <v>277.88422202243714</v>
      </c>
      <c r="P44">
        <v>261.521778710945</v>
      </c>
      <c r="Q44">
        <v>288.92291487133571</v>
      </c>
      <c r="R44">
        <v>303.93574266757167</v>
      </c>
      <c r="S44">
        <v>328.36655989886805</v>
      </c>
      <c r="T44">
        <v>355.31372608812211</v>
      </c>
      <c r="U44">
        <v>368.67857373547599</v>
      </c>
      <c r="V44">
        <v>385.09239958992202</v>
      </c>
      <c r="W44">
        <v>387.44930102695099</v>
      </c>
      <c r="X44">
        <v>389.92013960076724</v>
      </c>
      <c r="Y44">
        <v>389.51800407825232</v>
      </c>
      <c r="Z44">
        <v>389.32373786378122</v>
      </c>
      <c r="AA44">
        <v>393.83862757214683</v>
      </c>
      <c r="AB44">
        <v>399.20505962040983</v>
      </c>
      <c r="AC44">
        <v>408.79253309063182</v>
      </c>
      <c r="AD44">
        <v>418.72164567341133</v>
      </c>
      <c r="AE44">
        <v>429.07850379699863</v>
      </c>
      <c r="AF44">
        <v>438.76941473668222</v>
      </c>
      <c r="AG44">
        <v>446.51968980817497</v>
      </c>
      <c r="AH44">
        <v>453.13236860602706</v>
      </c>
      <c r="AI44">
        <v>457.88857119652175</v>
      </c>
      <c r="AJ44">
        <v>461.82780015354371</v>
      </c>
      <c r="AK44">
        <v>465.17256177804308</v>
      </c>
      <c r="AL44">
        <v>468.44095786292922</v>
      </c>
      <c r="AM44">
        <v>472.17356416629906</v>
      </c>
      <c r="AN44">
        <v>476.34556420602951</v>
      </c>
      <c r="AO44">
        <v>481.154646587451</v>
      </c>
      <c r="AP44">
        <v>486.2759219202689</v>
      </c>
      <c r="AQ44">
        <v>491.48956860034565</v>
      </c>
      <c r="AR44">
        <v>496.49446165207985</v>
      </c>
      <c r="AS44">
        <v>501.02617812507049</v>
      </c>
      <c r="AT44">
        <v>505.02884858056495</v>
      </c>
      <c r="AU44">
        <v>508.47839711575574</v>
      </c>
      <c r="AV44">
        <v>511.53038749877913</v>
      </c>
      <c r="AW44">
        <v>514.34220030376457</v>
      </c>
      <c r="AX44">
        <v>517.08061014233772</v>
      </c>
      <c r="AY44">
        <v>519.87299626908623</v>
      </c>
    </row>
    <row r="45" spans="1:51" x14ac:dyDescent="0.2">
      <c r="A45" t="s">
        <v>44</v>
      </c>
      <c r="B45" t="s">
        <v>4</v>
      </c>
      <c r="C45">
        <v>8.4240721462539412</v>
      </c>
      <c r="D45">
        <v>-33.169544722207561</v>
      </c>
      <c r="E45">
        <v>2.6480869000627734</v>
      </c>
      <c r="F45">
        <v>-14.035696581007782</v>
      </c>
      <c r="G45">
        <v>6.1145012044900682</v>
      </c>
      <c r="H45">
        <v>6.0093905876863687</v>
      </c>
      <c r="I45">
        <v>2.9867251119775018</v>
      </c>
      <c r="J45">
        <v>19.297023547078471</v>
      </c>
      <c r="K45">
        <v>15.686361116185662</v>
      </c>
      <c r="L45">
        <v>25.897315631792164</v>
      </c>
      <c r="M45">
        <v>24.887092189449238</v>
      </c>
      <c r="N45">
        <v>28.020162233461416</v>
      </c>
      <c r="O45">
        <v>32.06594654712702</v>
      </c>
      <c r="P45">
        <v>31.866504799351617</v>
      </c>
      <c r="Q45">
        <v>35.625806611304178</v>
      </c>
      <c r="R45">
        <v>35.805405652281131</v>
      </c>
      <c r="S45">
        <v>38.566144346622814</v>
      </c>
      <c r="T45">
        <v>40.65694013568487</v>
      </c>
      <c r="U45">
        <v>42.566473386300686</v>
      </c>
      <c r="V45">
        <v>45.30017081506012</v>
      </c>
      <c r="W45">
        <v>46.939347410009532</v>
      </c>
      <c r="X45">
        <v>49.227176347351133</v>
      </c>
      <c r="Y45">
        <v>50.750421251466662</v>
      </c>
      <c r="Z45">
        <v>52.234307552481596</v>
      </c>
      <c r="AA45">
        <v>53.615293900926687</v>
      </c>
      <c r="AB45">
        <v>54.722135011176071</v>
      </c>
      <c r="AC45">
        <v>56.040352416817875</v>
      </c>
      <c r="AD45">
        <v>57.186087150446113</v>
      </c>
      <c r="AE45">
        <v>58.477853014903445</v>
      </c>
      <c r="AF45">
        <v>59.746650842779005</v>
      </c>
      <c r="AG45">
        <v>60.998475861293684</v>
      </c>
      <c r="AH45">
        <v>62.26481364673576</v>
      </c>
      <c r="AI45">
        <v>63.424737450459908</v>
      </c>
      <c r="AJ45">
        <v>64.558970232338041</v>
      </c>
      <c r="AK45">
        <v>65.592555794323204</v>
      </c>
      <c r="AL45">
        <v>66.565135383975289</v>
      </c>
      <c r="AM45">
        <v>67.481015993965102</v>
      </c>
      <c r="AN45">
        <v>68.34096490291806</v>
      </c>
      <c r="AO45">
        <v>69.182451224295221</v>
      </c>
      <c r="AP45">
        <v>69.995911080898495</v>
      </c>
      <c r="AQ45">
        <v>70.804171128645535</v>
      </c>
      <c r="AR45">
        <v>71.600102719018452</v>
      </c>
      <c r="AS45">
        <v>72.380978815639239</v>
      </c>
      <c r="AT45">
        <v>73.143122714921859</v>
      </c>
      <c r="AU45">
        <v>73.874244942439304</v>
      </c>
      <c r="AV45">
        <v>74.574119512559406</v>
      </c>
      <c r="AW45">
        <v>75.237185759340775</v>
      </c>
      <c r="AX45">
        <v>75.86667527888423</v>
      </c>
      <c r="AY45">
        <v>76.466239855110004</v>
      </c>
    </row>
    <row r="46" spans="1:51" x14ac:dyDescent="0.2">
      <c r="A46" t="s">
        <v>45</v>
      </c>
      <c r="B46" t="s">
        <v>4</v>
      </c>
      <c r="C46">
        <v>-1.7427112173477088</v>
      </c>
      <c r="D46">
        <v>-0.69361405100571116</v>
      </c>
      <c r="E46">
        <v>-0.24820828836286382</v>
      </c>
      <c r="F46">
        <v>-5.1687876918090243E-2</v>
      </c>
      <c r="G46">
        <v>-0.61875416410029749</v>
      </c>
      <c r="H46">
        <v>1.0013244876848548</v>
      </c>
      <c r="I46">
        <v>1.653319062599625</v>
      </c>
      <c r="J46">
        <v>2.8843954544731245</v>
      </c>
      <c r="K46">
        <v>3.1333975158345702</v>
      </c>
      <c r="L46">
        <v>3.5877651206542405</v>
      </c>
      <c r="M46">
        <v>4.1148154048432</v>
      </c>
      <c r="N46">
        <v>4.3891450354233088</v>
      </c>
      <c r="O46">
        <v>4.7875677911699093</v>
      </c>
      <c r="P46">
        <v>4.9660080857242814</v>
      </c>
      <c r="Q46">
        <v>5.2879477766870462</v>
      </c>
      <c r="R46">
        <v>5.5981903383019409</v>
      </c>
      <c r="S46">
        <v>5.9095174346693584</v>
      </c>
      <c r="T46">
        <v>6.2742846731335415</v>
      </c>
      <c r="U46">
        <v>6.5857882370008278</v>
      </c>
      <c r="V46">
        <v>6.9256004723228921</v>
      </c>
      <c r="W46">
        <v>7.2046130162847817</v>
      </c>
      <c r="X46">
        <v>7.45143864192341</v>
      </c>
      <c r="Y46">
        <v>7.664723187255694</v>
      </c>
      <c r="Z46">
        <v>7.8435275051267732</v>
      </c>
      <c r="AA46">
        <v>8.0241068310194894</v>
      </c>
      <c r="AB46">
        <v>8.1945373406857147</v>
      </c>
      <c r="AC46">
        <v>8.3764820028788733</v>
      </c>
      <c r="AD46">
        <v>8.5625823897696076</v>
      </c>
      <c r="AE46">
        <v>8.7513518982332918</v>
      </c>
      <c r="AF46">
        <v>8.9412078286883805</v>
      </c>
      <c r="AG46">
        <v>9.1221502691458785</v>
      </c>
      <c r="AH46">
        <v>9.2958031508900572</v>
      </c>
      <c r="AI46">
        <v>9.4568385091570697</v>
      </c>
      <c r="AJ46">
        <v>9.6070055248715853</v>
      </c>
      <c r="AK46">
        <v>9.7470898803992654</v>
      </c>
      <c r="AL46">
        <v>9.8782142086130236</v>
      </c>
      <c r="AM46">
        <v>10.00383866792623</v>
      </c>
      <c r="AN46">
        <v>10.12500248281124</v>
      </c>
      <c r="AO46">
        <v>10.244223154261185</v>
      </c>
      <c r="AP46">
        <v>10.361969939849834</v>
      </c>
      <c r="AQ46">
        <v>10.478310907619045</v>
      </c>
      <c r="AR46">
        <v>10.592694578184169</v>
      </c>
      <c r="AS46">
        <v>10.703710344337717</v>
      </c>
      <c r="AT46">
        <v>10.810480330120976</v>
      </c>
      <c r="AU46">
        <v>10.912025505540253</v>
      </c>
      <c r="AV46">
        <v>11.008198705127054</v>
      </c>
      <c r="AW46">
        <v>11.099297370084058</v>
      </c>
      <c r="AX46">
        <v>11.185982466966944</v>
      </c>
      <c r="AY46">
        <v>11.269170971908457</v>
      </c>
    </row>
    <row r="47" spans="1:51" x14ac:dyDescent="0.2">
      <c r="A47" t="s">
        <v>46</v>
      </c>
      <c r="B47" t="s">
        <v>4</v>
      </c>
      <c r="C47">
        <v>32.188980401879334</v>
      </c>
      <c r="D47">
        <v>-16.228648726375503</v>
      </c>
      <c r="E47">
        <v>47.394775242266789</v>
      </c>
      <c r="F47">
        <v>-15.895849326706969</v>
      </c>
      <c r="G47">
        <v>39.043553472607314</v>
      </c>
      <c r="H47">
        <v>48.044934100415041</v>
      </c>
      <c r="I47">
        <v>51.301632997411815</v>
      </c>
      <c r="J47">
        <v>70.233506111157752</v>
      </c>
      <c r="K47">
        <v>55.721491826767362</v>
      </c>
      <c r="L47">
        <v>74.051588065452705</v>
      </c>
      <c r="M47">
        <v>66.252829861583621</v>
      </c>
      <c r="N47">
        <v>69.02048263727059</v>
      </c>
      <c r="O47">
        <v>71.786061495700793</v>
      </c>
      <c r="P47">
        <v>71.244423111756774</v>
      </c>
      <c r="Q47">
        <v>79.449734019365962</v>
      </c>
      <c r="R47">
        <v>80.721408449599551</v>
      </c>
      <c r="S47">
        <v>87.650076979230647</v>
      </c>
      <c r="T47">
        <v>91.886614425717823</v>
      </c>
      <c r="U47">
        <v>95.717268948907957</v>
      </c>
      <c r="V47">
        <v>99.699926002065453</v>
      </c>
      <c r="W47">
        <v>100.93671621466116</v>
      </c>
      <c r="X47">
        <v>103.2548952562375</v>
      </c>
      <c r="Y47">
        <v>104.13248462138165</v>
      </c>
      <c r="Z47">
        <v>105.67295538587942</v>
      </c>
      <c r="AA47">
        <v>107.43330188502122</v>
      </c>
      <c r="AB47">
        <v>109.26577110898931</v>
      </c>
      <c r="AC47">
        <v>111.79977162946787</v>
      </c>
      <c r="AD47">
        <v>114.09442490173505</v>
      </c>
      <c r="AE47">
        <v>116.64705767378059</v>
      </c>
      <c r="AF47">
        <v>118.91974614967687</v>
      </c>
      <c r="AG47">
        <v>120.97569884690532</v>
      </c>
      <c r="AH47">
        <v>122.84134801429408</v>
      </c>
      <c r="AI47">
        <v>124.37860454804584</v>
      </c>
      <c r="AJ47">
        <v>125.82443818509206</v>
      </c>
      <c r="AK47">
        <v>127.10006770529576</v>
      </c>
      <c r="AL47">
        <v>128.36785255796124</v>
      </c>
      <c r="AM47">
        <v>129.65069637198579</v>
      </c>
      <c r="AN47">
        <v>130.96506319068948</v>
      </c>
      <c r="AO47">
        <v>132.34814229373214</v>
      </c>
      <c r="AP47">
        <v>133.73469225162953</v>
      </c>
      <c r="AQ47">
        <v>135.12130732894329</v>
      </c>
      <c r="AR47">
        <v>136.44794471563753</v>
      </c>
      <c r="AS47">
        <v>137.69172706901904</v>
      </c>
      <c r="AT47">
        <v>138.84189424709967</v>
      </c>
      <c r="AU47">
        <v>139.89354872292199</v>
      </c>
      <c r="AV47">
        <v>140.87320350074154</v>
      </c>
      <c r="AW47">
        <v>141.79661924442635</v>
      </c>
      <c r="AX47">
        <v>142.69138524589172</v>
      </c>
      <c r="AY47">
        <v>143.57272462721161</v>
      </c>
    </row>
    <row r="48" spans="1:51" x14ac:dyDescent="0.2">
      <c r="A48" t="s">
        <v>47</v>
      </c>
      <c r="B48" t="s">
        <v>4</v>
      </c>
      <c r="C48">
        <v>192.32513033008422</v>
      </c>
      <c r="D48">
        <v>-237.41932079629734</v>
      </c>
      <c r="E48">
        <v>-173.08398149603954</v>
      </c>
      <c r="F48">
        <v>-350.87916038685677</v>
      </c>
      <c r="G48">
        <v>-44.266418056242934</v>
      </c>
      <c r="H48">
        <v>149.27109785669774</v>
      </c>
      <c r="I48">
        <v>119.52651643161413</v>
      </c>
      <c r="J48">
        <v>168.62356255304437</v>
      </c>
      <c r="K48">
        <v>124.24558773305759</v>
      </c>
      <c r="L48">
        <v>199.98339161856822</v>
      </c>
      <c r="M48">
        <v>186.36737678507228</v>
      </c>
      <c r="N48">
        <v>168.00666820398098</v>
      </c>
      <c r="O48">
        <v>179.53833306776517</v>
      </c>
      <c r="P48">
        <v>182.77035744757615</v>
      </c>
      <c r="Q48">
        <v>225.02747515488338</v>
      </c>
      <c r="R48">
        <v>243.29330282202628</v>
      </c>
      <c r="S48">
        <v>275.59163282328996</v>
      </c>
      <c r="T48">
        <v>305.9034541798024</v>
      </c>
      <c r="U48">
        <v>329.53396919512898</v>
      </c>
      <c r="V48">
        <v>352.84209011665212</v>
      </c>
      <c r="W48">
        <v>361.75211094639764</v>
      </c>
      <c r="X48">
        <v>371.50334040307416</v>
      </c>
      <c r="Y48">
        <v>376.71848559115961</v>
      </c>
      <c r="Z48">
        <v>383.14011760809404</v>
      </c>
      <c r="AA48">
        <v>392.25939606170351</v>
      </c>
      <c r="AB48">
        <v>402.34599038816219</v>
      </c>
      <c r="AC48">
        <v>416.44294640363125</v>
      </c>
      <c r="AD48">
        <v>430.75912926832689</v>
      </c>
      <c r="AE48">
        <v>445.90999462167605</v>
      </c>
      <c r="AF48">
        <v>459.98536315370086</v>
      </c>
      <c r="AG48">
        <v>472.28785512662051</v>
      </c>
      <c r="AH48">
        <v>483.16621589380571</v>
      </c>
      <c r="AI48">
        <v>492.02738973144733</v>
      </c>
      <c r="AJ48">
        <v>499.91349113191689</v>
      </c>
      <c r="AK48">
        <v>506.92631245197595</v>
      </c>
      <c r="AL48">
        <v>513.77654734886937</v>
      </c>
      <c r="AM48">
        <v>520.87864294894348</v>
      </c>
      <c r="AN48">
        <v>528.30926313852467</v>
      </c>
      <c r="AO48">
        <v>536.23854594554439</v>
      </c>
      <c r="AP48">
        <v>544.3536521416803</v>
      </c>
      <c r="AQ48">
        <v>552.48673984173274</v>
      </c>
      <c r="AR48">
        <v>560.31487391786698</v>
      </c>
      <c r="AS48">
        <v>567.61283547398864</v>
      </c>
      <c r="AT48">
        <v>574.29977330715656</v>
      </c>
      <c r="AU48">
        <v>580.34903727192227</v>
      </c>
      <c r="AV48">
        <v>585.90496754773108</v>
      </c>
      <c r="AW48">
        <v>591.10909639278009</v>
      </c>
      <c r="AX48">
        <v>596.13582843594145</v>
      </c>
      <c r="AY48">
        <v>601.11180692508958</v>
      </c>
    </row>
    <row r="49" spans="1:51" x14ac:dyDescent="0.2">
      <c r="A49" t="s">
        <v>48</v>
      </c>
      <c r="B49" t="s">
        <v>4</v>
      </c>
      <c r="C49">
        <v>44.818140663032587</v>
      </c>
      <c r="D49">
        <v>12.984679416839965</v>
      </c>
      <c r="E49">
        <v>52.277659332123079</v>
      </c>
      <c r="F49">
        <v>33.606719048264253</v>
      </c>
      <c r="G49">
        <v>60.018645667159497</v>
      </c>
      <c r="H49">
        <v>76.445290060535413</v>
      </c>
      <c r="I49">
        <v>79.643901065654788</v>
      </c>
      <c r="J49">
        <v>96.298724331376434</v>
      </c>
      <c r="K49">
        <v>93.646294714971134</v>
      </c>
      <c r="L49">
        <v>105.16704782492576</v>
      </c>
      <c r="M49">
        <v>105.35319408932108</v>
      </c>
      <c r="N49">
        <v>105.51668756825316</v>
      </c>
      <c r="O49">
        <v>106.07816191716994</v>
      </c>
      <c r="P49">
        <v>102.75320547795172</v>
      </c>
      <c r="Q49">
        <v>104.49005579824356</v>
      </c>
      <c r="R49">
        <v>103.98364734916063</v>
      </c>
      <c r="S49">
        <v>106.66887121932767</v>
      </c>
      <c r="T49">
        <v>109.73650326673921</v>
      </c>
      <c r="U49">
        <v>112.79670176764846</v>
      </c>
      <c r="V49">
        <v>116.51025467213353</v>
      </c>
      <c r="W49">
        <v>118.53298801827518</v>
      </c>
      <c r="X49">
        <v>120.45782118320599</v>
      </c>
      <c r="Y49">
        <v>121.17709090256629</v>
      </c>
      <c r="Z49">
        <v>121.52038851712223</v>
      </c>
      <c r="AA49">
        <v>121.75702999272181</v>
      </c>
      <c r="AB49">
        <v>121.85348243570651</v>
      </c>
      <c r="AC49">
        <v>122.42424268142325</v>
      </c>
      <c r="AD49">
        <v>123.141349617599</v>
      </c>
      <c r="AE49">
        <v>124.24885506794777</v>
      </c>
      <c r="AF49">
        <v>125.51846518444664</v>
      </c>
      <c r="AG49">
        <v>126.82712373183219</v>
      </c>
      <c r="AH49">
        <v>128.12078649217031</v>
      </c>
      <c r="AI49">
        <v>129.20578691487631</v>
      </c>
      <c r="AJ49">
        <v>130.1243067954108</v>
      </c>
      <c r="AK49">
        <v>130.81566846837649</v>
      </c>
      <c r="AL49">
        <v>131.35317615465243</v>
      </c>
      <c r="AM49">
        <v>131.80570375343535</v>
      </c>
      <c r="AN49">
        <v>132.23080201139132</v>
      </c>
      <c r="AO49">
        <v>132.70993498265804</v>
      </c>
      <c r="AP49">
        <v>133.25366813320596</v>
      </c>
      <c r="AQ49">
        <v>133.87685258546057</v>
      </c>
      <c r="AR49">
        <v>134.5487179173968</v>
      </c>
      <c r="AS49">
        <v>135.23144508296045</v>
      </c>
      <c r="AT49">
        <v>135.89009305561876</v>
      </c>
      <c r="AU49">
        <v>136.4904153154051</v>
      </c>
      <c r="AV49">
        <v>137.02346350777853</v>
      </c>
      <c r="AW49">
        <v>137.4881260709904</v>
      </c>
      <c r="AX49">
        <v>137.89994787007353</v>
      </c>
      <c r="AY49">
        <v>138.27903144728145</v>
      </c>
    </row>
    <row r="50" spans="1:51" x14ac:dyDescent="0.2">
      <c r="A50" t="s">
        <v>49</v>
      </c>
      <c r="B50" t="s">
        <v>4</v>
      </c>
      <c r="C50">
        <v>-93.518559338753576</v>
      </c>
      <c r="D50">
        <v>-39.556370844736577</v>
      </c>
      <c r="E50">
        <v>189.28649315304696</v>
      </c>
      <c r="F50">
        <v>204.19732916925648</v>
      </c>
      <c r="G50">
        <v>325.37413840958982</v>
      </c>
      <c r="H50">
        <v>391.44721502648991</v>
      </c>
      <c r="I50">
        <v>418.6766585616881</v>
      </c>
      <c r="J50">
        <v>400.45877669369725</v>
      </c>
      <c r="K50">
        <v>338.46141681049119</v>
      </c>
      <c r="L50">
        <v>344.78514312329219</v>
      </c>
      <c r="M50">
        <v>358.29285899987019</v>
      </c>
      <c r="N50">
        <v>389.61040751181133</v>
      </c>
      <c r="O50">
        <v>402.84488479410464</v>
      </c>
      <c r="P50">
        <v>394.91276582793512</v>
      </c>
      <c r="Q50">
        <v>382.88743979792974</v>
      </c>
      <c r="R50">
        <v>357.45222678977728</v>
      </c>
      <c r="S50">
        <v>338.12112807932363</v>
      </c>
      <c r="T50">
        <v>322.14900652659537</v>
      </c>
      <c r="U50">
        <v>316.5850493901587</v>
      </c>
      <c r="V50">
        <v>320.64925335106847</v>
      </c>
      <c r="W50">
        <v>327.52390217810927</v>
      </c>
      <c r="X50">
        <v>336.25781119511942</v>
      </c>
      <c r="Y50">
        <v>340.78709694327728</v>
      </c>
      <c r="Z50">
        <v>341.82237242712603</v>
      </c>
      <c r="AA50">
        <v>338.63200948518579</v>
      </c>
      <c r="AB50">
        <v>332.196758174867</v>
      </c>
      <c r="AC50">
        <v>324.71082945075318</v>
      </c>
      <c r="AD50">
        <v>316.95208550765284</v>
      </c>
      <c r="AE50">
        <v>310.79536587347371</v>
      </c>
      <c r="AF50">
        <v>306.39759654949449</v>
      </c>
      <c r="AG50">
        <v>304.00664889761009</v>
      </c>
      <c r="AH50">
        <v>303.27924147026761</v>
      </c>
      <c r="AI50">
        <v>303.43372061570943</v>
      </c>
      <c r="AJ50">
        <v>303.9184654912649</v>
      </c>
      <c r="AK50">
        <v>303.92295378219745</v>
      </c>
      <c r="AL50">
        <v>303.124234232476</v>
      </c>
      <c r="AM50">
        <v>301.35400645077027</v>
      </c>
      <c r="AN50">
        <v>298.7626980799057</v>
      </c>
      <c r="AO50">
        <v>295.73465213862426</v>
      </c>
      <c r="AP50">
        <v>292.64862231957068</v>
      </c>
      <c r="AQ50">
        <v>289.90809340353178</v>
      </c>
      <c r="AR50">
        <v>287.71690796002088</v>
      </c>
      <c r="AS50">
        <v>286.13753205208349</v>
      </c>
      <c r="AT50">
        <v>285.07099099079812</v>
      </c>
      <c r="AU50">
        <v>284.31324745502201</v>
      </c>
      <c r="AV50">
        <v>283.65248269174799</v>
      </c>
      <c r="AW50">
        <v>282.89544382864057</v>
      </c>
      <c r="AX50">
        <v>281.93669055579909</v>
      </c>
      <c r="AY50">
        <v>280.74843543776944</v>
      </c>
    </row>
    <row r="51" spans="1:51" x14ac:dyDescent="0.2">
      <c r="A51" t="s">
        <v>50</v>
      </c>
      <c r="B51" t="s">
        <v>4</v>
      </c>
      <c r="C51">
        <v>55.236596859756155</v>
      </c>
      <c r="D51">
        <v>-71.696283359689019</v>
      </c>
      <c r="E51">
        <v>41.460761881470013</v>
      </c>
      <c r="F51">
        <v>-33.723535022949662</v>
      </c>
      <c r="G51">
        <v>48.719518080453405</v>
      </c>
      <c r="H51">
        <v>95.670231999898121</v>
      </c>
      <c r="I51">
        <v>116.78705251953257</v>
      </c>
      <c r="J51">
        <v>171.5048528368927</v>
      </c>
      <c r="K51">
        <v>167.10876360836713</v>
      </c>
      <c r="L51">
        <v>206.94980576263291</v>
      </c>
      <c r="M51">
        <v>212.97603527765514</v>
      </c>
      <c r="N51">
        <v>223.94380300223608</v>
      </c>
      <c r="O51">
        <v>234.99318317614276</v>
      </c>
      <c r="P51">
        <v>235.01277313826319</v>
      </c>
      <c r="Q51">
        <v>248.29969705317956</v>
      </c>
      <c r="R51">
        <v>252.33590914464753</v>
      </c>
      <c r="S51">
        <v>264.27395121216387</v>
      </c>
      <c r="T51">
        <v>275.09802328799191</v>
      </c>
      <c r="U51">
        <v>285.64109351483359</v>
      </c>
      <c r="V51">
        <v>298.04697816172558</v>
      </c>
      <c r="W51">
        <v>306.15467317818633</v>
      </c>
      <c r="X51">
        <v>314.89233630643145</v>
      </c>
      <c r="Y51">
        <v>320.58954075615736</v>
      </c>
      <c r="Z51">
        <v>325.69891160669505</v>
      </c>
      <c r="AA51">
        <v>330.43515143492317</v>
      </c>
      <c r="AB51">
        <v>334.55233238224582</v>
      </c>
      <c r="AC51">
        <v>339.61049919180664</v>
      </c>
      <c r="AD51">
        <v>344.5382655083157</v>
      </c>
      <c r="AE51">
        <v>350.14494083918447</v>
      </c>
      <c r="AF51">
        <v>355.80352880163963</v>
      </c>
      <c r="AG51">
        <v>361.37027645321837</v>
      </c>
      <c r="AH51">
        <v>366.82340216460358</v>
      </c>
      <c r="AI51">
        <v>371.74216066608989</v>
      </c>
      <c r="AJ51">
        <v>376.33349511949729</v>
      </c>
      <c r="AK51">
        <v>380.40937701066957</v>
      </c>
      <c r="AL51">
        <v>384.14409177175338</v>
      </c>
      <c r="AM51">
        <v>387.63447213788288</v>
      </c>
      <c r="AN51">
        <v>390.96043397001881</v>
      </c>
      <c r="AO51">
        <v>394.28631257496863</v>
      </c>
      <c r="AP51">
        <v>397.60853622192303</v>
      </c>
      <c r="AQ51">
        <v>400.9821171585013</v>
      </c>
      <c r="AR51">
        <v>404.35200485665263</v>
      </c>
      <c r="AS51">
        <v>407.66347929608963</v>
      </c>
      <c r="AT51">
        <v>410.86360489007541</v>
      </c>
      <c r="AU51">
        <v>413.88941569360043</v>
      </c>
      <c r="AV51">
        <v>416.73233493476647</v>
      </c>
      <c r="AW51">
        <v>419.38663985454315</v>
      </c>
      <c r="AX51">
        <v>421.88324972762422</v>
      </c>
      <c r="AY51">
        <v>424.25826496950594</v>
      </c>
    </row>
    <row r="52" spans="1:51" x14ac:dyDescent="0.2">
      <c r="A52" t="s">
        <v>51</v>
      </c>
      <c r="B52" t="s">
        <v>4</v>
      </c>
      <c r="C52">
        <v>-154.42294874486751</v>
      </c>
      <c r="D52">
        <v>-537.4238039765462</v>
      </c>
      <c r="E52">
        <v>-749.75971474455059</v>
      </c>
      <c r="F52">
        <v>-961.10250818203883</v>
      </c>
      <c r="G52">
        <v>-562.00774034212247</v>
      </c>
      <c r="H52">
        <v>-159.82516045980324</v>
      </c>
      <c r="I52">
        <v>-126.66356526076213</v>
      </c>
      <c r="J52">
        <v>-148.21765365330174</v>
      </c>
      <c r="K52">
        <v>-208.09004715332793</v>
      </c>
      <c r="L52">
        <v>-154.52399780783384</v>
      </c>
      <c r="M52">
        <v>-167.72681678493066</v>
      </c>
      <c r="N52">
        <v>-221.57269889896386</v>
      </c>
      <c r="O52">
        <v>-247.93402835482067</v>
      </c>
      <c r="P52">
        <v>-262.74465122926688</v>
      </c>
      <c r="Q52">
        <v>-235.93700099723875</v>
      </c>
      <c r="R52">
        <v>-217.6494769685217</v>
      </c>
      <c r="S52">
        <v>-188.36174511636892</v>
      </c>
      <c r="T52">
        <v>-154.73074179767681</v>
      </c>
      <c r="U52">
        <v>-126.57969161456442</v>
      </c>
      <c r="V52">
        <v>-102.33995195681157</v>
      </c>
      <c r="W52">
        <v>-94.603239939865475</v>
      </c>
      <c r="X52">
        <v>-92.560518411463804</v>
      </c>
      <c r="Y52">
        <v>-96.409828449777336</v>
      </c>
      <c r="Z52">
        <v>-100.73581223998167</v>
      </c>
      <c r="AA52">
        <v>-101.80992181023225</v>
      </c>
      <c r="AB52">
        <v>-99.92330982973283</v>
      </c>
      <c r="AC52">
        <v>-92.291434880185861</v>
      </c>
      <c r="AD52">
        <v>-81.686360571883796</v>
      </c>
      <c r="AE52">
        <v>-68.882217687188458</v>
      </c>
      <c r="AF52">
        <v>-56.15501177075452</v>
      </c>
      <c r="AG52">
        <v>-45.181566287794951</v>
      </c>
      <c r="AH52">
        <v>-36.28022230005687</v>
      </c>
      <c r="AI52">
        <v>-30.140339635289262</v>
      </c>
      <c r="AJ52">
        <v>-25.971500280512231</v>
      </c>
      <c r="AK52">
        <v>-23.2672942763101</v>
      </c>
      <c r="AL52">
        <v>-21.057888647064448</v>
      </c>
      <c r="AM52">
        <v>-18.487941742629285</v>
      </c>
      <c r="AN52">
        <v>-15.130737680715118</v>
      </c>
      <c r="AO52">
        <v>-10.67446472332788</v>
      </c>
      <c r="AP52">
        <v>-5.3523951339382823</v>
      </c>
      <c r="AQ52">
        <v>0.5111752468569063</v>
      </c>
      <c r="AR52">
        <v>6.4149655909304153</v>
      </c>
      <c r="AS52">
        <v>11.898892133416876</v>
      </c>
      <c r="AT52">
        <v>16.68891576406585</v>
      </c>
      <c r="AU52">
        <v>20.659694656659116</v>
      </c>
      <c r="AV52">
        <v>23.925165457988463</v>
      </c>
      <c r="AW52">
        <v>26.69517125500326</v>
      </c>
      <c r="AX52">
        <v>29.242759218458318</v>
      </c>
      <c r="AY52">
        <v>31.809732938098332</v>
      </c>
    </row>
    <row r="53" spans="1:51" x14ac:dyDescent="0.2">
      <c r="A53" t="s">
        <v>52</v>
      </c>
      <c r="B53" t="s">
        <v>4</v>
      </c>
      <c r="C53">
        <v>866.66770598195626</v>
      </c>
      <c r="D53">
        <v>50.853460027153403</v>
      </c>
      <c r="E53">
        <v>965.30743735093142</v>
      </c>
      <c r="F53">
        <v>476.29424691899897</v>
      </c>
      <c r="G53">
        <v>849.72267207508298</v>
      </c>
      <c r="H53">
        <v>1348.9114160443582</v>
      </c>
      <c r="I53">
        <v>1430.8622993821818</v>
      </c>
      <c r="J53">
        <v>1813.1170515300021</v>
      </c>
      <c r="K53">
        <v>1707.2358527674824</v>
      </c>
      <c r="L53">
        <v>1914.61485562352</v>
      </c>
      <c r="M53">
        <v>1957.0488012434457</v>
      </c>
      <c r="N53">
        <v>1969.6390523497096</v>
      </c>
      <c r="O53">
        <v>2037.0040184352072</v>
      </c>
      <c r="P53">
        <v>2005.6286780998375</v>
      </c>
      <c r="Q53">
        <v>2090.3784554974295</v>
      </c>
      <c r="R53">
        <v>2121.049122772059</v>
      </c>
      <c r="S53">
        <v>2194.5577196266449</v>
      </c>
      <c r="T53">
        <v>2271.4775864014437</v>
      </c>
      <c r="U53">
        <v>2329.6013428226856</v>
      </c>
      <c r="V53">
        <v>2403.0584141150202</v>
      </c>
      <c r="W53">
        <v>2440.2984252664805</v>
      </c>
      <c r="X53">
        <v>2479.874528446559</v>
      </c>
      <c r="Y53">
        <v>2502.9316598634487</v>
      </c>
      <c r="Z53">
        <v>2522.2739475042872</v>
      </c>
      <c r="AA53">
        <v>2545.8445721533885</v>
      </c>
      <c r="AB53">
        <v>2566.7217096532531</v>
      </c>
      <c r="AC53">
        <v>2596.6439155428257</v>
      </c>
      <c r="AD53">
        <v>2626.4551372029937</v>
      </c>
      <c r="AE53">
        <v>2659.8856769529871</v>
      </c>
      <c r="AF53">
        <v>2693.4388069669917</v>
      </c>
      <c r="AG53">
        <v>2724.6329951580906</v>
      </c>
      <c r="AH53">
        <v>2754.5518786709354</v>
      </c>
      <c r="AI53">
        <v>2780.1806939631101</v>
      </c>
      <c r="AJ53">
        <v>2803.4950602013928</v>
      </c>
      <c r="AK53">
        <v>2823.8054793940296</v>
      </c>
      <c r="AL53">
        <v>2842.3045371503063</v>
      </c>
      <c r="AM53">
        <v>2860.1389088926558</v>
      </c>
      <c r="AN53">
        <v>2877.6267937669486</v>
      </c>
      <c r="AO53">
        <v>2895.8574317731118</v>
      </c>
      <c r="AP53">
        <v>2914.5191215395284</v>
      </c>
      <c r="AQ53">
        <v>2933.6517618803882</v>
      </c>
      <c r="AR53">
        <v>2952.7087030464963</v>
      </c>
      <c r="AS53">
        <v>2971.1106728704203</v>
      </c>
      <c r="AT53">
        <v>2988.542012422603</v>
      </c>
      <c r="AU53">
        <v>3004.6449646849665</v>
      </c>
      <c r="AV53">
        <v>3019.5234354137601</v>
      </c>
      <c r="AW53">
        <v>3033.3063860738157</v>
      </c>
      <c r="AX53">
        <v>3046.3018891828219</v>
      </c>
      <c r="AY53">
        <v>3058.8189420607528</v>
      </c>
    </row>
    <row r="54" spans="1:51" x14ac:dyDescent="0.2">
      <c r="A54" t="s">
        <v>53</v>
      </c>
      <c r="B54" t="s">
        <v>4</v>
      </c>
      <c r="C54">
        <v>13.153710662525505</v>
      </c>
      <c r="D54">
        <v>-9.6725407212655981</v>
      </c>
      <c r="E54">
        <v>4.9444056957278395</v>
      </c>
      <c r="F54">
        <v>-7.935783606312504</v>
      </c>
      <c r="G54">
        <v>0.7199462787613754</v>
      </c>
      <c r="H54">
        <v>-3.3692333793354212</v>
      </c>
      <c r="I54">
        <v>2.0663303400952713</v>
      </c>
      <c r="J54">
        <v>3.1614388422812554</v>
      </c>
      <c r="K54">
        <v>0.12755710747657753</v>
      </c>
      <c r="L54">
        <v>1.2221873489208757</v>
      </c>
      <c r="M54">
        <v>9.4945936822734452E-3</v>
      </c>
      <c r="N54">
        <v>1.6221709284300452</v>
      </c>
      <c r="O54">
        <v>1.3157376346080218</v>
      </c>
      <c r="P54">
        <v>1.0757394681323549</v>
      </c>
      <c r="Q54">
        <v>1.7031837382089337</v>
      </c>
      <c r="R54">
        <v>1.6322205588187282</v>
      </c>
      <c r="S54">
        <v>2.3822994686266785</v>
      </c>
      <c r="T54">
        <v>2.3955689896533379</v>
      </c>
      <c r="U54">
        <v>2.689049225124716</v>
      </c>
      <c r="V54">
        <v>2.9251252017354981</v>
      </c>
      <c r="W54">
        <v>2.9921274867622532</v>
      </c>
      <c r="X54">
        <v>3.206562757084773</v>
      </c>
      <c r="Y54">
        <v>3.190383721688129</v>
      </c>
      <c r="Z54">
        <v>3.3216945980619612</v>
      </c>
      <c r="AA54">
        <v>3.407527442360895</v>
      </c>
      <c r="AB54">
        <v>3.5297403865099266</v>
      </c>
      <c r="AC54">
        <v>3.7010354539161545</v>
      </c>
      <c r="AD54">
        <v>3.8354213562552872</v>
      </c>
      <c r="AE54">
        <v>4.0152759957773458</v>
      </c>
      <c r="AF54">
        <v>4.1528486566886142</v>
      </c>
      <c r="AG54">
        <v>4.2892455845932149</v>
      </c>
      <c r="AH54">
        <v>4.4047687178272907</v>
      </c>
      <c r="AI54">
        <v>4.4976826494617219</v>
      </c>
      <c r="AJ54">
        <v>4.591029688609428</v>
      </c>
      <c r="AK54">
        <v>4.6687841388615023</v>
      </c>
      <c r="AL54">
        <v>4.752687372954612</v>
      </c>
      <c r="AM54">
        <v>4.8346526486486265</v>
      </c>
      <c r="AN54">
        <v>4.9200193772304166</v>
      </c>
      <c r="AO54">
        <v>5.0096587099120393</v>
      </c>
      <c r="AP54">
        <v>5.097828369628127</v>
      </c>
      <c r="AQ54">
        <v>5.1870811504116947</v>
      </c>
      <c r="AR54">
        <v>5.2711425373993483</v>
      </c>
      <c r="AS54">
        <v>5.3507600510128075</v>
      </c>
      <c r="AT54">
        <v>5.4241912853668328</v>
      </c>
      <c r="AU54">
        <v>5.4913073497805946</v>
      </c>
      <c r="AV54">
        <v>5.5540790784067928</v>
      </c>
      <c r="AW54">
        <v>5.6129001255397668</v>
      </c>
      <c r="AX54">
        <v>5.6701916203474623</v>
      </c>
      <c r="AY54">
        <v>5.7265234459740277</v>
      </c>
    </row>
    <row r="55" spans="1:51" x14ac:dyDescent="0.2">
      <c r="A55" t="s">
        <v>54</v>
      </c>
      <c r="B55" t="s">
        <v>4</v>
      </c>
      <c r="C55">
        <v>16.64451552656714</v>
      </c>
      <c r="D55">
        <v>28.527339124926463</v>
      </c>
      <c r="E55">
        <v>24.716755669072562</v>
      </c>
      <c r="F55">
        <v>24.047803421051334</v>
      </c>
      <c r="G55">
        <v>16.664736461068451</v>
      </c>
      <c r="H55">
        <v>8.0567195427289118</v>
      </c>
      <c r="I55">
        <v>6.9145796435094038</v>
      </c>
      <c r="J55">
        <v>0.85370207339905191</v>
      </c>
      <c r="K55">
        <v>0.76985354747279666</v>
      </c>
      <c r="L55">
        <v>-2.2472653755135541</v>
      </c>
      <c r="M55">
        <v>-4.3987152005246086</v>
      </c>
      <c r="N55">
        <v>-6.1021433632821003</v>
      </c>
      <c r="O55">
        <v>-8.1759402368247063</v>
      </c>
      <c r="P55">
        <v>-8.0310813728197754</v>
      </c>
      <c r="Q55">
        <v>-8.5853949297381487</v>
      </c>
      <c r="R55">
        <v>-8.2620464208686215</v>
      </c>
      <c r="S55">
        <v>-8.0359881813096656</v>
      </c>
      <c r="T55">
        <v>-7.7656065364320845</v>
      </c>
      <c r="U55">
        <v>-7.2007760948816699</v>
      </c>
      <c r="V55">
        <v>-6.9845431174249333</v>
      </c>
      <c r="W55">
        <v>-6.5156089744080781</v>
      </c>
      <c r="X55">
        <v>-6.147284714441577</v>
      </c>
      <c r="Y55">
        <v>-5.6222524942147478</v>
      </c>
      <c r="Z55">
        <v>-4.9649894229978049</v>
      </c>
      <c r="AA55">
        <v>-4.262433689062342</v>
      </c>
      <c r="AB55">
        <v>-3.3950523700276802</v>
      </c>
      <c r="AC55">
        <v>-2.5177086951264993</v>
      </c>
      <c r="AD55">
        <v>-1.567166695625698</v>
      </c>
      <c r="AE55">
        <v>-0.62265379138930266</v>
      </c>
      <c r="AF55">
        <v>0.30047668437120534</v>
      </c>
      <c r="AG55">
        <v>1.2084315550422717</v>
      </c>
      <c r="AH55">
        <v>2.0666728690264575</v>
      </c>
      <c r="AI55">
        <v>2.9084399098292586</v>
      </c>
      <c r="AJ55">
        <v>3.7207002625224597</v>
      </c>
      <c r="AK55">
        <v>4.5247565276762547</v>
      </c>
      <c r="AL55">
        <v>5.3277635235280156</v>
      </c>
      <c r="AM55">
        <v>6.129718002830959</v>
      </c>
      <c r="AN55">
        <v>6.9369049168032504</v>
      </c>
      <c r="AO55">
        <v>7.737348512537066</v>
      </c>
      <c r="AP55">
        <v>8.5282494175341803</v>
      </c>
      <c r="AQ55">
        <v>9.2992434315724157</v>
      </c>
      <c r="AR55">
        <v>10.044508414524209</v>
      </c>
      <c r="AS55">
        <v>10.761856377770101</v>
      </c>
      <c r="AT55">
        <v>11.449561385785106</v>
      </c>
      <c r="AU55">
        <v>12.111516503199736</v>
      </c>
      <c r="AV55">
        <v>12.75025894861704</v>
      </c>
      <c r="AW55">
        <v>13.370092239270415</v>
      </c>
      <c r="AX55">
        <v>13.973882667875104</v>
      </c>
      <c r="AY55">
        <v>14.563024540184641</v>
      </c>
    </row>
    <row r="56" spans="1:51" x14ac:dyDescent="0.2">
      <c r="A56" t="s">
        <v>55</v>
      </c>
      <c r="B56" t="s">
        <v>4</v>
      </c>
      <c r="C56">
        <v>167.3547411485585</v>
      </c>
      <c r="D56">
        <v>-135.63837967000086</v>
      </c>
      <c r="E56">
        <v>-417.26963233331077</v>
      </c>
      <c r="F56">
        <v>-1392.6362995825275</v>
      </c>
      <c r="G56">
        <v>-1335.2628539423004</v>
      </c>
      <c r="H56">
        <v>-247.13779660108275</v>
      </c>
      <c r="I56">
        <v>93.937393398292613</v>
      </c>
      <c r="J56">
        <v>26.864191690223169</v>
      </c>
      <c r="K56">
        <v>-278.32979670473031</v>
      </c>
      <c r="L56">
        <v>-228.207385854953</v>
      </c>
      <c r="M56">
        <v>-89.746604554778031</v>
      </c>
      <c r="N56">
        <v>-138.41632631041162</v>
      </c>
      <c r="O56">
        <v>-188.07265391563368</v>
      </c>
      <c r="P56">
        <v>-245.84014247833187</v>
      </c>
      <c r="Q56">
        <v>-186.96059522300973</v>
      </c>
      <c r="R56">
        <v>-120.01589708964222</v>
      </c>
      <c r="S56">
        <v>-63.164930301632992</v>
      </c>
      <c r="T56">
        <v>2.1673332471645126</v>
      </c>
      <c r="U56">
        <v>50.478945551575102</v>
      </c>
      <c r="V56">
        <v>103.98911977671511</v>
      </c>
      <c r="W56">
        <v>129.5297722935907</v>
      </c>
      <c r="X56">
        <v>141.1295517368643</v>
      </c>
      <c r="Y56">
        <v>144.81362661823869</v>
      </c>
      <c r="Z56">
        <v>145.30584782558981</v>
      </c>
      <c r="AA56">
        <v>153.76104307714607</v>
      </c>
      <c r="AB56">
        <v>164.73123895764988</v>
      </c>
      <c r="AC56">
        <v>184.11714344830781</v>
      </c>
      <c r="AD56">
        <v>208.27374691796933</v>
      </c>
      <c r="AE56">
        <v>235.50734587275713</v>
      </c>
      <c r="AF56">
        <v>263.55880585524756</v>
      </c>
      <c r="AG56">
        <v>288.2270203466025</v>
      </c>
      <c r="AH56">
        <v>309.67785881740349</v>
      </c>
      <c r="AI56">
        <v>326.36144688692423</v>
      </c>
      <c r="AJ56">
        <v>339.44568675142295</v>
      </c>
      <c r="AK56">
        <v>349.91856336141456</v>
      </c>
      <c r="AL56">
        <v>359.03928571654444</v>
      </c>
      <c r="AM56">
        <v>368.57154872222776</v>
      </c>
      <c r="AN56">
        <v>379.11833959350935</v>
      </c>
      <c r="AO56">
        <v>391.31888835184895</v>
      </c>
      <c r="AP56">
        <v>404.81194300519564</v>
      </c>
      <c r="AQ56">
        <v>419.01045660000273</v>
      </c>
      <c r="AR56">
        <v>433.17235016793956</v>
      </c>
      <c r="AS56">
        <v>446.48522686526326</v>
      </c>
      <c r="AT56">
        <v>458.54524096488342</v>
      </c>
      <c r="AU56">
        <v>469.12811235795567</v>
      </c>
      <c r="AV56">
        <v>478.41289358896472</v>
      </c>
      <c r="AW56">
        <v>486.74805133702688</v>
      </c>
      <c r="AX56">
        <v>494.5554299402171</v>
      </c>
      <c r="AY56">
        <v>502.24297364481134</v>
      </c>
    </row>
    <row r="57" spans="1:51" x14ac:dyDescent="0.2">
      <c r="A57" t="s">
        <v>56</v>
      </c>
      <c r="B57" t="s">
        <v>4</v>
      </c>
      <c r="C57">
        <v>4.0218121649023644</v>
      </c>
      <c r="D57">
        <v>1.5134030237365743</v>
      </c>
      <c r="E57">
        <v>4.0627243903858163</v>
      </c>
      <c r="F57">
        <v>3.0687700182570947</v>
      </c>
      <c r="G57">
        <v>1.7435130413738027</v>
      </c>
      <c r="H57">
        <v>4.8037948801006909</v>
      </c>
      <c r="I57">
        <v>9.296091289559504</v>
      </c>
      <c r="J57">
        <v>13.345043505468402</v>
      </c>
      <c r="K57">
        <v>14.602328553735306</v>
      </c>
      <c r="L57">
        <v>15.212239976182021</v>
      </c>
      <c r="M57">
        <v>16.269751945631167</v>
      </c>
      <c r="N57">
        <v>16.885321031499103</v>
      </c>
      <c r="O57">
        <v>16.994540152500583</v>
      </c>
      <c r="P57">
        <v>16.457502988781393</v>
      </c>
      <c r="Q57">
        <v>16.16436315234964</v>
      </c>
      <c r="R57">
        <v>16.261863237873108</v>
      </c>
      <c r="S57">
        <v>16.671624819486428</v>
      </c>
      <c r="T57">
        <v>17.368660868072105</v>
      </c>
      <c r="U57">
        <v>18.16857314792237</v>
      </c>
      <c r="V57">
        <v>19.073905332931279</v>
      </c>
      <c r="W57">
        <v>19.882625791280255</v>
      </c>
      <c r="X57">
        <v>20.508414807281941</v>
      </c>
      <c r="Y57">
        <v>20.922339232655528</v>
      </c>
      <c r="Z57">
        <v>21.144921618157035</v>
      </c>
      <c r="AA57">
        <v>21.275398274527909</v>
      </c>
      <c r="AB57">
        <v>21.364862087200311</v>
      </c>
      <c r="AC57">
        <v>21.487676756474645</v>
      </c>
      <c r="AD57">
        <v>21.677001300318235</v>
      </c>
      <c r="AE57">
        <v>21.945090566256564</v>
      </c>
      <c r="AF57">
        <v>22.284383809620298</v>
      </c>
      <c r="AG57">
        <v>22.659621843066468</v>
      </c>
      <c r="AH57">
        <v>23.04130593560469</v>
      </c>
      <c r="AI57">
        <v>23.395860674845974</v>
      </c>
      <c r="AJ57">
        <v>23.704293112309138</v>
      </c>
      <c r="AK57">
        <v>23.958863652091352</v>
      </c>
      <c r="AL57">
        <v>24.162671047585796</v>
      </c>
      <c r="AM57">
        <v>24.330653959427298</v>
      </c>
      <c r="AN57">
        <v>24.479865498468399</v>
      </c>
      <c r="AO57">
        <v>24.628616053369452</v>
      </c>
      <c r="AP57">
        <v>24.789272208940428</v>
      </c>
      <c r="AQ57">
        <v>24.967298612745477</v>
      </c>
      <c r="AR57">
        <v>25.16128916088114</v>
      </c>
      <c r="AS57">
        <v>25.36388768051</v>
      </c>
      <c r="AT57">
        <v>25.56579481632679</v>
      </c>
      <c r="AU57">
        <v>25.757767553157361</v>
      </c>
      <c r="AV57">
        <v>25.933596075012684</v>
      </c>
      <c r="AW57">
        <v>26.090922311663174</v>
      </c>
      <c r="AX57">
        <v>26.231072473433507</v>
      </c>
      <c r="AY57">
        <v>26.358171749284843</v>
      </c>
    </row>
    <row r="58" spans="1:51" x14ac:dyDescent="0.2">
      <c r="A58" t="s">
        <v>57</v>
      </c>
      <c r="B58" t="s">
        <v>4</v>
      </c>
      <c r="C58">
        <v>36.060480352518482</v>
      </c>
      <c r="D58">
        <v>-28.64891292891415</v>
      </c>
      <c r="E58">
        <v>18.346131776902467</v>
      </c>
      <c r="F58">
        <v>-60.904175821125655</v>
      </c>
      <c r="G58">
        <v>-0.80786549190660983</v>
      </c>
      <c r="H58">
        <v>32.079662609702055</v>
      </c>
      <c r="I58">
        <v>23.747159753524425</v>
      </c>
      <c r="J58">
        <v>43.432846619932185</v>
      </c>
      <c r="K58">
        <v>26.463325935184745</v>
      </c>
      <c r="L58">
        <v>47.922045332695127</v>
      </c>
      <c r="M58">
        <v>43.540072331966257</v>
      </c>
      <c r="N58">
        <v>41.734429479160866</v>
      </c>
      <c r="O58">
        <v>43.940271225319059</v>
      </c>
      <c r="P58">
        <v>39.798253611148382</v>
      </c>
      <c r="Q58">
        <v>47.374776048799454</v>
      </c>
      <c r="R58">
        <v>47.779921991652941</v>
      </c>
      <c r="S58">
        <v>53.500428624745737</v>
      </c>
      <c r="T58">
        <v>58.166522619570664</v>
      </c>
      <c r="U58">
        <v>61.939233314287577</v>
      </c>
      <c r="V58">
        <v>67.034446180844583</v>
      </c>
      <c r="W58">
        <v>68.795244517264962</v>
      </c>
      <c r="X58">
        <v>71.435071348806005</v>
      </c>
      <c r="Y58">
        <v>72.420027150006931</v>
      </c>
      <c r="Z58">
        <v>73.505002395024093</v>
      </c>
      <c r="AA58">
        <v>74.832129058848537</v>
      </c>
      <c r="AB58">
        <v>75.93724461966832</v>
      </c>
      <c r="AC58">
        <v>77.916906404174313</v>
      </c>
      <c r="AD58">
        <v>79.812982523305294</v>
      </c>
      <c r="AE58">
        <v>82.149781572057137</v>
      </c>
      <c r="AF58">
        <v>84.442606295243905</v>
      </c>
      <c r="AG58">
        <v>86.569459587220351</v>
      </c>
      <c r="AH58">
        <v>88.585332877412029</v>
      </c>
      <c r="AI58">
        <v>90.218429909364872</v>
      </c>
      <c r="AJ58">
        <v>91.692582253312509</v>
      </c>
      <c r="AK58">
        <v>92.915476623336033</v>
      </c>
      <c r="AL58">
        <v>94.039182676752318</v>
      </c>
      <c r="AM58">
        <v>95.14033971146641</v>
      </c>
      <c r="AN58">
        <v>96.24532908095523</v>
      </c>
      <c r="AO58">
        <v>97.438401244163586</v>
      </c>
      <c r="AP58">
        <v>98.670912774585659</v>
      </c>
      <c r="AQ58">
        <v>99.950370073254334</v>
      </c>
      <c r="AR58">
        <v>101.22008703186476</v>
      </c>
      <c r="AS58">
        <v>102.43903747839653</v>
      </c>
      <c r="AT58">
        <v>103.58376570779161</v>
      </c>
      <c r="AU58">
        <v>104.62725070814062</v>
      </c>
      <c r="AV58">
        <v>105.58321796038136</v>
      </c>
      <c r="AW58">
        <v>106.4605071219312</v>
      </c>
      <c r="AX58">
        <v>107.28631734841359</v>
      </c>
      <c r="AY58">
        <v>108.08412491992971</v>
      </c>
    </row>
    <row r="59" spans="1:51" x14ac:dyDescent="0.2">
      <c r="A59" t="s">
        <v>58</v>
      </c>
      <c r="B59" t="s">
        <v>4</v>
      </c>
      <c r="C59">
        <v>22.489669555692583</v>
      </c>
      <c r="D59">
        <v>20.988753244665119</v>
      </c>
      <c r="E59">
        <v>186.68615656650351</v>
      </c>
      <c r="F59">
        <v>-39.784688418915238</v>
      </c>
      <c r="G59">
        <v>44.415811339108622</v>
      </c>
      <c r="H59">
        <v>166.30324676524057</v>
      </c>
      <c r="I59">
        <v>233.66200010292442</v>
      </c>
      <c r="J59">
        <v>292.51891908663271</v>
      </c>
      <c r="K59">
        <v>245.05065059547871</v>
      </c>
      <c r="L59">
        <v>289.14164349629527</v>
      </c>
      <c r="M59">
        <v>295.50876957052975</v>
      </c>
      <c r="N59">
        <v>302.06929949077761</v>
      </c>
      <c r="O59">
        <v>301.74600190029162</v>
      </c>
      <c r="P59">
        <v>288.1217746757643</v>
      </c>
      <c r="Q59">
        <v>304.38440263967794</v>
      </c>
      <c r="R59">
        <v>312.38726624539908</v>
      </c>
      <c r="S59">
        <v>333.95885790316339</v>
      </c>
      <c r="T59">
        <v>353.75088805368989</v>
      </c>
      <c r="U59">
        <v>372.60734041700601</v>
      </c>
      <c r="V59">
        <v>393.17851015519608</v>
      </c>
      <c r="W59">
        <v>404.97956631483152</v>
      </c>
      <c r="X59">
        <v>415.74590922382237</v>
      </c>
      <c r="Y59">
        <v>420.93373350239227</v>
      </c>
      <c r="Z59">
        <v>425.45235947165668</v>
      </c>
      <c r="AA59">
        <v>430.32166976640099</v>
      </c>
      <c r="AB59">
        <v>435.2935630861337</v>
      </c>
      <c r="AC59">
        <v>442.72131085064882</v>
      </c>
      <c r="AD59">
        <v>450.74517097640825</v>
      </c>
      <c r="AE59">
        <v>460.28365951494317</v>
      </c>
      <c r="AF59">
        <v>470.00262812763111</v>
      </c>
      <c r="AG59">
        <v>479.35443026463139</v>
      </c>
      <c r="AH59">
        <v>488.12785662513824</v>
      </c>
      <c r="AI59">
        <v>495.61820906929142</v>
      </c>
      <c r="AJ59">
        <v>502.200839902643</v>
      </c>
      <c r="AK59">
        <v>507.72267445203636</v>
      </c>
      <c r="AL59">
        <v>512.63315643620399</v>
      </c>
      <c r="AM59">
        <v>517.2667820432664</v>
      </c>
      <c r="AN59">
        <v>521.8785951864844</v>
      </c>
      <c r="AO59">
        <v>526.77616688405089</v>
      </c>
      <c r="AP59">
        <v>531.92458247601348</v>
      </c>
      <c r="AQ59">
        <v>537.318817686785</v>
      </c>
      <c r="AR59">
        <v>542.759282051686</v>
      </c>
      <c r="AS59">
        <v>548.05566235594165</v>
      </c>
      <c r="AT59">
        <v>553.0575447954858</v>
      </c>
      <c r="AU59">
        <v>557.64614354603566</v>
      </c>
      <c r="AV59">
        <v>561.83020803047248</v>
      </c>
      <c r="AW59">
        <v>565.6508549748022</v>
      </c>
      <c r="AX59">
        <v>569.21401180498606</v>
      </c>
      <c r="AY59">
        <v>572.62542773414737</v>
      </c>
    </row>
    <row r="60" spans="1:51" x14ac:dyDescent="0.2">
      <c r="A60" t="s">
        <v>59</v>
      </c>
      <c r="B60" t="s">
        <v>4</v>
      </c>
      <c r="C60">
        <v>-8.7317362166861123</v>
      </c>
      <c r="D60">
        <v>125.67332445648613</v>
      </c>
      <c r="E60">
        <v>224.07991299808342</v>
      </c>
      <c r="F60">
        <v>72.128077677237769</v>
      </c>
      <c r="G60">
        <v>130.08645453129057</v>
      </c>
      <c r="H60">
        <v>103.13247773616057</v>
      </c>
      <c r="I60">
        <v>142.49103919827448</v>
      </c>
      <c r="J60">
        <v>161.06498504755788</v>
      </c>
      <c r="K60">
        <v>146.07413242777881</v>
      </c>
      <c r="L60">
        <v>175.8978600543393</v>
      </c>
      <c r="M60">
        <v>166.83699433376469</v>
      </c>
      <c r="N60">
        <v>180.04319269787774</v>
      </c>
      <c r="O60">
        <v>170.25144546355241</v>
      </c>
      <c r="P60">
        <v>159.19538921382042</v>
      </c>
      <c r="Q60">
        <v>157.18269791739178</v>
      </c>
      <c r="R60">
        <v>149.07324831886245</v>
      </c>
      <c r="S60">
        <v>152.60154544871759</v>
      </c>
      <c r="T60">
        <v>151.78164596927905</v>
      </c>
      <c r="U60">
        <v>156.13905841974582</v>
      </c>
      <c r="V60">
        <v>160.99355859894933</v>
      </c>
      <c r="W60">
        <v>163.75990294175114</v>
      </c>
      <c r="X60">
        <v>167.29326117839628</v>
      </c>
      <c r="Y60">
        <v>167.20166431017523</v>
      </c>
      <c r="Z60">
        <v>167.36577201489908</v>
      </c>
      <c r="AA60">
        <v>166.00971949134492</v>
      </c>
      <c r="AB60">
        <v>164.38851365248146</v>
      </c>
      <c r="AC60">
        <v>163.23746779764713</v>
      </c>
      <c r="AD60">
        <v>162.07232712701725</v>
      </c>
      <c r="AE60">
        <v>162.06483111223889</v>
      </c>
      <c r="AF60">
        <v>162.38472904352645</v>
      </c>
      <c r="AG60">
        <v>163.35390882873585</v>
      </c>
      <c r="AH60">
        <v>164.53589649947548</v>
      </c>
      <c r="AI60">
        <v>165.59218818649742</v>
      </c>
      <c r="AJ60">
        <v>166.4986158596875</v>
      </c>
      <c r="AK60">
        <v>166.90894488499379</v>
      </c>
      <c r="AL60">
        <v>167.00634929962322</v>
      </c>
      <c r="AM60">
        <v>166.77777112300566</v>
      </c>
      <c r="AN60">
        <v>166.41762845109756</v>
      </c>
      <c r="AO60">
        <v>166.09995946855685</v>
      </c>
      <c r="AP60">
        <v>165.89790360018492</v>
      </c>
      <c r="AQ60">
        <v>165.91904191104609</v>
      </c>
      <c r="AR60">
        <v>166.11347676633068</v>
      </c>
      <c r="AS60">
        <v>166.45068609587349</v>
      </c>
      <c r="AT60">
        <v>166.84275901540798</v>
      </c>
      <c r="AU60">
        <v>167.20870307284562</v>
      </c>
      <c r="AV60">
        <v>167.50266597321385</v>
      </c>
      <c r="AW60">
        <v>167.68659863896991</v>
      </c>
      <c r="AX60">
        <v>167.77355997401821</v>
      </c>
      <c r="AY60">
        <v>167.78378845202434</v>
      </c>
    </row>
    <row r="61" spans="1:51" x14ac:dyDescent="0.2">
      <c r="A61" t="s">
        <v>60</v>
      </c>
      <c r="B61" t="s">
        <v>4</v>
      </c>
      <c r="C61">
        <v>1.8511652287506277</v>
      </c>
      <c r="D61">
        <v>94.157671365540594</v>
      </c>
      <c r="E61">
        <v>264.05514046824158</v>
      </c>
      <c r="F61">
        <v>270.63607743997113</v>
      </c>
      <c r="G61">
        <v>162.63266058458365</v>
      </c>
      <c r="H61">
        <v>178.32111242554325</v>
      </c>
      <c r="I61">
        <v>156.15844821030964</v>
      </c>
      <c r="J61">
        <v>144.98808981973445</v>
      </c>
      <c r="K61">
        <v>128.95732971357444</v>
      </c>
      <c r="L61">
        <v>120.92072307890913</v>
      </c>
      <c r="M61">
        <v>141.38841122258111</v>
      </c>
      <c r="N61">
        <v>150.04112020547262</v>
      </c>
      <c r="O61">
        <v>166.43448848960364</v>
      </c>
      <c r="P61">
        <v>171.1172372751206</v>
      </c>
      <c r="Q61">
        <v>171.25037793449141</v>
      </c>
      <c r="R61">
        <v>167.7002142277766</v>
      </c>
      <c r="S61">
        <v>156.2313139487344</v>
      </c>
      <c r="T61">
        <v>146.49175272640858</v>
      </c>
      <c r="U61">
        <v>135.74547223836984</v>
      </c>
      <c r="V61">
        <v>130.13811487186541</v>
      </c>
      <c r="W61">
        <v>128.51753324348448</v>
      </c>
      <c r="X61">
        <v>129.87898598503023</v>
      </c>
      <c r="Y61">
        <v>134.01783212573335</v>
      </c>
      <c r="Z61">
        <v>137.74482092398205</v>
      </c>
      <c r="AA61">
        <v>141.03684567645561</v>
      </c>
      <c r="AB61">
        <v>142.13703402311242</v>
      </c>
      <c r="AC61">
        <v>141.23336185723872</v>
      </c>
      <c r="AD61">
        <v>138.79309211271422</v>
      </c>
      <c r="AE61">
        <v>135.28115642812085</v>
      </c>
      <c r="AF61">
        <v>131.86650568533182</v>
      </c>
      <c r="AG61">
        <v>128.89012399661308</v>
      </c>
      <c r="AH61">
        <v>126.93990960724341</v>
      </c>
      <c r="AI61">
        <v>126.02022784051449</v>
      </c>
      <c r="AJ61">
        <v>125.94417360803924</v>
      </c>
      <c r="AK61">
        <v>126.43602711413705</v>
      </c>
      <c r="AL61">
        <v>127.0178945156969</v>
      </c>
      <c r="AM61">
        <v>127.41828573630944</v>
      </c>
      <c r="AN61">
        <v>127.37225296465799</v>
      </c>
      <c r="AO61">
        <v>126.83081420332839</v>
      </c>
      <c r="AP61">
        <v>125.86984053731118</v>
      </c>
      <c r="AQ61">
        <v>124.64346150220028</v>
      </c>
      <c r="AR61">
        <v>123.37744724659653</v>
      </c>
      <c r="AS61">
        <v>122.24087423670626</v>
      </c>
      <c r="AT61">
        <v>121.36501316219012</v>
      </c>
      <c r="AU61">
        <v>120.78381541168025</v>
      </c>
      <c r="AV61">
        <v>120.45779159621617</v>
      </c>
      <c r="AW61">
        <v>120.29961151354701</v>
      </c>
      <c r="AX61">
        <v>120.19490051349237</v>
      </c>
      <c r="AY61">
        <v>120.04958215270439</v>
      </c>
    </row>
    <row r="62" spans="1:51" x14ac:dyDescent="0.2">
      <c r="A62" t="s">
        <v>61</v>
      </c>
      <c r="B62" t="s">
        <v>4</v>
      </c>
      <c r="C62">
        <v>139.909039228588</v>
      </c>
      <c r="D62">
        <v>5.2068438712994825</v>
      </c>
      <c r="E62">
        <v>182.61150319084138</v>
      </c>
      <c r="F62">
        <v>53.513288116971218</v>
      </c>
      <c r="G62">
        <v>180.72778414288859</v>
      </c>
      <c r="H62">
        <v>181.93940631285474</v>
      </c>
      <c r="I62">
        <v>204.65670933015076</v>
      </c>
      <c r="J62">
        <v>259.1465639322202</v>
      </c>
      <c r="K62">
        <v>237.69596835380366</v>
      </c>
      <c r="L62">
        <v>284.75345576786265</v>
      </c>
      <c r="M62">
        <v>272.039104367211</v>
      </c>
      <c r="N62">
        <v>286.0235176654835</v>
      </c>
      <c r="O62">
        <v>292.94885439557515</v>
      </c>
      <c r="P62">
        <v>292.16594772056698</v>
      </c>
      <c r="Q62">
        <v>310.55478766377286</v>
      </c>
      <c r="R62">
        <v>315.30121441978815</v>
      </c>
      <c r="S62">
        <v>334.99160756759471</v>
      </c>
      <c r="T62">
        <v>349.2267716380785</v>
      </c>
      <c r="U62">
        <v>364.58726421939156</v>
      </c>
      <c r="V62">
        <v>380.45301241264133</v>
      </c>
      <c r="W62">
        <v>390.13128298754754</v>
      </c>
      <c r="X62">
        <v>401.21305495949559</v>
      </c>
      <c r="Y62">
        <v>407.64383289541195</v>
      </c>
      <c r="Z62">
        <v>414.62259647736306</v>
      </c>
      <c r="AA62">
        <v>421.15391412870451</v>
      </c>
      <c r="AB62">
        <v>427.61830728295462</v>
      </c>
      <c r="AC62">
        <v>435.63734168514929</v>
      </c>
      <c r="AD62">
        <v>443.41474810547288</v>
      </c>
      <c r="AE62">
        <v>452.19864419719477</v>
      </c>
      <c r="AF62">
        <v>460.65664422181777</v>
      </c>
      <c r="AG62">
        <v>468.86609350251308</v>
      </c>
      <c r="AH62">
        <v>476.63738350396483</v>
      </c>
      <c r="AI62">
        <v>483.53044952070132</v>
      </c>
      <c r="AJ62">
        <v>489.94176953623077</v>
      </c>
      <c r="AK62">
        <v>495.62600650597432</v>
      </c>
      <c r="AL62">
        <v>500.97001763407394</v>
      </c>
      <c r="AM62">
        <v>506.06726068301538</v>
      </c>
      <c r="AN62">
        <v>511.06454905137639</v>
      </c>
      <c r="AO62">
        <v>516.13760141909495</v>
      </c>
      <c r="AP62">
        <v>521.2244309254163</v>
      </c>
      <c r="AQ62">
        <v>526.36494342813819</v>
      </c>
      <c r="AR62">
        <v>531.42503048786261</v>
      </c>
      <c r="AS62">
        <v>536.32764247683178</v>
      </c>
      <c r="AT62">
        <v>540.99519210431845</v>
      </c>
      <c r="AU62">
        <v>545.36627300254224</v>
      </c>
      <c r="AV62">
        <v>549.46003341942253</v>
      </c>
      <c r="AW62">
        <v>553.29282657732585</v>
      </c>
      <c r="AX62">
        <v>556.93111591358206</v>
      </c>
      <c r="AY62">
        <v>560.42882990302007</v>
      </c>
    </row>
    <row r="63" spans="1:51" x14ac:dyDescent="0.2">
      <c r="A63" t="s">
        <v>62</v>
      </c>
      <c r="B63" t="s">
        <v>4</v>
      </c>
      <c r="C63">
        <v>37.902888844906606</v>
      </c>
      <c r="D63">
        <v>27.764104900624893</v>
      </c>
      <c r="E63">
        <v>84.587987049603115</v>
      </c>
      <c r="F63">
        <v>48.891236581712043</v>
      </c>
      <c r="G63">
        <v>68.725261033051439</v>
      </c>
      <c r="H63">
        <v>78.96330204585108</v>
      </c>
      <c r="I63">
        <v>80.516949028456722</v>
      </c>
      <c r="J63">
        <v>100.29741929506065</v>
      </c>
      <c r="K63">
        <v>92.271655361477514</v>
      </c>
      <c r="L63">
        <v>105.38413900313677</v>
      </c>
      <c r="M63">
        <v>103.76063991383388</v>
      </c>
      <c r="N63">
        <v>105.15821219944128</v>
      </c>
      <c r="O63">
        <v>106.75988774832211</v>
      </c>
      <c r="P63">
        <v>103.5406941649841</v>
      </c>
      <c r="Q63">
        <v>107.06228429207977</v>
      </c>
      <c r="R63">
        <v>106.81177862900826</v>
      </c>
      <c r="S63">
        <v>110.46642110541957</v>
      </c>
      <c r="T63">
        <v>113.59635513546331</v>
      </c>
      <c r="U63">
        <v>116.55550256551908</v>
      </c>
      <c r="V63">
        <v>120.40324622200403</v>
      </c>
      <c r="W63">
        <v>122.35117666520635</v>
      </c>
      <c r="X63">
        <v>124.73929760731562</v>
      </c>
      <c r="Y63">
        <v>125.8835278130544</v>
      </c>
      <c r="Z63">
        <v>126.9173453867791</v>
      </c>
      <c r="AA63">
        <v>127.8982699332599</v>
      </c>
      <c r="AB63">
        <v>128.65981489978125</v>
      </c>
      <c r="AC63">
        <v>129.88790974319119</v>
      </c>
      <c r="AD63">
        <v>131.07177537593239</v>
      </c>
      <c r="AE63">
        <v>132.59419178063209</v>
      </c>
      <c r="AF63">
        <v>134.17427701678801</v>
      </c>
      <c r="AG63">
        <v>135.75199161278388</v>
      </c>
      <c r="AH63">
        <v>137.31726673893206</v>
      </c>
      <c r="AI63">
        <v>138.67152368065797</v>
      </c>
      <c r="AJ63">
        <v>139.90802310212047</v>
      </c>
      <c r="AK63">
        <v>140.93866952013786</v>
      </c>
      <c r="AL63">
        <v>141.84630364564225</v>
      </c>
      <c r="AM63">
        <v>142.67799795751068</v>
      </c>
      <c r="AN63">
        <v>143.47102769831764</v>
      </c>
      <c r="AO63">
        <v>144.29851320338807</v>
      </c>
      <c r="AP63">
        <v>145.15297022754859</v>
      </c>
      <c r="AQ63">
        <v>146.05376605095205</v>
      </c>
      <c r="AR63">
        <v>146.97088132655452</v>
      </c>
      <c r="AS63">
        <v>147.87743945201493</v>
      </c>
      <c r="AT63">
        <v>148.75003168400951</v>
      </c>
      <c r="AU63">
        <v>149.56198117548868</v>
      </c>
      <c r="AV63">
        <v>150.31172886576167</v>
      </c>
      <c r="AW63">
        <v>150.99777281300493</v>
      </c>
      <c r="AX63">
        <v>151.63405579740717</v>
      </c>
      <c r="AY63">
        <v>152.23568453464065</v>
      </c>
    </row>
    <row r="64" spans="1:51" x14ac:dyDescent="0.2">
      <c r="A64" t="s">
        <v>63</v>
      </c>
      <c r="B64" t="s">
        <v>4</v>
      </c>
      <c r="C64">
        <v>907.25509759297358</v>
      </c>
      <c r="D64">
        <v>648.08057468734592</v>
      </c>
      <c r="E64">
        <v>1607.9001812186236</v>
      </c>
      <c r="F64">
        <v>726.66098389476235</v>
      </c>
      <c r="G64">
        <v>1401.5865585838762</v>
      </c>
      <c r="H64">
        <v>1418.5177715272198</v>
      </c>
      <c r="I64">
        <v>1607.7405884870984</v>
      </c>
      <c r="J64">
        <v>1824.6948044611536</v>
      </c>
      <c r="K64">
        <v>1691.196406142255</v>
      </c>
      <c r="L64">
        <v>1935.3364032160159</v>
      </c>
      <c r="M64">
        <v>1853.2738465211671</v>
      </c>
      <c r="N64">
        <v>1910.239749176159</v>
      </c>
      <c r="O64">
        <v>1898.916185583957</v>
      </c>
      <c r="P64">
        <v>1868.1485347568125</v>
      </c>
      <c r="Q64">
        <v>1938.1155849771355</v>
      </c>
      <c r="R64">
        <v>1943.5201556690795</v>
      </c>
      <c r="S64">
        <v>2031.0276284429515</v>
      </c>
      <c r="T64">
        <v>2085.3757663277306</v>
      </c>
      <c r="U64">
        <v>2150.1569252228787</v>
      </c>
      <c r="V64">
        <v>2213.0285736452051</v>
      </c>
      <c r="W64">
        <v>2244.2817807040456</v>
      </c>
      <c r="X64">
        <v>2282.116765173439</v>
      </c>
      <c r="Y64">
        <v>2295.8347871862029</v>
      </c>
      <c r="Z64">
        <v>2314.9595027384571</v>
      </c>
      <c r="AA64">
        <v>2331.9265633034447</v>
      </c>
      <c r="AB64">
        <v>2350.1970395762437</v>
      </c>
      <c r="AC64">
        <v>2376.7323390827</v>
      </c>
      <c r="AD64">
        <v>2402.6186100165555</v>
      </c>
      <c r="AE64">
        <v>2434.4928677014091</v>
      </c>
      <c r="AF64">
        <v>2465.0142854667565</v>
      </c>
      <c r="AG64">
        <v>2495.0577363936623</v>
      </c>
      <c r="AH64">
        <v>2523.101477159234</v>
      </c>
      <c r="AI64">
        <v>2546.9945595752247</v>
      </c>
      <c r="AJ64">
        <v>2568.5833119848376</v>
      </c>
      <c r="AK64">
        <v>2586.5393693422561</v>
      </c>
      <c r="AL64">
        <v>2603.0447094638462</v>
      </c>
      <c r="AM64">
        <v>2618.5932090100632</v>
      </c>
      <c r="AN64">
        <v>2634.1591139225998</v>
      </c>
      <c r="AO64">
        <v>2650.6428411227462</v>
      </c>
      <c r="AP64">
        <v>2667.7191017014161</v>
      </c>
      <c r="AQ64">
        <v>2685.5227231960848</v>
      </c>
      <c r="AR64">
        <v>2703.2383224338651</v>
      </c>
      <c r="AS64">
        <v>2720.4142202225403</v>
      </c>
      <c r="AT64">
        <v>2736.5818676357599</v>
      </c>
      <c r="AU64">
        <v>2751.4287028672898</v>
      </c>
      <c r="AV64">
        <v>2765.0643703885121</v>
      </c>
      <c r="AW64">
        <v>2777.5937850773321</v>
      </c>
      <c r="AX64">
        <v>2789.3835863409945</v>
      </c>
      <c r="AY64">
        <v>2800.7136303512698</v>
      </c>
    </row>
    <row r="65" spans="1:51" x14ac:dyDescent="0.2">
      <c r="A65" t="s">
        <v>64</v>
      </c>
      <c r="B65" t="s">
        <v>4</v>
      </c>
      <c r="C65">
        <v>77.413200369430385</v>
      </c>
      <c r="D65">
        <v>94.983143496036348</v>
      </c>
      <c r="E65">
        <v>246.85171210988275</v>
      </c>
      <c r="F65">
        <v>107.81939892971</v>
      </c>
      <c r="G65">
        <v>172.06596473664101</v>
      </c>
      <c r="H65">
        <v>161.11220697015582</v>
      </c>
      <c r="I65">
        <v>182.70415968362923</v>
      </c>
      <c r="J65">
        <v>210.98951636811239</v>
      </c>
      <c r="K65">
        <v>189.03938373527342</v>
      </c>
      <c r="L65">
        <v>223.10779510421</v>
      </c>
      <c r="M65">
        <v>215.90798828415757</v>
      </c>
      <c r="N65">
        <v>229.55900368699056</v>
      </c>
      <c r="O65">
        <v>233.60838374409445</v>
      </c>
      <c r="P65">
        <v>233.78417948371364</v>
      </c>
      <c r="Q65">
        <v>247.52331136800254</v>
      </c>
      <c r="R65">
        <v>251.30180403635907</v>
      </c>
      <c r="S65">
        <v>265.21694233908522</v>
      </c>
      <c r="T65">
        <v>273.39292455081301</v>
      </c>
      <c r="U65">
        <v>282.33671752626367</v>
      </c>
      <c r="V65">
        <v>291.15023528955135</v>
      </c>
      <c r="W65">
        <v>296.03615212605911</v>
      </c>
      <c r="X65">
        <v>302.55661188328321</v>
      </c>
      <c r="Y65">
        <v>306.38802436569136</v>
      </c>
      <c r="Z65">
        <v>311.41895410460495</v>
      </c>
      <c r="AA65">
        <v>316.32098537195373</v>
      </c>
      <c r="AB65">
        <v>321.22769712344501</v>
      </c>
      <c r="AC65">
        <v>326.91784984112661</v>
      </c>
      <c r="AD65">
        <v>332.06479131880815</v>
      </c>
      <c r="AE65">
        <v>337.64888180003408</v>
      </c>
      <c r="AF65">
        <v>342.77838717997628</v>
      </c>
      <c r="AG65">
        <v>347.71459864777512</v>
      </c>
      <c r="AH65">
        <v>352.38413153851394</v>
      </c>
      <c r="AI65">
        <v>356.5715432945654</v>
      </c>
      <c r="AJ65">
        <v>360.57562444503276</v>
      </c>
      <c r="AK65">
        <v>364.20097879102326</v>
      </c>
      <c r="AL65">
        <v>367.70509612141791</v>
      </c>
      <c r="AM65">
        <v>371.09514661148296</v>
      </c>
      <c r="AN65">
        <v>374.44077811260922</v>
      </c>
      <c r="AO65">
        <v>377.81812782621449</v>
      </c>
      <c r="AP65">
        <v>381.15406238469086</v>
      </c>
      <c r="AQ65">
        <v>384.46715291351256</v>
      </c>
      <c r="AR65">
        <v>387.6669842593883</v>
      </c>
      <c r="AS65">
        <v>390.72719932733509</v>
      </c>
      <c r="AT65">
        <v>393.62238993096145</v>
      </c>
      <c r="AU65">
        <v>396.3401695782598</v>
      </c>
      <c r="AV65">
        <v>398.91283357637002</v>
      </c>
      <c r="AW65">
        <v>401.35577742548679</v>
      </c>
      <c r="AX65">
        <v>403.7078819537719</v>
      </c>
      <c r="AY65">
        <v>405.98916993114671</v>
      </c>
    </row>
    <row r="66" spans="1:51" x14ac:dyDescent="0.2">
      <c r="A66" t="s">
        <v>65</v>
      </c>
      <c r="B66" t="s">
        <v>4</v>
      </c>
      <c r="C66">
        <v>26.193798344596196</v>
      </c>
      <c r="D66">
        <v>63.215101014751724</v>
      </c>
      <c r="E66">
        <v>262.0704884875019</v>
      </c>
      <c r="F66">
        <v>-6.8567679749838293</v>
      </c>
      <c r="G66">
        <v>22.611965615518873</v>
      </c>
      <c r="H66">
        <v>-22.418665392213438</v>
      </c>
      <c r="I66">
        <v>4.2475539438480041</v>
      </c>
      <c r="J66">
        <v>115.56271399753591</v>
      </c>
      <c r="K66">
        <v>118.56032624284964</v>
      </c>
      <c r="L66">
        <v>182.48133598465083</v>
      </c>
      <c r="M66">
        <v>179.76710133483985</v>
      </c>
      <c r="N66">
        <v>206.4395595590166</v>
      </c>
      <c r="O66">
        <v>217.94724967571798</v>
      </c>
      <c r="P66">
        <v>207.19675430740821</v>
      </c>
      <c r="Q66">
        <v>217.01294218816994</v>
      </c>
      <c r="R66">
        <v>211.16346202313949</v>
      </c>
      <c r="S66">
        <v>221.7114604869619</v>
      </c>
      <c r="T66">
        <v>226.31609020052596</v>
      </c>
      <c r="U66">
        <v>233.44823107033508</v>
      </c>
      <c r="V66">
        <v>245.85013538723805</v>
      </c>
      <c r="W66">
        <v>255.16981731207463</v>
      </c>
      <c r="X66">
        <v>269.24288313168762</v>
      </c>
      <c r="Y66">
        <v>279.07138987704263</v>
      </c>
      <c r="Z66">
        <v>288.54938927874082</v>
      </c>
      <c r="AA66">
        <v>295.60119646539277</v>
      </c>
      <c r="AB66">
        <v>299.92149587984284</v>
      </c>
      <c r="AC66">
        <v>304.00288439016219</v>
      </c>
      <c r="AD66">
        <v>306.69689795338809</v>
      </c>
      <c r="AE66">
        <v>310.6032632002582</v>
      </c>
      <c r="AF66">
        <v>315.11306745395245</v>
      </c>
      <c r="AG66">
        <v>320.62694380203419</v>
      </c>
      <c r="AH66">
        <v>326.94380521601397</v>
      </c>
      <c r="AI66">
        <v>333.17923351805973</v>
      </c>
      <c r="AJ66">
        <v>339.37554206269812</v>
      </c>
      <c r="AK66">
        <v>344.83810573507361</v>
      </c>
      <c r="AL66">
        <v>349.69259048982588</v>
      </c>
      <c r="AM66">
        <v>353.89274433265382</v>
      </c>
      <c r="AN66">
        <v>357.55179954019934</v>
      </c>
      <c r="AO66">
        <v>360.95067651129295</v>
      </c>
      <c r="AP66">
        <v>364.1571124765548</v>
      </c>
      <c r="AQ66">
        <v>367.40059083481174</v>
      </c>
      <c r="AR66">
        <v>370.71035851877633</v>
      </c>
      <c r="AS66">
        <v>374.12994685483119</v>
      </c>
      <c r="AT66">
        <v>377.63514391968187</v>
      </c>
      <c r="AU66">
        <v>381.13092468256588</v>
      </c>
      <c r="AV66">
        <v>384.55084137783223</v>
      </c>
      <c r="AW66">
        <v>387.7899052733066</v>
      </c>
      <c r="AX66">
        <v>390.8050447643617</v>
      </c>
      <c r="AY66">
        <v>393.57701084001081</v>
      </c>
    </row>
    <row r="67" spans="1:51" x14ac:dyDescent="0.2">
      <c r="A67" t="s">
        <v>66</v>
      </c>
      <c r="B67" t="s">
        <v>4</v>
      </c>
      <c r="C67">
        <v>0.95040540521118611</v>
      </c>
      <c r="D67">
        <v>99.808705932773492</v>
      </c>
      <c r="E67">
        <v>154.45882017498408</v>
      </c>
      <c r="F67">
        <v>104.23535516340269</v>
      </c>
      <c r="G67">
        <v>154.75726207369709</v>
      </c>
      <c r="H67">
        <v>117.40900205636417</v>
      </c>
      <c r="I67">
        <v>135.80668122796206</v>
      </c>
      <c r="J67">
        <v>124.73439366912257</v>
      </c>
      <c r="K67">
        <v>118.65057839485496</v>
      </c>
      <c r="L67">
        <v>137.6091455882661</v>
      </c>
      <c r="M67">
        <v>136.95398291992075</v>
      </c>
      <c r="N67">
        <v>154.80473097535008</v>
      </c>
      <c r="O67">
        <v>154.96415452543715</v>
      </c>
      <c r="P67">
        <v>157.46691800237033</v>
      </c>
      <c r="Q67">
        <v>157.34985346606481</v>
      </c>
      <c r="R67">
        <v>151.33493372901694</v>
      </c>
      <c r="S67">
        <v>149.67265716415798</v>
      </c>
      <c r="T67">
        <v>143.62552844389296</v>
      </c>
      <c r="U67">
        <v>141.80752836188142</v>
      </c>
      <c r="V67">
        <v>140.09148059286309</v>
      </c>
      <c r="W67">
        <v>139.67190186003012</v>
      </c>
      <c r="X67">
        <v>141.21012605697555</v>
      </c>
      <c r="Y67">
        <v>142.14688632555911</v>
      </c>
      <c r="Z67">
        <v>144.2274238120379</v>
      </c>
      <c r="AA67">
        <v>145.1905664863221</v>
      </c>
      <c r="AB67">
        <v>145.70072063887716</v>
      </c>
      <c r="AC67">
        <v>145.38258730261276</v>
      </c>
      <c r="AD67">
        <v>144.16067352917236</v>
      </c>
      <c r="AE67">
        <v>142.84303753866004</v>
      </c>
      <c r="AF67">
        <v>141.28151753528738</v>
      </c>
      <c r="AG67">
        <v>140.18248892026591</v>
      </c>
      <c r="AH67">
        <v>139.48641329845623</v>
      </c>
      <c r="AI67">
        <v>139.26383822993861</v>
      </c>
      <c r="AJ67">
        <v>139.44822884790815</v>
      </c>
      <c r="AK67">
        <v>139.73957022481426</v>
      </c>
      <c r="AL67">
        <v>140.06869629170814</v>
      </c>
      <c r="AM67">
        <v>140.20800825447475</v>
      </c>
      <c r="AN67">
        <v>140.1455254440595</v>
      </c>
      <c r="AO67">
        <v>139.87451798506677</v>
      </c>
      <c r="AP67">
        <v>139.4397766915468</v>
      </c>
      <c r="AQ67">
        <v>138.94935913139372</v>
      </c>
      <c r="AR67">
        <v>138.45852204413714</v>
      </c>
      <c r="AS67">
        <v>138.05169730393257</v>
      </c>
      <c r="AT67">
        <v>137.75236322411544</v>
      </c>
      <c r="AU67">
        <v>137.56789143075503</v>
      </c>
      <c r="AV67">
        <v>137.47969390280201</v>
      </c>
      <c r="AW67">
        <v>137.44359490711491</v>
      </c>
      <c r="AX67">
        <v>137.42244698210723</v>
      </c>
      <c r="AY67">
        <v>137.37428872947785</v>
      </c>
    </row>
    <row r="68" spans="1:51" x14ac:dyDescent="0.2">
      <c r="A68" t="s">
        <v>67</v>
      </c>
      <c r="B68" t="s">
        <v>4</v>
      </c>
      <c r="C68">
        <v>118.03787383238983</v>
      </c>
      <c r="D68">
        <v>112.31962194237643</v>
      </c>
      <c r="E68">
        <v>201.05701394895038</v>
      </c>
      <c r="F68">
        <v>23.674479390620832</v>
      </c>
      <c r="G68">
        <v>145.49442224711964</v>
      </c>
      <c r="H68">
        <v>125.33488266484916</v>
      </c>
      <c r="I68">
        <v>148.90186562683871</v>
      </c>
      <c r="J68">
        <v>168.61000921375904</v>
      </c>
      <c r="K68">
        <v>140.05421471189601</v>
      </c>
      <c r="L68">
        <v>183.3014734859002</v>
      </c>
      <c r="M68">
        <v>168.93082413214756</v>
      </c>
      <c r="N68">
        <v>186.20368341494151</v>
      </c>
      <c r="O68">
        <v>188.87816763833086</v>
      </c>
      <c r="P68">
        <v>191.48191432356927</v>
      </c>
      <c r="Q68">
        <v>208.96960133514744</v>
      </c>
      <c r="R68">
        <v>212.64623609896992</v>
      </c>
      <c r="S68">
        <v>229.04531904842216</v>
      </c>
      <c r="T68">
        <v>236.71876926585881</v>
      </c>
      <c r="U68">
        <v>246.32865605926779</v>
      </c>
      <c r="V68">
        <v>254.91700934441519</v>
      </c>
      <c r="W68">
        <v>258.98422731487267</v>
      </c>
      <c r="X68">
        <v>265.34780975029565</v>
      </c>
      <c r="Y68">
        <v>268.45329544866087</v>
      </c>
      <c r="Z68">
        <v>273.60878858304181</v>
      </c>
      <c r="AA68">
        <v>278.52949631511598</v>
      </c>
      <c r="AB68">
        <v>283.74206919363689</v>
      </c>
      <c r="AC68">
        <v>289.90871047426322</v>
      </c>
      <c r="AD68">
        <v>295.36594965058441</v>
      </c>
      <c r="AE68">
        <v>301.32697839717662</v>
      </c>
      <c r="AF68">
        <v>306.54158970677548</v>
      </c>
      <c r="AG68">
        <v>311.48866584948775</v>
      </c>
      <c r="AH68">
        <v>316.03851806444277</v>
      </c>
      <c r="AI68">
        <v>320.0420319966783</v>
      </c>
      <c r="AJ68">
        <v>323.90854688844945</v>
      </c>
      <c r="AK68">
        <v>327.40881860185874</v>
      </c>
      <c r="AL68">
        <v>330.89028076116165</v>
      </c>
      <c r="AM68">
        <v>334.30929198226806</v>
      </c>
      <c r="AN68">
        <v>337.73874466744627</v>
      </c>
      <c r="AO68">
        <v>341.22639209770358</v>
      </c>
      <c r="AP68">
        <v>344.6599879452242</v>
      </c>
      <c r="AQ68">
        <v>348.05525268458757</v>
      </c>
      <c r="AR68">
        <v>351.29513938348066</v>
      </c>
      <c r="AS68">
        <v>354.36362242607277</v>
      </c>
      <c r="AT68">
        <v>357.23800757522531</v>
      </c>
      <c r="AU68">
        <v>359.91903589101616</v>
      </c>
      <c r="AV68">
        <v>362.45602086349328</v>
      </c>
      <c r="AW68">
        <v>364.87208125258479</v>
      </c>
      <c r="AX68">
        <v>367.21655055322947</v>
      </c>
      <c r="AY68">
        <v>369.50805011595088</v>
      </c>
    </row>
    <row r="69" spans="1:51" x14ac:dyDescent="0.2">
      <c r="A69" t="s">
        <v>68</v>
      </c>
      <c r="B69" t="s">
        <v>4</v>
      </c>
      <c r="C69">
        <v>29.114277692327867</v>
      </c>
      <c r="D69">
        <v>29.49764460569935</v>
      </c>
      <c r="E69">
        <v>95.037883353002243</v>
      </c>
      <c r="F69">
        <v>91.145023017272493</v>
      </c>
      <c r="G69">
        <v>92.597270884629225</v>
      </c>
      <c r="H69">
        <v>72.745299962109712</v>
      </c>
      <c r="I69">
        <v>45.561865442329605</v>
      </c>
      <c r="J69">
        <v>49.126975708587835</v>
      </c>
      <c r="K69">
        <v>39.125155767410789</v>
      </c>
      <c r="L69">
        <v>43.433572854633333</v>
      </c>
      <c r="M69">
        <v>42.440159820885327</v>
      </c>
      <c r="N69">
        <v>43.148237690874154</v>
      </c>
      <c r="O69">
        <v>46.402448221666177</v>
      </c>
      <c r="P69">
        <v>44.282116758703964</v>
      </c>
      <c r="Q69">
        <v>46.459196810001885</v>
      </c>
      <c r="R69">
        <v>46.591084404278057</v>
      </c>
      <c r="S69">
        <v>48.998666716912126</v>
      </c>
      <c r="T69">
        <v>51.187278168828186</v>
      </c>
      <c r="U69">
        <v>51.774042280874013</v>
      </c>
      <c r="V69">
        <v>52.162577037629312</v>
      </c>
      <c r="W69">
        <v>50.585506906420413</v>
      </c>
      <c r="X69">
        <v>49.25273458588066</v>
      </c>
      <c r="Y69">
        <v>47.784833423294849</v>
      </c>
      <c r="Z69">
        <v>47.006609904074452</v>
      </c>
      <c r="AA69">
        <v>47.204930011113326</v>
      </c>
      <c r="AB69">
        <v>47.819623916367377</v>
      </c>
      <c r="AC69">
        <v>48.954881101881959</v>
      </c>
      <c r="AD69">
        <v>49.875727921231046</v>
      </c>
      <c r="AE69">
        <v>50.576090513835858</v>
      </c>
      <c r="AF69">
        <v>50.905789125731353</v>
      </c>
      <c r="AG69">
        <v>50.889734029178797</v>
      </c>
      <c r="AH69">
        <v>50.737376661876787</v>
      </c>
      <c r="AI69">
        <v>50.466019853259489</v>
      </c>
      <c r="AJ69">
        <v>50.253682283868002</v>
      </c>
      <c r="AK69">
        <v>50.103999644328098</v>
      </c>
      <c r="AL69">
        <v>50.059009373364191</v>
      </c>
      <c r="AM69">
        <v>50.12922709852608</v>
      </c>
      <c r="AN69">
        <v>50.280425531735915</v>
      </c>
      <c r="AO69">
        <v>50.508882199130454</v>
      </c>
      <c r="AP69">
        <v>50.755633130031299</v>
      </c>
      <c r="AQ69">
        <v>50.988068769710921</v>
      </c>
      <c r="AR69">
        <v>51.164431781972347</v>
      </c>
      <c r="AS69">
        <v>51.262289827016922</v>
      </c>
      <c r="AT69">
        <v>51.288512103945813</v>
      </c>
      <c r="AU69">
        <v>51.259847527241767</v>
      </c>
      <c r="AV69">
        <v>51.214063313792344</v>
      </c>
      <c r="AW69">
        <v>51.181236750290672</v>
      </c>
      <c r="AX69">
        <v>51.184451632891069</v>
      </c>
      <c r="AY69">
        <v>51.231105088366185</v>
      </c>
    </row>
    <row r="70" spans="1:51" x14ac:dyDescent="0.2">
      <c r="A70" t="s">
        <v>69</v>
      </c>
      <c r="B70" t="s">
        <v>4</v>
      </c>
      <c r="C70">
        <v>-29.955864537047308</v>
      </c>
      <c r="D70">
        <v>20.597573529537922</v>
      </c>
      <c r="E70">
        <v>74.155382207957004</v>
      </c>
      <c r="F70">
        <v>31.107532629587176</v>
      </c>
      <c r="G70">
        <v>55.383266333806013</v>
      </c>
      <c r="H70">
        <v>48.556906221141041</v>
      </c>
      <c r="I70">
        <v>60.194333857476067</v>
      </c>
      <c r="J70">
        <v>64.406378856855142</v>
      </c>
      <c r="K70">
        <v>54.193915998364531</v>
      </c>
      <c r="L70">
        <v>63.531731673404622</v>
      </c>
      <c r="M70">
        <v>59.375628350932296</v>
      </c>
      <c r="N70">
        <v>63.956058751415917</v>
      </c>
      <c r="O70">
        <v>62.671339357650041</v>
      </c>
      <c r="P70">
        <v>61.340021382854793</v>
      </c>
      <c r="Q70">
        <v>63.797751725174315</v>
      </c>
      <c r="R70">
        <v>63.246960287373668</v>
      </c>
      <c r="S70">
        <v>66.327013148280969</v>
      </c>
      <c r="T70">
        <v>66.98025825140607</v>
      </c>
      <c r="U70">
        <v>68.267125835379346</v>
      </c>
      <c r="V70">
        <v>69.098677261754318</v>
      </c>
      <c r="W70">
        <v>68.779833633597818</v>
      </c>
      <c r="X70">
        <v>69.020605594760895</v>
      </c>
      <c r="Y70">
        <v>68.462983922125915</v>
      </c>
      <c r="Z70">
        <v>68.621292786159216</v>
      </c>
      <c r="AA70">
        <v>68.826608698324094</v>
      </c>
      <c r="AB70">
        <v>69.228917195083099</v>
      </c>
      <c r="AC70">
        <v>69.880488919599301</v>
      </c>
      <c r="AD70">
        <v>70.331058528458513</v>
      </c>
      <c r="AE70">
        <v>70.894480721785499</v>
      </c>
      <c r="AF70">
        <v>71.253930764821433</v>
      </c>
      <c r="AG70">
        <v>71.580288879042996</v>
      </c>
      <c r="AH70">
        <v>71.844494442482301</v>
      </c>
      <c r="AI70">
        <v>72.026231366751603</v>
      </c>
      <c r="AJ70">
        <v>72.220898136448852</v>
      </c>
      <c r="AK70">
        <v>72.356076030763063</v>
      </c>
      <c r="AL70">
        <v>72.514271101793739</v>
      </c>
      <c r="AM70">
        <v>72.675290787165039</v>
      </c>
      <c r="AN70">
        <v>72.862808603451157</v>
      </c>
      <c r="AO70">
        <v>73.08951218525705</v>
      </c>
      <c r="AP70">
        <v>73.328549817042088</v>
      </c>
      <c r="AQ70">
        <v>73.582564214375353</v>
      </c>
      <c r="AR70">
        <v>73.817203258425366</v>
      </c>
      <c r="AS70">
        <v>74.026294621372728</v>
      </c>
      <c r="AT70">
        <v>74.201842530566239</v>
      </c>
      <c r="AU70">
        <v>74.345418419386505</v>
      </c>
      <c r="AV70">
        <v>74.471571725797034</v>
      </c>
      <c r="AW70">
        <v>74.588027168753769</v>
      </c>
      <c r="AX70">
        <v>74.708143306459661</v>
      </c>
      <c r="AY70">
        <v>74.835260061607585</v>
      </c>
    </row>
    <row r="71" spans="1:51" x14ac:dyDescent="0.2">
      <c r="A71" t="s">
        <v>70</v>
      </c>
      <c r="B71" t="s">
        <v>4</v>
      </c>
      <c r="C71">
        <v>-532.05598476906505</v>
      </c>
      <c r="D71">
        <v>615.2985413718136</v>
      </c>
      <c r="E71">
        <v>1378.9920040820421</v>
      </c>
      <c r="F71">
        <v>607.63453836773454</v>
      </c>
      <c r="G71">
        <v>1098.8042683594515</v>
      </c>
      <c r="H71">
        <v>650.15229517678438</v>
      </c>
      <c r="I71">
        <v>871.52673618356073</v>
      </c>
      <c r="J71">
        <v>839.29336843497083</v>
      </c>
      <c r="K71">
        <v>740.66873574625424</v>
      </c>
      <c r="L71">
        <v>983.1839691795584</v>
      </c>
      <c r="M71">
        <v>958.10148850997655</v>
      </c>
      <c r="N71">
        <v>1145.8100267364889</v>
      </c>
      <c r="O71">
        <v>1134.2569932325939</v>
      </c>
      <c r="P71">
        <v>1136.6271104497368</v>
      </c>
      <c r="Q71">
        <v>1150.1411848639686</v>
      </c>
      <c r="R71">
        <v>1103.1800720724636</v>
      </c>
      <c r="S71">
        <v>1129.9897349179441</v>
      </c>
      <c r="T71">
        <v>1108.852556091706</v>
      </c>
      <c r="U71">
        <v>1129.3362091182944</v>
      </c>
      <c r="V71">
        <v>1145.9251061824141</v>
      </c>
      <c r="W71">
        <v>1161.3792771358665</v>
      </c>
      <c r="X71">
        <v>1193.1653385753823</v>
      </c>
      <c r="Y71">
        <v>1210.0916887868887</v>
      </c>
      <c r="Z71">
        <v>1238.7258105194089</v>
      </c>
      <c r="AA71">
        <v>1256.4822227668167</v>
      </c>
      <c r="AB71">
        <v>1271.0943456902387</v>
      </c>
      <c r="AC71">
        <v>1280.8785869587384</v>
      </c>
      <c r="AD71">
        <v>1282.6985583039602</v>
      </c>
      <c r="AE71">
        <v>1286.1177141687156</v>
      </c>
      <c r="AF71">
        <v>1287.5766036410641</v>
      </c>
      <c r="AG71">
        <v>1293.6963718543163</v>
      </c>
      <c r="AH71">
        <v>1302.9094548747717</v>
      </c>
      <c r="AI71">
        <v>1314.7256170158062</v>
      </c>
      <c r="AJ71">
        <v>1328.6208061419268</v>
      </c>
      <c r="AK71">
        <v>1341.2982985527174</v>
      </c>
      <c r="AL71">
        <v>1352.9635115868193</v>
      </c>
      <c r="AM71">
        <v>1362.0556074605686</v>
      </c>
      <c r="AN71">
        <v>1369.235116207265</v>
      </c>
      <c r="AO71">
        <v>1375.0396498604764</v>
      </c>
      <c r="AP71">
        <v>1379.9284291063404</v>
      </c>
      <c r="AQ71">
        <v>1384.8681107178984</v>
      </c>
      <c r="AR71">
        <v>1389.925754072739</v>
      </c>
      <c r="AS71">
        <v>1395.5229448396065</v>
      </c>
      <c r="AT71">
        <v>1401.5545575417177</v>
      </c>
      <c r="AU71">
        <v>1407.9075660269257</v>
      </c>
      <c r="AV71">
        <v>1414.4353143773133</v>
      </c>
      <c r="AW71">
        <v>1420.8142707788561</v>
      </c>
      <c r="AX71">
        <v>1426.890577301054</v>
      </c>
      <c r="AY71">
        <v>1432.4398919689759</v>
      </c>
    </row>
    <row r="72" spans="1:51" x14ac:dyDescent="0.2">
      <c r="A72" t="s">
        <v>71</v>
      </c>
      <c r="B72" t="s">
        <v>4</v>
      </c>
      <c r="C72">
        <v>-58.742195958750678</v>
      </c>
      <c r="D72">
        <v>79.869885172795733</v>
      </c>
      <c r="E72">
        <v>225.43409602887726</v>
      </c>
      <c r="F72">
        <v>121.69955120791859</v>
      </c>
      <c r="G72">
        <v>166.6968040438415</v>
      </c>
      <c r="H72">
        <v>135.74392724023303</v>
      </c>
      <c r="I72">
        <v>165.48818028113598</v>
      </c>
      <c r="J72">
        <v>166.31522159267541</v>
      </c>
      <c r="K72">
        <v>136.12607884661878</v>
      </c>
      <c r="L72">
        <v>149.04117377887857</v>
      </c>
      <c r="M72">
        <v>133.00273572938266</v>
      </c>
      <c r="N72">
        <v>140.5221317999025</v>
      </c>
      <c r="O72">
        <v>132.34536715471336</v>
      </c>
      <c r="P72">
        <v>126.25700749158402</v>
      </c>
      <c r="Q72">
        <v>128.50339406963056</v>
      </c>
      <c r="R72">
        <v>125.08923972784082</v>
      </c>
      <c r="S72">
        <v>130.56239748354471</v>
      </c>
      <c r="T72">
        <v>130.07028341015848</v>
      </c>
      <c r="U72">
        <v>131.56811487577488</v>
      </c>
      <c r="V72">
        <v>131.54944782292188</v>
      </c>
      <c r="W72">
        <v>129.08749754815781</v>
      </c>
      <c r="X72">
        <v>127.7286327696134</v>
      </c>
      <c r="Y72">
        <v>124.47795013616634</v>
      </c>
      <c r="Z72">
        <v>123.06945390795276</v>
      </c>
      <c r="AA72">
        <v>121.82070965225162</v>
      </c>
      <c r="AB72">
        <v>121.32713892788796</v>
      </c>
      <c r="AC72">
        <v>121.52421141856674</v>
      </c>
      <c r="AD72">
        <v>121.41375796542749</v>
      </c>
      <c r="AE72">
        <v>121.65049350683992</v>
      </c>
      <c r="AF72">
        <v>121.42312054666971</v>
      </c>
      <c r="AG72">
        <v>121.14241721000151</v>
      </c>
      <c r="AH72">
        <v>120.67695884646534</v>
      </c>
      <c r="AI72">
        <v>120.02294083357225</v>
      </c>
      <c r="AJ72">
        <v>119.39819455750364</v>
      </c>
      <c r="AK72">
        <v>118.65916545074599</v>
      </c>
      <c r="AL72">
        <v>118.02096470103409</v>
      </c>
      <c r="AM72">
        <v>117.43739881241629</v>
      </c>
      <c r="AN72">
        <v>116.98008036976098</v>
      </c>
      <c r="AO72">
        <v>116.66819722861474</v>
      </c>
      <c r="AP72">
        <v>116.43668203542022</v>
      </c>
      <c r="AQ72">
        <v>116.27986900061433</v>
      </c>
      <c r="AR72">
        <v>116.10505877857697</v>
      </c>
      <c r="AS72">
        <v>115.89082125060972</v>
      </c>
      <c r="AT72">
        <v>115.60990811678995</v>
      </c>
      <c r="AU72">
        <v>115.26622571652329</v>
      </c>
      <c r="AV72">
        <v>114.89475163505166</v>
      </c>
      <c r="AW72">
        <v>114.51837830884656</v>
      </c>
      <c r="AX72">
        <v>114.17376745583817</v>
      </c>
      <c r="AY72">
        <v>113.87219424357563</v>
      </c>
    </row>
    <row r="73" spans="1:51" x14ac:dyDescent="0.2">
      <c r="A73" t="s">
        <v>72</v>
      </c>
      <c r="B73" t="s">
        <v>4</v>
      </c>
      <c r="C73">
        <v>1308.7916878492192</v>
      </c>
      <c r="D73">
        <v>2008.5931832710733</v>
      </c>
      <c r="E73">
        <v>4087.5849253704678</v>
      </c>
      <c r="F73">
        <v>2199.1643168408027</v>
      </c>
      <c r="G73">
        <v>3347.8565775395091</v>
      </c>
      <c r="H73">
        <v>3533.3284181745676</v>
      </c>
      <c r="I73">
        <v>4000.9513735546052</v>
      </c>
      <c r="J73">
        <v>4522.7863997799559</v>
      </c>
      <c r="K73">
        <v>4278.4252977551414</v>
      </c>
      <c r="L73">
        <v>4829.8871418302269</v>
      </c>
      <c r="M73">
        <v>4737.237012858558</v>
      </c>
      <c r="N73">
        <v>4857.7133565824679</v>
      </c>
      <c r="O73">
        <v>4809.2374057788093</v>
      </c>
      <c r="P73">
        <v>4682.9429148253521</v>
      </c>
      <c r="Q73">
        <v>4767.3202455935152</v>
      </c>
      <c r="R73">
        <v>4733.8969809956952</v>
      </c>
      <c r="S73">
        <v>4879.2613216871077</v>
      </c>
      <c r="T73">
        <v>4979.5848225527689</v>
      </c>
      <c r="U73">
        <v>5109.9627209143337</v>
      </c>
      <c r="V73">
        <v>5246.0855331522353</v>
      </c>
      <c r="W73">
        <v>5315.3445462969366</v>
      </c>
      <c r="X73">
        <v>5391.226530701033</v>
      </c>
      <c r="Y73">
        <v>5411.284842897061</v>
      </c>
      <c r="Z73">
        <v>5434.5091404441337</v>
      </c>
      <c r="AA73">
        <v>5450.0649884144923</v>
      </c>
      <c r="AB73">
        <v>5465.4961626158974</v>
      </c>
      <c r="AC73">
        <v>5498.1166184018921</v>
      </c>
      <c r="AD73">
        <v>5531.4768636120589</v>
      </c>
      <c r="AE73">
        <v>5580.0515843361345</v>
      </c>
      <c r="AF73">
        <v>5629.9221985508448</v>
      </c>
      <c r="AG73">
        <v>5682.0102910323594</v>
      </c>
      <c r="AH73">
        <v>5732.6641102298227</v>
      </c>
      <c r="AI73">
        <v>5775.9368307709901</v>
      </c>
      <c r="AJ73">
        <v>5814.2296962979408</v>
      </c>
      <c r="AK73">
        <v>5843.8486758110184</v>
      </c>
      <c r="AL73">
        <v>5868.6540735001581</v>
      </c>
      <c r="AM73">
        <v>5889.9816420686211</v>
      </c>
      <c r="AN73">
        <v>5910.4231720767657</v>
      </c>
      <c r="AO73">
        <v>5932.7601590572103</v>
      </c>
      <c r="AP73">
        <v>5957.121729232249</v>
      </c>
      <c r="AQ73">
        <v>5984.2569946833637</v>
      </c>
      <c r="AR73">
        <v>6012.6453971880255</v>
      </c>
      <c r="AS73">
        <v>6041.1218876391758</v>
      </c>
      <c r="AT73">
        <v>6068.3427394902474</v>
      </c>
      <c r="AU73">
        <v>6093.2098640874301</v>
      </c>
      <c r="AV73">
        <v>6115.5804583872332</v>
      </c>
      <c r="AW73">
        <v>6135.4549808406164</v>
      </c>
      <c r="AX73">
        <v>6153.5188249854482</v>
      </c>
      <c r="AY73">
        <v>6170.4276344717337</v>
      </c>
    </row>
    <row r="74" spans="1:51" x14ac:dyDescent="0.2">
      <c r="A74" t="s">
        <v>73</v>
      </c>
      <c r="B74" t="s">
        <v>4</v>
      </c>
      <c r="C74">
        <v>304.42216852485114</v>
      </c>
      <c r="D74">
        <v>285.34011168496585</v>
      </c>
      <c r="E74">
        <v>544.56785984961357</v>
      </c>
      <c r="F74">
        <v>189.34525355726208</v>
      </c>
      <c r="G74">
        <v>335.37329135192925</v>
      </c>
      <c r="H74">
        <v>341.54652109825935</v>
      </c>
      <c r="I74">
        <v>350.16073076500402</v>
      </c>
      <c r="J74">
        <v>398.8172780864935</v>
      </c>
      <c r="K74">
        <v>322.37374392986635</v>
      </c>
      <c r="L74">
        <v>386.23415185618529</v>
      </c>
      <c r="M74">
        <v>353.10079114174806</v>
      </c>
      <c r="N74">
        <v>354.71864144239112</v>
      </c>
      <c r="O74">
        <v>344.14278226600902</v>
      </c>
      <c r="P74">
        <v>320.48901610439287</v>
      </c>
      <c r="Q74">
        <v>334.45603368922667</v>
      </c>
      <c r="R74">
        <v>325.46299293719062</v>
      </c>
      <c r="S74">
        <v>340.57889882964287</v>
      </c>
      <c r="T74">
        <v>346.12135105149213</v>
      </c>
      <c r="U74">
        <v>352.39357773458636</v>
      </c>
      <c r="V74">
        <v>360.17311871323341</v>
      </c>
      <c r="W74">
        <v>357.60752043228484</v>
      </c>
      <c r="X74">
        <v>358.80758246540063</v>
      </c>
      <c r="Y74">
        <v>353.97865015248334</v>
      </c>
      <c r="Z74">
        <v>351.67979232269624</v>
      </c>
      <c r="AA74">
        <v>349.96841507383351</v>
      </c>
      <c r="AB74">
        <v>348.46728107865965</v>
      </c>
      <c r="AC74">
        <v>349.68218335126608</v>
      </c>
      <c r="AD74">
        <v>350.29404288630042</v>
      </c>
      <c r="AE74">
        <v>352.51214224200493</v>
      </c>
      <c r="AF74">
        <v>354.32502437739913</v>
      </c>
      <c r="AG74">
        <v>356.01252803656018</v>
      </c>
      <c r="AH74">
        <v>357.49777835518921</v>
      </c>
      <c r="AI74">
        <v>358.06241477837506</v>
      </c>
      <c r="AJ74">
        <v>358.40226969205787</v>
      </c>
      <c r="AK74">
        <v>358.05096550475588</v>
      </c>
      <c r="AL74">
        <v>357.59422867975343</v>
      </c>
      <c r="AM74">
        <v>357.14860616344055</v>
      </c>
      <c r="AN74">
        <v>356.88528916339146</v>
      </c>
      <c r="AO74">
        <v>357.05111660742745</v>
      </c>
      <c r="AP74">
        <v>357.47831518058854</v>
      </c>
      <c r="AQ74">
        <v>358.19665783322785</v>
      </c>
      <c r="AR74">
        <v>358.97002280665185</v>
      </c>
      <c r="AS74">
        <v>359.68023470013799</v>
      </c>
      <c r="AT74">
        <v>360.234784212195</v>
      </c>
      <c r="AU74">
        <v>360.56558157781154</v>
      </c>
      <c r="AV74">
        <v>360.73300001746946</v>
      </c>
      <c r="AW74">
        <v>360.76938140586299</v>
      </c>
      <c r="AX74">
        <v>360.76899409817287</v>
      </c>
      <c r="AY74">
        <v>360.79093804531487</v>
      </c>
    </row>
    <row r="75" spans="1:51" x14ac:dyDescent="0.2">
      <c r="A75" t="s">
        <v>74</v>
      </c>
      <c r="B75" t="s">
        <v>4</v>
      </c>
      <c r="C75">
        <v>-323.59804277872291</v>
      </c>
      <c r="D75">
        <v>359.72050171427867</v>
      </c>
      <c r="E75">
        <v>795.9089944290389</v>
      </c>
      <c r="F75">
        <v>242.1256002747071</v>
      </c>
      <c r="G75">
        <v>389.16632724609542</v>
      </c>
      <c r="H75">
        <v>204.98332269959423</v>
      </c>
      <c r="I75">
        <v>428.29585818164895</v>
      </c>
      <c r="J75">
        <v>432.18745577781573</v>
      </c>
      <c r="K75">
        <v>358.14414424027257</v>
      </c>
      <c r="L75">
        <v>447.42769595835756</v>
      </c>
      <c r="M75">
        <v>410.73255460026229</v>
      </c>
      <c r="N75">
        <v>486.32356887802558</v>
      </c>
      <c r="O75">
        <v>454.28737334206102</v>
      </c>
      <c r="P75">
        <v>445.31981347812609</v>
      </c>
      <c r="Q75">
        <v>455.71253622401099</v>
      </c>
      <c r="R75">
        <v>446.69804256137809</v>
      </c>
      <c r="S75">
        <v>476.10211886092878</v>
      </c>
      <c r="T75">
        <v>475.87824771839576</v>
      </c>
      <c r="U75">
        <v>492.81357856192795</v>
      </c>
      <c r="V75">
        <v>501.39690977645978</v>
      </c>
      <c r="W75">
        <v>505.0674522717423</v>
      </c>
      <c r="X75">
        <v>513.03989812882423</v>
      </c>
      <c r="Y75">
        <v>512.0097212902408</v>
      </c>
      <c r="Z75">
        <v>518.20612162940324</v>
      </c>
      <c r="AA75">
        <v>521.26284232600551</v>
      </c>
      <c r="AB75">
        <v>526.23891139250691</v>
      </c>
      <c r="AC75">
        <v>531.59498763192607</v>
      </c>
      <c r="AD75">
        <v>535.04066108044663</v>
      </c>
      <c r="AE75">
        <v>540.11235883417555</v>
      </c>
      <c r="AF75">
        <v>543.64289648683132</v>
      </c>
      <c r="AG75">
        <v>548.19037342442425</v>
      </c>
      <c r="AH75">
        <v>552.48778580356952</v>
      </c>
      <c r="AI75">
        <v>556.59201590868111</v>
      </c>
      <c r="AJ75">
        <v>560.77519306662032</v>
      </c>
      <c r="AK75">
        <v>564.08552590897443</v>
      </c>
      <c r="AL75">
        <v>567.27041044658472</v>
      </c>
      <c r="AM75">
        <v>569.90978801201732</v>
      </c>
      <c r="AN75">
        <v>572.49231168355152</v>
      </c>
      <c r="AO75">
        <v>575.15150678069051</v>
      </c>
      <c r="AP75">
        <v>577.85549569513125</v>
      </c>
      <c r="AQ75">
        <v>580.76376177128611</v>
      </c>
      <c r="AR75">
        <v>583.61287689400729</v>
      </c>
      <c r="AS75">
        <v>586.42424319378335</v>
      </c>
      <c r="AT75">
        <v>589.05791443004557</v>
      </c>
      <c r="AU75">
        <v>591.49442209075801</v>
      </c>
      <c r="AV75">
        <v>593.77446447452041</v>
      </c>
      <c r="AW75">
        <v>595.89354130440086</v>
      </c>
      <c r="AX75">
        <v>597.93039266288429</v>
      </c>
      <c r="AY75">
        <v>599.8850701298287</v>
      </c>
    </row>
    <row r="76" spans="1:51" x14ac:dyDescent="0.2">
      <c r="A76" t="s">
        <v>75</v>
      </c>
      <c r="B76" t="s">
        <v>4</v>
      </c>
      <c r="C76">
        <v>346.62722045880741</v>
      </c>
      <c r="D76">
        <v>645.58377857110486</v>
      </c>
      <c r="E76">
        <v>1527.6571620017651</v>
      </c>
      <c r="F76">
        <v>1219.7978889798967</v>
      </c>
      <c r="G76">
        <v>1529.7621710840567</v>
      </c>
      <c r="H76">
        <v>1141.8601554957647</v>
      </c>
      <c r="I76">
        <v>879.11119515427413</v>
      </c>
      <c r="J76">
        <v>718.67000563720956</v>
      </c>
      <c r="K76">
        <v>503.48748877070369</v>
      </c>
      <c r="L76">
        <v>676.11131104209119</v>
      </c>
      <c r="M76">
        <v>781.75748436807885</v>
      </c>
      <c r="N76">
        <v>1043.8973017442477</v>
      </c>
      <c r="O76">
        <v>1185.1654009279355</v>
      </c>
      <c r="P76">
        <v>1189.9989403556385</v>
      </c>
      <c r="Q76">
        <v>1140.614579387566</v>
      </c>
      <c r="R76">
        <v>1001.3710859988255</v>
      </c>
      <c r="S76">
        <v>920.83078259685101</v>
      </c>
      <c r="T76">
        <v>854.22324097667979</v>
      </c>
      <c r="U76">
        <v>842.28902534940744</v>
      </c>
      <c r="V76">
        <v>863.41455799366838</v>
      </c>
      <c r="W76">
        <v>884.41770851145031</v>
      </c>
      <c r="X76">
        <v>912.40218493854729</v>
      </c>
      <c r="Y76">
        <v>920.49199249250341</v>
      </c>
      <c r="Z76">
        <v>927.94700056153249</v>
      </c>
      <c r="AA76">
        <v>930.83739428145702</v>
      </c>
      <c r="AB76">
        <v>932.46936000979065</v>
      </c>
      <c r="AC76">
        <v>934.12310988620038</v>
      </c>
      <c r="AD76">
        <v>927.85951130631861</v>
      </c>
      <c r="AE76">
        <v>917.61021443568654</v>
      </c>
      <c r="AF76">
        <v>901.63029689661232</v>
      </c>
      <c r="AG76">
        <v>886.12251502745096</v>
      </c>
      <c r="AH76">
        <v>875.2814139210526</v>
      </c>
      <c r="AI76">
        <v>871.07372216105136</v>
      </c>
      <c r="AJ76">
        <v>874.42537688618154</v>
      </c>
      <c r="AK76">
        <v>881.42726702331913</v>
      </c>
      <c r="AL76">
        <v>889.11074024513448</v>
      </c>
      <c r="AM76">
        <v>893.85069601352052</v>
      </c>
      <c r="AN76">
        <v>894.21826763483716</v>
      </c>
      <c r="AO76">
        <v>890.71745091012656</v>
      </c>
      <c r="AP76">
        <v>884.6555267059839</v>
      </c>
      <c r="AQ76">
        <v>878.20690749120365</v>
      </c>
      <c r="AR76">
        <v>872.67999747610986</v>
      </c>
      <c r="AS76">
        <v>868.90804192447581</v>
      </c>
      <c r="AT76">
        <v>866.89482951252216</v>
      </c>
      <c r="AU76">
        <v>866.17978398767559</v>
      </c>
      <c r="AV76">
        <v>866.26303260480415</v>
      </c>
      <c r="AW76">
        <v>866.58205197017207</v>
      </c>
      <c r="AX76">
        <v>866.80740169295848</v>
      </c>
      <c r="AY76">
        <v>866.66741169961062</v>
      </c>
    </row>
    <row r="77" spans="1:51" x14ac:dyDescent="0.2">
      <c r="A77" t="s">
        <v>76</v>
      </c>
      <c r="B77" t="s">
        <v>4</v>
      </c>
      <c r="C77">
        <v>94.780490378463483</v>
      </c>
      <c r="D77">
        <v>81.191967450602206</v>
      </c>
      <c r="E77">
        <v>167.18522726249495</v>
      </c>
      <c r="F77">
        <v>76.302420035736517</v>
      </c>
      <c r="G77">
        <v>150.27069136925968</v>
      </c>
      <c r="H77">
        <v>131.01026493487436</v>
      </c>
      <c r="I77">
        <v>132.98530734895138</v>
      </c>
      <c r="J77">
        <v>146.48692127667908</v>
      </c>
      <c r="K77">
        <v>123.91033857493953</v>
      </c>
      <c r="L77">
        <v>145.97573607892099</v>
      </c>
      <c r="M77">
        <v>135.31441489317049</v>
      </c>
      <c r="N77">
        <v>145.05894661246205</v>
      </c>
      <c r="O77">
        <v>148.15413912716988</v>
      </c>
      <c r="P77">
        <v>148.00762814997009</v>
      </c>
      <c r="Q77">
        <v>156.84505756700418</v>
      </c>
      <c r="R77">
        <v>156.13243695566126</v>
      </c>
      <c r="S77">
        <v>162.7403663971765</v>
      </c>
      <c r="T77">
        <v>164.00656088984968</v>
      </c>
      <c r="U77">
        <v>165.81871456445765</v>
      </c>
      <c r="V77">
        <v>167.66531845794637</v>
      </c>
      <c r="W77">
        <v>167.09380082177353</v>
      </c>
      <c r="X77">
        <v>168.75660833971298</v>
      </c>
      <c r="Y77">
        <v>169.06814122657099</v>
      </c>
      <c r="Z77">
        <v>170.9597930460786</v>
      </c>
      <c r="AA77">
        <v>172.97797826594223</v>
      </c>
      <c r="AB77">
        <v>175.00540333574395</v>
      </c>
      <c r="AC77">
        <v>177.43103990420661</v>
      </c>
      <c r="AD77">
        <v>179.10495316281526</v>
      </c>
      <c r="AE77">
        <v>180.85516659717831</v>
      </c>
      <c r="AF77">
        <v>182.07558597766015</v>
      </c>
      <c r="AG77">
        <v>183.15615042973656</v>
      </c>
      <c r="AH77">
        <v>184.17039343786342</v>
      </c>
      <c r="AI77">
        <v>185.04717894117067</v>
      </c>
      <c r="AJ77">
        <v>186.05811217981341</v>
      </c>
      <c r="AK77">
        <v>187.02153560680244</v>
      </c>
      <c r="AL77">
        <v>188.08555683063832</v>
      </c>
      <c r="AM77">
        <v>189.17223949704203</v>
      </c>
      <c r="AN77">
        <v>190.26547200431506</v>
      </c>
      <c r="AO77">
        <v>191.37105460989505</v>
      </c>
      <c r="AP77">
        <v>192.40593757646965</v>
      </c>
      <c r="AQ77">
        <v>193.38937111684595</v>
      </c>
      <c r="AR77">
        <v>194.2734621942019</v>
      </c>
      <c r="AS77">
        <v>195.07468949979588</v>
      </c>
      <c r="AT77">
        <v>195.8085246209547</v>
      </c>
      <c r="AU77">
        <v>196.49226334771319</v>
      </c>
      <c r="AV77">
        <v>197.16354858824496</v>
      </c>
      <c r="AW77">
        <v>197.83066719025936</v>
      </c>
      <c r="AX77">
        <v>198.50879812484445</v>
      </c>
      <c r="AY77">
        <v>199.19127764932986</v>
      </c>
    </row>
    <row r="78" spans="1:51" x14ac:dyDescent="0.2">
      <c r="A78" t="s">
        <v>77</v>
      </c>
      <c r="B78" t="s">
        <v>4</v>
      </c>
      <c r="C78">
        <v>327.77749843059348</v>
      </c>
      <c r="D78">
        <v>341.88774579024431</v>
      </c>
      <c r="E78">
        <v>764.49424346594037</v>
      </c>
      <c r="F78">
        <v>375.12524383808847</v>
      </c>
      <c r="G78">
        <v>598.30498165313418</v>
      </c>
      <c r="H78">
        <v>545.70291655475557</v>
      </c>
      <c r="I78">
        <v>628.58049255078868</v>
      </c>
      <c r="J78">
        <v>702.90500657780728</v>
      </c>
      <c r="K78">
        <v>628.62233429297419</v>
      </c>
      <c r="L78">
        <v>727.49841321702945</v>
      </c>
      <c r="M78">
        <v>693.7716824901197</v>
      </c>
      <c r="N78">
        <v>728.90164088974495</v>
      </c>
      <c r="O78">
        <v>721.65459007772438</v>
      </c>
      <c r="P78">
        <v>707.41324901195605</v>
      </c>
      <c r="Q78">
        <v>732.89596332671022</v>
      </c>
      <c r="R78">
        <v>729.38562900612408</v>
      </c>
      <c r="S78">
        <v>759.85230246729884</v>
      </c>
      <c r="T78">
        <v>771.7318749950656</v>
      </c>
      <c r="U78">
        <v>788.59538171999327</v>
      </c>
      <c r="V78">
        <v>804.09092559155806</v>
      </c>
      <c r="W78">
        <v>808.54084038724568</v>
      </c>
      <c r="X78">
        <v>818.49999808579855</v>
      </c>
      <c r="Y78">
        <v>820.46098782393517</v>
      </c>
      <c r="Z78">
        <v>827.05401547094789</v>
      </c>
      <c r="AA78">
        <v>832.99410699674877</v>
      </c>
      <c r="AB78">
        <v>839.16998637285008</v>
      </c>
      <c r="AC78">
        <v>847.41808848671587</v>
      </c>
      <c r="AD78">
        <v>853.92287718339378</v>
      </c>
      <c r="AE78">
        <v>862.0232065962656</v>
      </c>
      <c r="AF78">
        <v>869.06628196586416</v>
      </c>
      <c r="AG78">
        <v>876.24033362049806</v>
      </c>
      <c r="AH78">
        <v>883.16964556903406</v>
      </c>
      <c r="AI78">
        <v>889.17878107135095</v>
      </c>
      <c r="AJ78">
        <v>894.97110485788573</v>
      </c>
      <c r="AK78">
        <v>899.76233507042559</v>
      </c>
      <c r="AL78">
        <v>904.28659401551533</v>
      </c>
      <c r="AM78">
        <v>908.49622988014755</v>
      </c>
      <c r="AN78">
        <v>912.67957631304478</v>
      </c>
      <c r="AO78">
        <v>917.10548499155948</v>
      </c>
      <c r="AP78">
        <v>921.60789811661721</v>
      </c>
      <c r="AQ78">
        <v>926.27810499231953</v>
      </c>
      <c r="AR78">
        <v>930.83734529143692</v>
      </c>
      <c r="AS78">
        <v>935.21023762823427</v>
      </c>
      <c r="AT78">
        <v>939.2970962072053</v>
      </c>
      <c r="AU78">
        <v>943.04852170169818</v>
      </c>
      <c r="AV78">
        <v>946.54257362178225</v>
      </c>
      <c r="AW78">
        <v>949.80353636787981</v>
      </c>
      <c r="AX78">
        <v>952.93067726994695</v>
      </c>
      <c r="AY78">
        <v>955.96400403402765</v>
      </c>
    </row>
    <row r="79" spans="1:51" x14ac:dyDescent="0.2">
      <c r="A79" t="s">
        <v>78</v>
      </c>
      <c r="B79" t="s">
        <v>4</v>
      </c>
      <c r="C79">
        <v>-35.386681666977246</v>
      </c>
      <c r="D79">
        <v>77.784119151677245</v>
      </c>
      <c r="E79">
        <v>96.876137949294773</v>
      </c>
      <c r="F79">
        <v>-29.4921801252652</v>
      </c>
      <c r="G79">
        <v>-1.6448201225409971</v>
      </c>
      <c r="H79">
        <v>40.996177248014675</v>
      </c>
      <c r="I79">
        <v>58.839087314194778</v>
      </c>
      <c r="J79">
        <v>72.503362238038932</v>
      </c>
      <c r="K79">
        <v>70.21683835932312</v>
      </c>
      <c r="L79">
        <v>102.23327879289612</v>
      </c>
      <c r="M79">
        <v>111.09474136586854</v>
      </c>
      <c r="N79">
        <v>112.85286121019786</v>
      </c>
      <c r="O79">
        <v>109.43989451566756</v>
      </c>
      <c r="P79">
        <v>101.40473951211007</v>
      </c>
      <c r="Q79">
        <v>100.20456914552635</v>
      </c>
      <c r="R79">
        <v>94.22333078101147</v>
      </c>
      <c r="S79">
        <v>93.028737273007678</v>
      </c>
      <c r="T79">
        <v>92.90156957614785</v>
      </c>
      <c r="U79">
        <v>95.186094677626315</v>
      </c>
      <c r="V79">
        <v>100.16003393165234</v>
      </c>
      <c r="W79">
        <v>104.11358651015674</v>
      </c>
      <c r="X79">
        <v>108.70940961342185</v>
      </c>
      <c r="Y79">
        <v>111.4327486813809</v>
      </c>
      <c r="Z79">
        <v>113.10541297649867</v>
      </c>
      <c r="AA79">
        <v>113.46893034420042</v>
      </c>
      <c r="AB79">
        <v>112.58630070074213</v>
      </c>
      <c r="AC79">
        <v>111.62092316264118</v>
      </c>
      <c r="AD79">
        <v>110.58063583457502</v>
      </c>
      <c r="AE79">
        <v>110.31775656510543</v>
      </c>
      <c r="AF79">
        <v>110.73142874055624</v>
      </c>
      <c r="AG79">
        <v>111.80146317641952</v>
      </c>
      <c r="AH79">
        <v>113.36114110862331</v>
      </c>
      <c r="AI79">
        <v>114.97548473122283</v>
      </c>
      <c r="AJ79">
        <v>116.49749692003347</v>
      </c>
      <c r="AK79">
        <v>117.63688395765332</v>
      </c>
      <c r="AL79">
        <v>118.38331575089775</v>
      </c>
      <c r="AM79">
        <v>118.76797287678728</v>
      </c>
      <c r="AN79">
        <v>118.89204945807673</v>
      </c>
      <c r="AO79">
        <v>118.93183443320773</v>
      </c>
      <c r="AP79">
        <v>118.99187463111285</v>
      </c>
      <c r="AQ79">
        <v>119.19087983471238</v>
      </c>
      <c r="AR79">
        <v>119.55786430989006</v>
      </c>
      <c r="AS79">
        <v>120.08400949351741</v>
      </c>
      <c r="AT79">
        <v>120.72119470149754</v>
      </c>
      <c r="AU79">
        <v>121.39035577727117</v>
      </c>
      <c r="AV79">
        <v>122.02730333258869</v>
      </c>
      <c r="AW79">
        <v>122.57378098164931</v>
      </c>
      <c r="AX79">
        <v>123.00774826804431</v>
      </c>
      <c r="AY79">
        <v>123.33314084697284</v>
      </c>
    </row>
    <row r="80" spans="1:51" x14ac:dyDescent="0.2">
      <c r="A80" t="s">
        <v>79</v>
      </c>
      <c r="B80" t="s">
        <v>4</v>
      </c>
      <c r="C80">
        <v>85.776128876145805</v>
      </c>
      <c r="D80">
        <v>227.38259980968891</v>
      </c>
      <c r="E80">
        <v>230.00933516512288</v>
      </c>
      <c r="F80">
        <v>-171.13818324225701</v>
      </c>
      <c r="G80">
        <v>-170.0585293720772</v>
      </c>
      <c r="H80">
        <v>-48.958720502004397</v>
      </c>
      <c r="I80">
        <v>37.325788625192807</v>
      </c>
      <c r="J80">
        <v>100.31191769996086</v>
      </c>
      <c r="K80">
        <v>101.61996346813932</v>
      </c>
      <c r="L80">
        <v>195.07028572983134</v>
      </c>
      <c r="M80">
        <v>238.68504307261824</v>
      </c>
      <c r="N80">
        <v>251.04335008713238</v>
      </c>
      <c r="O80">
        <v>239.97633321203693</v>
      </c>
      <c r="P80">
        <v>211.98245885870747</v>
      </c>
      <c r="Q80">
        <v>201.64978125265571</v>
      </c>
      <c r="R80">
        <v>178.54471227057672</v>
      </c>
      <c r="S80">
        <v>165.9901188277816</v>
      </c>
      <c r="T80">
        <v>158.87159386540139</v>
      </c>
      <c r="U80">
        <v>162.29640604488779</v>
      </c>
      <c r="V80">
        <v>178.1883968771287</v>
      </c>
      <c r="W80">
        <v>195.02680912314756</v>
      </c>
      <c r="X80">
        <v>214.35925642823963</v>
      </c>
      <c r="Y80">
        <v>227.72885627651002</v>
      </c>
      <c r="Z80">
        <v>235.45445199141855</v>
      </c>
      <c r="AA80">
        <v>236.76058996556466</v>
      </c>
      <c r="AB80">
        <v>232.26486347488094</v>
      </c>
      <c r="AC80">
        <v>226.27988663711733</v>
      </c>
      <c r="AD80">
        <v>220.21675186817677</v>
      </c>
      <c r="AE80">
        <v>217.16139538572804</v>
      </c>
      <c r="AF80">
        <v>217.3125185177926</v>
      </c>
      <c r="AG80">
        <v>220.43608473025228</v>
      </c>
      <c r="AH80">
        <v>225.73794768300993</v>
      </c>
      <c r="AI80">
        <v>231.60141370477723</v>
      </c>
      <c r="AJ80">
        <v>237.20227964337846</v>
      </c>
      <c r="AK80">
        <v>241.4890905467665</v>
      </c>
      <c r="AL80">
        <v>244.23659867662025</v>
      </c>
      <c r="AM80">
        <v>245.49457316137352</v>
      </c>
      <c r="AN80">
        <v>245.58648703351474</v>
      </c>
      <c r="AO80">
        <v>245.12866699692887</v>
      </c>
      <c r="AP80">
        <v>244.60348136688771</v>
      </c>
      <c r="AQ80">
        <v>244.52663825014218</v>
      </c>
      <c r="AR80">
        <v>245.14167210639943</v>
      </c>
      <c r="AS80">
        <v>246.49895755607992</v>
      </c>
      <c r="AT80">
        <v>248.45269532877043</v>
      </c>
      <c r="AU80">
        <v>250.69393760945573</v>
      </c>
      <c r="AV80">
        <v>252.9124394718155</v>
      </c>
      <c r="AW80">
        <v>254.82246087342355</v>
      </c>
      <c r="AX80">
        <v>256.27509596116056</v>
      </c>
      <c r="AY80">
        <v>257.25260541383585</v>
      </c>
    </row>
    <row r="81" spans="1:51" x14ac:dyDescent="0.2">
      <c r="A81" t="s">
        <v>80</v>
      </c>
      <c r="B81" t="s">
        <v>4</v>
      </c>
      <c r="C81">
        <v>458.04652465170022</v>
      </c>
      <c r="D81">
        <v>366.53284533453501</v>
      </c>
      <c r="E81">
        <v>944.10694498120358</v>
      </c>
      <c r="F81">
        <v>549.15569295645571</v>
      </c>
      <c r="G81">
        <v>960.68958659572286</v>
      </c>
      <c r="H81">
        <v>1090.7135554106694</v>
      </c>
      <c r="I81">
        <v>1183.482616675155</v>
      </c>
      <c r="J81">
        <v>1339.3262509157316</v>
      </c>
      <c r="K81">
        <v>1232.7866030847133</v>
      </c>
      <c r="L81">
        <v>1342.9786179041184</v>
      </c>
      <c r="M81">
        <v>1274.7845698270373</v>
      </c>
      <c r="N81">
        <v>1262.6521853630527</v>
      </c>
      <c r="O81">
        <v>1240.9176651106804</v>
      </c>
      <c r="P81">
        <v>1202.0362820355508</v>
      </c>
      <c r="Q81">
        <v>1242.3298734439829</v>
      </c>
      <c r="R81">
        <v>1254.5236811344066</v>
      </c>
      <c r="S81">
        <v>1317.3382209572983</v>
      </c>
      <c r="T81">
        <v>1368.0702547736255</v>
      </c>
      <c r="U81">
        <v>1415.9187098756609</v>
      </c>
      <c r="V81">
        <v>1459.65506659318</v>
      </c>
      <c r="W81">
        <v>1475.5211537036175</v>
      </c>
      <c r="X81">
        <v>1489.4689362997865</v>
      </c>
      <c r="Y81">
        <v>1487.3557640435031</v>
      </c>
      <c r="Z81">
        <v>1487.3960228565081</v>
      </c>
      <c r="AA81">
        <v>1490.1515112028503</v>
      </c>
      <c r="AB81">
        <v>1496.6308572743505</v>
      </c>
      <c r="AC81">
        <v>1512.0029783255816</v>
      </c>
      <c r="AD81">
        <v>1529.5458304257859</v>
      </c>
      <c r="AE81">
        <v>1551.5187849896772</v>
      </c>
      <c r="AF81">
        <v>1572.8138040033518</v>
      </c>
      <c r="AG81">
        <v>1592.405527763126</v>
      </c>
      <c r="AH81">
        <v>1609.4344231329062</v>
      </c>
      <c r="AI81">
        <v>1622.3647226899445</v>
      </c>
      <c r="AJ81">
        <v>1632.7329298155453</v>
      </c>
      <c r="AK81">
        <v>1640.3678621192528</v>
      </c>
      <c r="AL81">
        <v>1647.0361598910135</v>
      </c>
      <c r="AM81">
        <v>1653.6857221625369</v>
      </c>
      <c r="AN81">
        <v>1661.111399102693</v>
      </c>
      <c r="AO81">
        <v>1669.9989677497333</v>
      </c>
      <c r="AP81">
        <v>1679.999873012966</v>
      </c>
      <c r="AQ81">
        <v>1690.8811255895955</v>
      </c>
      <c r="AR81">
        <v>1701.8292712059929</v>
      </c>
      <c r="AS81">
        <v>1712.2269923126307</v>
      </c>
      <c r="AT81">
        <v>1721.6234611206289</v>
      </c>
      <c r="AU81">
        <v>1729.7727034902946</v>
      </c>
      <c r="AV81">
        <v>1736.8328958160271</v>
      </c>
      <c r="AW81">
        <v>1743.0439971929209</v>
      </c>
      <c r="AX81">
        <v>1748.8122016247585</v>
      </c>
      <c r="AY81">
        <v>1754.4714022368375</v>
      </c>
    </row>
    <row r="82" spans="1:51" x14ac:dyDescent="0.2">
      <c r="A82" t="s">
        <v>81</v>
      </c>
      <c r="B82" t="s">
        <v>4</v>
      </c>
      <c r="C82">
        <v>45.291341643354919</v>
      </c>
      <c r="D82">
        <v>71.080108050077001</v>
      </c>
      <c r="E82">
        <v>157.98265106323365</v>
      </c>
      <c r="F82">
        <v>57.758347514296716</v>
      </c>
      <c r="G82">
        <v>126.08149658894209</v>
      </c>
      <c r="H82">
        <v>90.07198472753845</v>
      </c>
      <c r="I82">
        <v>109.65313416032802</v>
      </c>
      <c r="J82">
        <v>109.38116391086302</v>
      </c>
      <c r="K82">
        <v>87.416928497346817</v>
      </c>
      <c r="L82">
        <v>105.92118439951282</v>
      </c>
      <c r="M82">
        <v>91.79539246880266</v>
      </c>
      <c r="N82">
        <v>103.45349295721077</v>
      </c>
      <c r="O82">
        <v>101.93752749027162</v>
      </c>
      <c r="P82">
        <v>104.32012844031772</v>
      </c>
      <c r="Q82">
        <v>113.33559852314983</v>
      </c>
      <c r="R82">
        <v>114.79020540873566</v>
      </c>
      <c r="S82">
        <v>123.80477828076297</v>
      </c>
      <c r="T82">
        <v>125.90086031976281</v>
      </c>
      <c r="U82">
        <v>129.77437946772804</v>
      </c>
      <c r="V82">
        <v>131.98514672900129</v>
      </c>
      <c r="W82">
        <v>132.20104882016022</v>
      </c>
      <c r="X82">
        <v>134.00325862650655</v>
      </c>
      <c r="Y82">
        <v>134.23096929497552</v>
      </c>
      <c r="Z82">
        <v>136.38497793047486</v>
      </c>
      <c r="AA82">
        <v>138.49226982546875</v>
      </c>
      <c r="AB82">
        <v>141.14913889125418</v>
      </c>
      <c r="AC82">
        <v>144.24269339314404</v>
      </c>
      <c r="AD82">
        <v>146.8117689972303</v>
      </c>
      <c r="AE82">
        <v>149.52445843414054</v>
      </c>
      <c r="AF82">
        <v>151.5772270048696</v>
      </c>
      <c r="AG82">
        <v>153.43295963576</v>
      </c>
      <c r="AH82">
        <v>154.98806513259262</v>
      </c>
      <c r="AI82">
        <v>156.30171839862962</v>
      </c>
      <c r="AJ82">
        <v>157.63576349331842</v>
      </c>
      <c r="AK82">
        <v>158.87781858270071</v>
      </c>
      <c r="AL82">
        <v>160.24697031411625</v>
      </c>
      <c r="AM82">
        <v>161.66317923374569</v>
      </c>
      <c r="AN82">
        <v>163.15531728558622</v>
      </c>
      <c r="AO82">
        <v>164.69574623312468</v>
      </c>
      <c r="AP82">
        <v>166.19403513210318</v>
      </c>
      <c r="AQ82">
        <v>167.64191108880743</v>
      </c>
      <c r="AR82">
        <v>168.96377023763699</v>
      </c>
      <c r="AS82">
        <v>170.16791757272026</v>
      </c>
      <c r="AT82">
        <v>171.25506603307457</v>
      </c>
      <c r="AU82">
        <v>172.25048581539849</v>
      </c>
      <c r="AV82">
        <v>173.19833151114017</v>
      </c>
      <c r="AW82">
        <v>174.1207726236762</v>
      </c>
      <c r="AX82">
        <v>175.0475726574517</v>
      </c>
      <c r="AY82">
        <v>175.98056637388706</v>
      </c>
    </row>
    <row r="83" spans="1:51" x14ac:dyDescent="0.2">
      <c r="A83" t="s">
        <v>82</v>
      </c>
      <c r="B83" t="s">
        <v>4</v>
      </c>
      <c r="C83">
        <v>-19.495702578737824</v>
      </c>
      <c r="D83">
        <v>-29.842394551932532</v>
      </c>
      <c r="E83">
        <v>42.78031765686702</v>
      </c>
      <c r="F83">
        <v>-13.282442739058066</v>
      </c>
      <c r="G83">
        <v>32.271918631417023</v>
      </c>
      <c r="H83">
        <v>16.215853398059977</v>
      </c>
      <c r="I83">
        <v>26.665593772878694</v>
      </c>
      <c r="J83">
        <v>40.421044444310247</v>
      </c>
      <c r="K83">
        <v>26.53181020158766</v>
      </c>
      <c r="L83">
        <v>41.382898044471936</v>
      </c>
      <c r="M83">
        <v>33.002117557559366</v>
      </c>
      <c r="N83">
        <v>39.302958021293129</v>
      </c>
      <c r="O83">
        <v>39.869043262247921</v>
      </c>
      <c r="P83">
        <v>39.253791577869734</v>
      </c>
      <c r="Q83">
        <v>45.214678752569718</v>
      </c>
      <c r="R83">
        <v>45.471980448529777</v>
      </c>
      <c r="S83">
        <v>51.528330075172612</v>
      </c>
      <c r="T83">
        <v>54.114164409865275</v>
      </c>
      <c r="U83">
        <v>57.479977362077548</v>
      </c>
      <c r="V83">
        <v>60.634866796441472</v>
      </c>
      <c r="W83">
        <v>61.870015208438005</v>
      </c>
      <c r="X83">
        <v>64.120578410800945</v>
      </c>
      <c r="Y83">
        <v>64.90042179431174</v>
      </c>
      <c r="Z83">
        <v>66.458014720590128</v>
      </c>
      <c r="AA83">
        <v>67.921237468661985</v>
      </c>
      <c r="AB83">
        <v>69.506256311072931</v>
      </c>
      <c r="AC83">
        <v>71.56391480831229</v>
      </c>
      <c r="AD83">
        <v>73.366398404881181</v>
      </c>
      <c r="AE83">
        <v>75.441667581188852</v>
      </c>
      <c r="AF83">
        <v>77.253395235772174</v>
      </c>
      <c r="AG83">
        <v>78.979107536500763</v>
      </c>
      <c r="AH83">
        <v>80.560058700959416</v>
      </c>
      <c r="AI83">
        <v>81.911193413095091</v>
      </c>
      <c r="AJ83">
        <v>83.20774361021347</v>
      </c>
      <c r="AK83">
        <v>84.347878781254693</v>
      </c>
      <c r="AL83">
        <v>85.478783006628177</v>
      </c>
      <c r="AM83">
        <v>86.586703381584996</v>
      </c>
      <c r="AN83">
        <v>87.704177737025375</v>
      </c>
      <c r="AO83">
        <v>88.85932743035761</v>
      </c>
      <c r="AP83">
        <v>90.007700488610212</v>
      </c>
      <c r="AQ83">
        <v>91.159288755011033</v>
      </c>
      <c r="AR83">
        <v>92.264636411067045</v>
      </c>
      <c r="AS83">
        <v>93.314000599157538</v>
      </c>
      <c r="AT83">
        <v>94.294351335735101</v>
      </c>
      <c r="AU83">
        <v>95.201006403443174</v>
      </c>
      <c r="AV83">
        <v>96.051686859755534</v>
      </c>
      <c r="AW83">
        <v>96.854204891526507</v>
      </c>
      <c r="AX83">
        <v>97.629413139029793</v>
      </c>
      <c r="AY83">
        <v>98.38663350752482</v>
      </c>
    </row>
    <row r="84" spans="1:51" x14ac:dyDescent="0.2">
      <c r="A84" t="s">
        <v>83</v>
      </c>
      <c r="B84" t="s">
        <v>4</v>
      </c>
      <c r="C84">
        <v>-73.953390280694236</v>
      </c>
      <c r="D84">
        <v>57.799894068199237</v>
      </c>
      <c r="E84">
        <v>352.11236413035641</v>
      </c>
      <c r="F84">
        <v>153.06388620155377</v>
      </c>
      <c r="G84">
        <v>253.4480857926913</v>
      </c>
      <c r="H84">
        <v>230.15826328128523</v>
      </c>
      <c r="I84">
        <v>283.8308909608225</v>
      </c>
      <c r="J84">
        <v>317.20896742418205</v>
      </c>
      <c r="K84">
        <v>275.03486982827854</v>
      </c>
      <c r="L84">
        <v>323.3140643674322</v>
      </c>
      <c r="M84">
        <v>307.47750476773922</v>
      </c>
      <c r="N84">
        <v>330.86663543798841</v>
      </c>
      <c r="O84">
        <v>332.71227582681826</v>
      </c>
      <c r="P84">
        <v>332.33807273054924</v>
      </c>
      <c r="Q84">
        <v>351.23310585391982</v>
      </c>
      <c r="R84">
        <v>355.3044277317594</v>
      </c>
      <c r="S84">
        <v>376.46345792892413</v>
      </c>
      <c r="T84">
        <v>387.52809809109647</v>
      </c>
      <c r="U84">
        <v>401.24248891432052</v>
      </c>
      <c r="V84">
        <v>413.77404503787869</v>
      </c>
      <c r="W84">
        <v>420.42088396608295</v>
      </c>
      <c r="X84">
        <v>429.2488425797809</v>
      </c>
      <c r="Y84">
        <v>433.48160598824433</v>
      </c>
      <c r="Z84">
        <v>439.94413717852547</v>
      </c>
      <c r="AA84">
        <v>446.12598364379431</v>
      </c>
      <c r="AB84">
        <v>452.8050455253366</v>
      </c>
      <c r="AC84">
        <v>460.82330099407778</v>
      </c>
      <c r="AD84">
        <v>468.13037248270456</v>
      </c>
      <c r="AE84">
        <v>476.19490910794667</v>
      </c>
      <c r="AF84">
        <v>483.4380708262932</v>
      </c>
      <c r="AG84">
        <v>490.38814231985941</v>
      </c>
      <c r="AH84">
        <v>496.83018031442992</v>
      </c>
      <c r="AI84">
        <v>502.5346899874346</v>
      </c>
      <c r="AJ84">
        <v>507.97109137147322</v>
      </c>
      <c r="AK84">
        <v>512.8409804890739</v>
      </c>
      <c r="AL84">
        <v>517.57792655380558</v>
      </c>
      <c r="AM84">
        <v>522.16038025348746</v>
      </c>
      <c r="AN84">
        <v>526.72414660321147</v>
      </c>
      <c r="AO84">
        <v>531.37276241175823</v>
      </c>
      <c r="AP84">
        <v>535.9972865817349</v>
      </c>
      <c r="AQ84">
        <v>540.62390133218923</v>
      </c>
      <c r="AR84">
        <v>545.09571706630413</v>
      </c>
      <c r="AS84">
        <v>549.36768314976712</v>
      </c>
      <c r="AT84">
        <v>553.38463043685033</v>
      </c>
      <c r="AU84">
        <v>557.12671747403772</v>
      </c>
      <c r="AV84">
        <v>560.6450348031567</v>
      </c>
      <c r="AW84">
        <v>563.96971405221541</v>
      </c>
      <c r="AX84">
        <v>567.17093894025254</v>
      </c>
      <c r="AY84">
        <v>570.28447156062123</v>
      </c>
    </row>
    <row r="85" spans="1:51" x14ac:dyDescent="0.2">
      <c r="A85" t="s">
        <v>84</v>
      </c>
      <c r="B85" t="s">
        <v>4</v>
      </c>
      <c r="C85">
        <v>100.93076566109228</v>
      </c>
      <c r="D85">
        <v>44.370498710470315</v>
      </c>
      <c r="E85">
        <v>149.62013095224026</v>
      </c>
      <c r="F85">
        <v>33.440303087529756</v>
      </c>
      <c r="G85">
        <v>113.41824084589385</v>
      </c>
      <c r="H85">
        <v>134.74017449707668</v>
      </c>
      <c r="I85">
        <v>134.87048352325394</v>
      </c>
      <c r="J85">
        <v>170.7352713189143</v>
      </c>
      <c r="K85">
        <v>147.89813808757819</v>
      </c>
      <c r="L85">
        <v>178.12394533271819</v>
      </c>
      <c r="M85">
        <v>165.03134016264289</v>
      </c>
      <c r="N85">
        <v>161.9876441316863</v>
      </c>
      <c r="O85">
        <v>159.0875508081858</v>
      </c>
      <c r="P85">
        <v>148.46078454645038</v>
      </c>
      <c r="Q85">
        <v>155.26847390970744</v>
      </c>
      <c r="R85">
        <v>152.97113693132985</v>
      </c>
      <c r="S85">
        <v>161.35433864374576</v>
      </c>
      <c r="T85">
        <v>167.60542742222455</v>
      </c>
      <c r="U85">
        <v>173.59625609572174</v>
      </c>
      <c r="V85">
        <v>180.66919975489694</v>
      </c>
      <c r="W85">
        <v>182.55504037600409</v>
      </c>
      <c r="X85">
        <v>185.35469477885323</v>
      </c>
      <c r="Y85">
        <v>185.00018920688231</v>
      </c>
      <c r="Z85">
        <v>184.85241875400783</v>
      </c>
      <c r="AA85">
        <v>184.81396361478582</v>
      </c>
      <c r="AB85">
        <v>184.71869151118295</v>
      </c>
      <c r="AC85">
        <v>186.09581688800441</v>
      </c>
      <c r="AD85">
        <v>187.57873787207558</v>
      </c>
      <c r="AE85">
        <v>190.03850816081274</v>
      </c>
      <c r="AF85">
        <v>192.58935876563507</v>
      </c>
      <c r="AG85">
        <v>195.08975606863984</v>
      </c>
      <c r="AH85">
        <v>197.43695196103954</v>
      </c>
      <c r="AI85">
        <v>199.17813239317783</v>
      </c>
      <c r="AJ85">
        <v>200.58639101279331</v>
      </c>
      <c r="AK85">
        <v>201.49270877257177</v>
      </c>
      <c r="AL85">
        <v>202.18201188582466</v>
      </c>
      <c r="AM85">
        <v>202.79784876268221</v>
      </c>
      <c r="AN85">
        <v>203.46194849534893</v>
      </c>
      <c r="AO85">
        <v>204.33990604815784</v>
      </c>
      <c r="AP85">
        <v>205.38360388236788</v>
      </c>
      <c r="AQ85">
        <v>206.6048199655439</v>
      </c>
      <c r="AR85">
        <v>207.88835723404486</v>
      </c>
      <c r="AS85">
        <v>209.14633201930042</v>
      </c>
      <c r="AT85">
        <v>210.30825994991932</v>
      </c>
      <c r="AU85">
        <v>211.31399083936583</v>
      </c>
      <c r="AV85">
        <v>212.17393120619636</v>
      </c>
      <c r="AW85">
        <v>212.90156359452843</v>
      </c>
      <c r="AX85">
        <v>213.54820830703312</v>
      </c>
      <c r="AY85">
        <v>214.1604036168159</v>
      </c>
    </row>
    <row r="86" spans="1:51" x14ac:dyDescent="0.2">
      <c r="A86" t="s">
        <v>85</v>
      </c>
      <c r="B86" t="s">
        <v>4</v>
      </c>
      <c r="C86">
        <v>26.955582739525731</v>
      </c>
      <c r="D86">
        <v>-104.02896136768494</v>
      </c>
      <c r="E86">
        <v>67.156354382421213</v>
      </c>
      <c r="F86">
        <v>-71.139128124591792</v>
      </c>
      <c r="G86">
        <v>70.61909371541077</v>
      </c>
      <c r="H86">
        <v>63.402089122513253</v>
      </c>
      <c r="I86">
        <v>71.159093777715</v>
      </c>
      <c r="J86">
        <v>117.91958433621541</v>
      </c>
      <c r="K86">
        <v>80.178502351742907</v>
      </c>
      <c r="L86">
        <v>121.23973396138669</v>
      </c>
      <c r="M86">
        <v>100.55205272166569</v>
      </c>
      <c r="N86">
        <v>113.67829531044856</v>
      </c>
      <c r="O86">
        <v>123.74606724575946</v>
      </c>
      <c r="P86">
        <v>126.37568724385795</v>
      </c>
      <c r="Q86">
        <v>150.26410371953281</v>
      </c>
      <c r="R86">
        <v>157.07910377045471</v>
      </c>
      <c r="S86">
        <v>177.81055833346846</v>
      </c>
      <c r="T86">
        <v>190.21186742357301</v>
      </c>
      <c r="U86">
        <v>201.92649815744747</v>
      </c>
      <c r="V86">
        <v>213.70198130014333</v>
      </c>
      <c r="W86">
        <v>218.97587015612416</v>
      </c>
      <c r="X86">
        <v>227.02529879072191</v>
      </c>
      <c r="Y86">
        <v>231.43014602573399</v>
      </c>
      <c r="Z86">
        <v>237.75901692764467</v>
      </c>
      <c r="AA86">
        <v>244.58852667147139</v>
      </c>
      <c r="AB86">
        <v>251.73903938135336</v>
      </c>
      <c r="AC86">
        <v>260.56470783294634</v>
      </c>
      <c r="AD86">
        <v>268.69027895916668</v>
      </c>
      <c r="AE86">
        <v>277.32803348781977</v>
      </c>
      <c r="AF86">
        <v>285.0348133841905</v>
      </c>
      <c r="AG86">
        <v>292.0411316239539</v>
      </c>
      <c r="AH86">
        <v>298.39861634194659</v>
      </c>
      <c r="AI86">
        <v>303.8599309198583</v>
      </c>
      <c r="AJ86">
        <v>309.06949014665616</v>
      </c>
      <c r="AK86">
        <v>313.86288020690347</v>
      </c>
      <c r="AL86">
        <v>318.66890161037065</v>
      </c>
      <c r="AM86">
        <v>323.51154221309378</v>
      </c>
      <c r="AN86">
        <v>328.41387389832084</v>
      </c>
      <c r="AO86">
        <v>333.42976980989636</v>
      </c>
      <c r="AP86">
        <v>338.37570155521695</v>
      </c>
      <c r="AQ86">
        <v>343.23538727143568</v>
      </c>
      <c r="AR86">
        <v>347.85865653600996</v>
      </c>
      <c r="AS86">
        <v>352.20362825215847</v>
      </c>
      <c r="AT86">
        <v>356.25543156580221</v>
      </c>
      <c r="AU86">
        <v>360.01772300569161</v>
      </c>
      <c r="AV86">
        <v>363.56738898279656</v>
      </c>
      <c r="AW86">
        <v>366.95041482173144</v>
      </c>
      <c r="AX86">
        <v>370.2391997656095</v>
      </c>
      <c r="AY86">
        <v>373.46986386671028</v>
      </c>
    </row>
    <row r="87" spans="1:51" x14ac:dyDescent="0.2">
      <c r="A87" t="s">
        <v>86</v>
      </c>
      <c r="B87" t="s">
        <v>4</v>
      </c>
      <c r="C87">
        <v>168.03311809018058</v>
      </c>
      <c r="D87">
        <v>39.356524881219904</v>
      </c>
      <c r="E87">
        <v>321.54462416971842</v>
      </c>
      <c r="F87">
        <v>135.5659062847825</v>
      </c>
      <c r="G87">
        <v>274.68010198369632</v>
      </c>
      <c r="H87">
        <v>324.15622654338273</v>
      </c>
      <c r="I87">
        <v>335.59846679733403</v>
      </c>
      <c r="J87">
        <v>415.98505712158561</v>
      </c>
      <c r="K87">
        <v>371.54605155896832</v>
      </c>
      <c r="L87">
        <v>430.73348625672668</v>
      </c>
      <c r="M87">
        <v>415.2929110014897</v>
      </c>
      <c r="N87">
        <v>417.77100628259586</v>
      </c>
      <c r="O87">
        <v>421.54465973767719</v>
      </c>
      <c r="P87">
        <v>406.86163684896826</v>
      </c>
      <c r="Q87">
        <v>425.52895830085134</v>
      </c>
      <c r="R87">
        <v>426.48564142864842</v>
      </c>
      <c r="S87">
        <v>446.99880141050431</v>
      </c>
      <c r="T87">
        <v>463.80503919272894</v>
      </c>
      <c r="U87">
        <v>479.37048625870648</v>
      </c>
      <c r="V87">
        <v>497.43213255655769</v>
      </c>
      <c r="W87">
        <v>505.3338141971966</v>
      </c>
      <c r="X87">
        <v>514.80937410530009</v>
      </c>
      <c r="Y87">
        <v>518.22758470744441</v>
      </c>
      <c r="Z87">
        <v>521.85278694985129</v>
      </c>
      <c r="AA87">
        <v>525.87474117479167</v>
      </c>
      <c r="AB87">
        <v>529.70052892701267</v>
      </c>
      <c r="AC87">
        <v>536.2783748647978</v>
      </c>
      <c r="AD87">
        <v>542.84781175726005</v>
      </c>
      <c r="AE87">
        <v>550.98403266636035</v>
      </c>
      <c r="AF87">
        <v>559.05704341355704</v>
      </c>
      <c r="AG87">
        <v>566.77886623312827</v>
      </c>
      <c r="AH87">
        <v>574.08773308398429</v>
      </c>
      <c r="AI87">
        <v>580.16466634121127</v>
      </c>
      <c r="AJ87">
        <v>585.58633879045965</v>
      </c>
      <c r="AK87">
        <v>590.04209001306162</v>
      </c>
      <c r="AL87">
        <v>594.03759578085328</v>
      </c>
      <c r="AM87">
        <v>597.82838784748981</v>
      </c>
      <c r="AN87">
        <v>601.60627366242045</v>
      </c>
      <c r="AO87">
        <v>605.6797559707187</v>
      </c>
      <c r="AP87">
        <v>609.95354901189205</v>
      </c>
      <c r="AQ87">
        <v>614.45634417822612</v>
      </c>
      <c r="AR87">
        <v>618.98309238735862</v>
      </c>
      <c r="AS87">
        <v>623.37415969914605</v>
      </c>
      <c r="AT87">
        <v>627.50813387519474</v>
      </c>
      <c r="AU87">
        <v>631.27743819853424</v>
      </c>
      <c r="AV87">
        <v>634.70981654325976</v>
      </c>
      <c r="AW87">
        <v>637.83682524785274</v>
      </c>
      <c r="AX87">
        <v>640.7583701283977</v>
      </c>
      <c r="AY87">
        <v>643.56366176892129</v>
      </c>
    </row>
    <row r="88" spans="1:51" x14ac:dyDescent="0.2">
      <c r="A88" t="s">
        <v>87</v>
      </c>
      <c r="B88" t="s">
        <v>4</v>
      </c>
      <c r="C88">
        <v>2707.1622068796764</v>
      </c>
      <c r="D88">
        <v>-277.19481760354972</v>
      </c>
      <c r="E88">
        <v>3620.5751086149066</v>
      </c>
      <c r="F88">
        <v>998.27074040160869</v>
      </c>
      <c r="G88">
        <v>2302.1785127720545</v>
      </c>
      <c r="H88">
        <v>3154.7044125873053</v>
      </c>
      <c r="I88">
        <v>2933.5430963924714</v>
      </c>
      <c r="J88">
        <v>4115.656225069406</v>
      </c>
      <c r="K88">
        <v>3376.6715964851574</v>
      </c>
      <c r="L88">
        <v>4116.3045879558022</v>
      </c>
      <c r="M88">
        <v>4000.8096889025614</v>
      </c>
      <c r="N88">
        <v>4025.5605097331604</v>
      </c>
      <c r="O88">
        <v>4246.1859039518167</v>
      </c>
      <c r="P88">
        <v>4129.1591598690984</v>
      </c>
      <c r="Q88">
        <v>4513.6832782254551</v>
      </c>
      <c r="R88">
        <v>4632.5131954181397</v>
      </c>
      <c r="S88">
        <v>4965.1515800411089</v>
      </c>
      <c r="T88">
        <v>5254.350405240486</v>
      </c>
      <c r="U88">
        <v>5474.3026005240126</v>
      </c>
      <c r="V88">
        <v>5744.5363607467707</v>
      </c>
      <c r="W88">
        <v>5869.0433257384311</v>
      </c>
      <c r="X88">
        <v>6026.5523874473683</v>
      </c>
      <c r="Y88">
        <v>6119.559205294544</v>
      </c>
      <c r="Z88">
        <v>6217.776745085981</v>
      </c>
      <c r="AA88">
        <v>6334.9765621903944</v>
      </c>
      <c r="AB88">
        <v>6445.1126773182586</v>
      </c>
      <c r="AC88">
        <v>6591.7101187553517</v>
      </c>
      <c r="AD88">
        <v>6731.5924274579593</v>
      </c>
      <c r="AE88">
        <v>6884.0533346483253</v>
      </c>
      <c r="AF88">
        <v>7030.5214937452738</v>
      </c>
      <c r="AG88">
        <v>7165.1395668527866</v>
      </c>
      <c r="AH88">
        <v>7292.2329721459073</v>
      </c>
      <c r="AI88">
        <v>7401.1805855909188</v>
      </c>
      <c r="AJ88">
        <v>7502.2717536349201</v>
      </c>
      <c r="AK88">
        <v>7592.5439778427644</v>
      </c>
      <c r="AL88">
        <v>7678.2252639654325</v>
      </c>
      <c r="AM88">
        <v>7762.8607241384507</v>
      </c>
      <c r="AN88">
        <v>7847.157582126355</v>
      </c>
      <c r="AO88">
        <v>7934.3971831932049</v>
      </c>
      <c r="AP88">
        <v>8022.1222763121305</v>
      </c>
      <c r="AQ88">
        <v>8110.160304995281</v>
      </c>
      <c r="AR88">
        <v>8195.9535715756992</v>
      </c>
      <c r="AS88">
        <v>8277.6578928505041</v>
      </c>
      <c r="AT88">
        <v>8354.5151057083312</v>
      </c>
      <c r="AU88">
        <v>8425.7061849724396</v>
      </c>
      <c r="AV88">
        <v>8492.1852091915462</v>
      </c>
      <c r="AW88">
        <v>8554.6629133571441</v>
      </c>
      <c r="AX88">
        <v>8614.4496106780516</v>
      </c>
      <c r="AY88">
        <v>8672.5845966369143</v>
      </c>
    </row>
    <row r="89" spans="1:51" x14ac:dyDescent="0.2">
      <c r="A89" t="s">
        <v>88</v>
      </c>
      <c r="B89" t="s">
        <v>4</v>
      </c>
      <c r="C89">
        <v>-1690.9461392469461</v>
      </c>
      <c r="D89">
        <v>480.68441879237474</v>
      </c>
      <c r="E89">
        <v>1649.3353933762444</v>
      </c>
      <c r="F89">
        <v>329.43603067636525</v>
      </c>
      <c r="G89">
        <v>759.62085951524239</v>
      </c>
      <c r="H89">
        <v>376.6510718649867</v>
      </c>
      <c r="I89">
        <v>889.19831332544254</v>
      </c>
      <c r="J89">
        <v>682.28852785568085</v>
      </c>
      <c r="K89">
        <v>416.79665052637961</v>
      </c>
      <c r="L89">
        <v>595.9000398348295</v>
      </c>
      <c r="M89">
        <v>468.73137449357819</v>
      </c>
      <c r="N89">
        <v>632.93498290282855</v>
      </c>
      <c r="O89">
        <v>559.15347873030737</v>
      </c>
      <c r="P89">
        <v>592.41334370814889</v>
      </c>
      <c r="Q89">
        <v>661.01813501197876</v>
      </c>
      <c r="R89">
        <v>669.08190611915052</v>
      </c>
      <c r="S89">
        <v>748.93284058032225</v>
      </c>
      <c r="T89">
        <v>736.09284370243188</v>
      </c>
      <c r="U89">
        <v>756.37695859689472</v>
      </c>
      <c r="V89">
        <v>746.29714116034472</v>
      </c>
      <c r="W89">
        <v>728.65616737667779</v>
      </c>
      <c r="X89">
        <v>727.98658405074457</v>
      </c>
      <c r="Y89">
        <v>715.85001108964138</v>
      </c>
      <c r="Z89">
        <v>731.26973585308929</v>
      </c>
      <c r="AA89">
        <v>744.2150133599223</v>
      </c>
      <c r="AB89">
        <v>765.24024778321234</v>
      </c>
      <c r="AC89">
        <v>785.97200474564954</v>
      </c>
      <c r="AD89">
        <v>799.50134273342087</v>
      </c>
      <c r="AE89">
        <v>812.91109226683591</v>
      </c>
      <c r="AF89">
        <v>818.26549226582631</v>
      </c>
      <c r="AG89">
        <v>823.06942547787241</v>
      </c>
      <c r="AH89">
        <v>825.33022716428263</v>
      </c>
      <c r="AI89">
        <v>827.20567005792509</v>
      </c>
      <c r="AJ89">
        <v>830.58337353040531</v>
      </c>
      <c r="AK89">
        <v>834.11377957396223</v>
      </c>
      <c r="AL89">
        <v>839.86515951108868</v>
      </c>
      <c r="AM89">
        <v>846.29407241473461</v>
      </c>
      <c r="AN89">
        <v>853.80927569256653</v>
      </c>
      <c r="AO89">
        <v>861.64313303664073</v>
      </c>
      <c r="AP89">
        <v>868.91294702539528</v>
      </c>
      <c r="AQ89">
        <v>875.5014894119098</v>
      </c>
      <c r="AR89">
        <v>880.69129736657248</v>
      </c>
      <c r="AS89">
        <v>884.83984512814447</v>
      </c>
      <c r="AT89">
        <v>888.07346704099632</v>
      </c>
      <c r="AU89">
        <v>890.88320017079309</v>
      </c>
      <c r="AV89">
        <v>893.76742309291421</v>
      </c>
      <c r="AW89">
        <v>896.93771280834255</v>
      </c>
      <c r="AX89">
        <v>900.60397713544376</v>
      </c>
      <c r="AY89">
        <v>904.61683593993519</v>
      </c>
    </row>
    <row r="90" spans="1:51" x14ac:dyDescent="0.2">
      <c r="A90" t="s">
        <v>89</v>
      </c>
      <c r="B90" t="s">
        <v>4</v>
      </c>
      <c r="C90">
        <v>-3707.7219188620588</v>
      </c>
      <c r="D90">
        <v>1214.8694918859951</v>
      </c>
      <c r="E90">
        <v>3248.5360023937319</v>
      </c>
      <c r="F90">
        <v>807.41406824202613</v>
      </c>
      <c r="G90">
        <v>1734.1100214865805</v>
      </c>
      <c r="H90">
        <v>854.90607635405797</v>
      </c>
      <c r="I90">
        <v>1955.2824698967624</v>
      </c>
      <c r="J90">
        <v>1441.1583641808388</v>
      </c>
      <c r="K90">
        <v>958.71000575077562</v>
      </c>
      <c r="L90">
        <v>1236.413950463289</v>
      </c>
      <c r="M90">
        <v>934.33664704238754</v>
      </c>
      <c r="N90">
        <v>1225.721467208745</v>
      </c>
      <c r="O90">
        <v>995.10279002336893</v>
      </c>
      <c r="P90">
        <v>1027.9171863023007</v>
      </c>
      <c r="Q90">
        <v>1113.1354263066673</v>
      </c>
      <c r="R90">
        <v>1128.1235200986241</v>
      </c>
      <c r="S90">
        <v>1300.334291897183</v>
      </c>
      <c r="T90">
        <v>1292.8389797515692</v>
      </c>
      <c r="U90">
        <v>1355.7295943967351</v>
      </c>
      <c r="V90">
        <v>1333.105005763947</v>
      </c>
      <c r="W90">
        <v>1287.3947539527182</v>
      </c>
      <c r="X90">
        <v>1257.405049926449</v>
      </c>
      <c r="Y90">
        <v>1200.5845585125242</v>
      </c>
      <c r="Z90">
        <v>1201.2613851274425</v>
      </c>
      <c r="AA90">
        <v>1201.5116250967117</v>
      </c>
      <c r="AB90">
        <v>1228.5489293245603</v>
      </c>
      <c r="AC90">
        <v>1260.0089791675621</v>
      </c>
      <c r="AD90">
        <v>1282.6467185755528</v>
      </c>
      <c r="AE90">
        <v>1306.3739676077021</v>
      </c>
      <c r="AF90">
        <v>1313.561158613378</v>
      </c>
      <c r="AG90">
        <v>1318.6914100731544</v>
      </c>
      <c r="AH90">
        <v>1316.209180502726</v>
      </c>
      <c r="AI90">
        <v>1311.3770182237818</v>
      </c>
      <c r="AJ90">
        <v>1307.5565207973307</v>
      </c>
      <c r="AK90">
        <v>1303.020517483362</v>
      </c>
      <c r="AL90">
        <v>1302.7010268100441</v>
      </c>
      <c r="AM90">
        <v>1304.2812411837774</v>
      </c>
      <c r="AN90">
        <v>1309.5952910087562</v>
      </c>
      <c r="AO90">
        <v>1317.2922420692637</v>
      </c>
      <c r="AP90">
        <v>1325.7079959737387</v>
      </c>
      <c r="AQ90">
        <v>1334.0424842193011</v>
      </c>
      <c r="AR90">
        <v>1340.1555543296749</v>
      </c>
      <c r="AS90">
        <v>1344.0995953687975</v>
      </c>
      <c r="AT90">
        <v>1345.5979238876505</v>
      </c>
      <c r="AU90">
        <v>1345.5333681488171</v>
      </c>
      <c r="AV90">
        <v>1345.0143718013662</v>
      </c>
      <c r="AW90">
        <v>1344.8191881942575</v>
      </c>
      <c r="AX90">
        <v>1345.7473589332587</v>
      </c>
      <c r="AY90">
        <v>1347.7985228110604</v>
      </c>
    </row>
    <row r="91" spans="1:51" x14ac:dyDescent="0.2">
      <c r="A91" t="s">
        <v>90</v>
      </c>
      <c r="B91" t="s">
        <v>4</v>
      </c>
      <c r="C91">
        <v>-1166.9320018801366</v>
      </c>
      <c r="D91">
        <v>258.69919079198957</v>
      </c>
      <c r="E91">
        <v>1095.9855836335671</v>
      </c>
      <c r="F91">
        <v>47.798722312376398</v>
      </c>
      <c r="G91">
        <v>559.56858668164352</v>
      </c>
      <c r="H91">
        <v>144.35179739799852</v>
      </c>
      <c r="I91">
        <v>535.9820202639047</v>
      </c>
      <c r="J91">
        <v>417.48512121059525</v>
      </c>
      <c r="K91">
        <v>232.46650764282032</v>
      </c>
      <c r="L91">
        <v>402.35808884907897</v>
      </c>
      <c r="M91">
        <v>268.83572980818042</v>
      </c>
      <c r="N91">
        <v>402.76197534335864</v>
      </c>
      <c r="O91">
        <v>328.26127164138489</v>
      </c>
      <c r="P91">
        <v>333.36336565725833</v>
      </c>
      <c r="Q91">
        <v>367.2853173808918</v>
      </c>
      <c r="R91">
        <v>346.36020185005674</v>
      </c>
      <c r="S91">
        <v>399.40573977749074</v>
      </c>
      <c r="T91">
        <v>378.8232156028954</v>
      </c>
      <c r="U91">
        <v>394.0804039949723</v>
      </c>
      <c r="V91">
        <v>387.74688270734828</v>
      </c>
      <c r="W91">
        <v>374.89561550573342</v>
      </c>
      <c r="X91">
        <v>376.16002987106435</v>
      </c>
      <c r="Y91">
        <v>362.838864098231</v>
      </c>
      <c r="Z91">
        <v>369.52203342214659</v>
      </c>
      <c r="AA91">
        <v>370.73635155296876</v>
      </c>
      <c r="AB91">
        <v>377.43089964096987</v>
      </c>
      <c r="AC91">
        <v>384.51624850885378</v>
      </c>
      <c r="AD91">
        <v>386.66968823976327</v>
      </c>
      <c r="AE91">
        <v>391.01575976038151</v>
      </c>
      <c r="AF91">
        <v>390.36424632173879</v>
      </c>
      <c r="AG91">
        <v>390.88680344593257</v>
      </c>
      <c r="AH91">
        <v>390.19171309306159</v>
      </c>
      <c r="AI91">
        <v>389.35460087451787</v>
      </c>
      <c r="AJ91">
        <v>389.5711209926132</v>
      </c>
      <c r="AK91">
        <v>389.22878960806111</v>
      </c>
      <c r="AL91">
        <v>390.07980925246801</v>
      </c>
      <c r="AM91">
        <v>390.87149817948574</v>
      </c>
      <c r="AN91">
        <v>392.23100781894544</v>
      </c>
      <c r="AO91">
        <v>393.87439125178435</v>
      </c>
      <c r="AP91">
        <v>395.35126064092833</v>
      </c>
      <c r="AQ91">
        <v>396.82054570624143</v>
      </c>
      <c r="AR91">
        <v>397.73030078136088</v>
      </c>
      <c r="AS91">
        <v>398.32836139761991</v>
      </c>
      <c r="AT91">
        <v>398.54701478092989</v>
      </c>
      <c r="AU91">
        <v>398.58406773520926</v>
      </c>
      <c r="AV91">
        <v>398.67781847044211</v>
      </c>
      <c r="AW91">
        <v>398.877900650507</v>
      </c>
      <c r="AX91">
        <v>399.33145637285349</v>
      </c>
      <c r="AY91">
        <v>399.9497943537678</v>
      </c>
    </row>
    <row r="92" spans="1:51" x14ac:dyDescent="0.2">
      <c r="A92" t="s">
        <v>91</v>
      </c>
      <c r="B92" t="s">
        <v>4</v>
      </c>
      <c r="C92">
        <v>-750.81456243270247</v>
      </c>
      <c r="D92">
        <v>231.50266571133585</v>
      </c>
      <c r="E92">
        <v>1108.2514041384122</v>
      </c>
      <c r="F92">
        <v>377.35107584923969</v>
      </c>
      <c r="G92">
        <v>954.4300428079564</v>
      </c>
      <c r="H92">
        <v>646.27334050701882</v>
      </c>
      <c r="I92">
        <v>956.67198066571575</v>
      </c>
      <c r="J92">
        <v>903.53324532874001</v>
      </c>
      <c r="K92">
        <v>747.61754102803241</v>
      </c>
      <c r="L92">
        <v>895.88928753422215</v>
      </c>
      <c r="M92">
        <v>756.07841489407019</v>
      </c>
      <c r="N92">
        <v>845.47981155659124</v>
      </c>
      <c r="O92">
        <v>772.73299885154699</v>
      </c>
      <c r="P92">
        <v>759.76004162760137</v>
      </c>
      <c r="Q92">
        <v>783.67564497171088</v>
      </c>
      <c r="R92">
        <v>760.72766287328761</v>
      </c>
      <c r="S92">
        <v>812.53736090180075</v>
      </c>
      <c r="T92">
        <v>808.35218888551094</v>
      </c>
      <c r="U92">
        <v>834.10489790934969</v>
      </c>
      <c r="V92">
        <v>840.96524660119837</v>
      </c>
      <c r="W92">
        <v>834.70212026758463</v>
      </c>
      <c r="X92">
        <v>836.27842529094551</v>
      </c>
      <c r="Y92">
        <v>820.23647723055456</v>
      </c>
      <c r="Z92">
        <v>818.81511602727755</v>
      </c>
      <c r="AA92">
        <v>813.3814967463926</v>
      </c>
      <c r="AB92">
        <v>814.20093435905017</v>
      </c>
      <c r="AC92">
        <v>818.84922250556747</v>
      </c>
      <c r="AD92">
        <v>821.65270335563343</v>
      </c>
      <c r="AE92">
        <v>828.22980189728071</v>
      </c>
      <c r="AF92">
        <v>831.24006885813696</v>
      </c>
      <c r="AG92">
        <v>834.8864780888847</v>
      </c>
      <c r="AH92">
        <v>836.74285385709209</v>
      </c>
      <c r="AI92">
        <v>837.19525155417807</v>
      </c>
      <c r="AJ92">
        <v>837.48720048091673</v>
      </c>
      <c r="AK92">
        <v>836.39413137193003</v>
      </c>
      <c r="AL92">
        <v>835.81877669866412</v>
      </c>
      <c r="AM92">
        <v>835.13796243383001</v>
      </c>
      <c r="AN92">
        <v>835.19933750186146</v>
      </c>
      <c r="AO92">
        <v>836.06980243347482</v>
      </c>
      <c r="AP92">
        <v>837.40982622703939</v>
      </c>
      <c r="AQ92">
        <v>839.2972437518531</v>
      </c>
      <c r="AR92">
        <v>841.04363369961493</v>
      </c>
      <c r="AS92">
        <v>842.58452488210946</v>
      </c>
      <c r="AT92">
        <v>843.63083270543768</v>
      </c>
      <c r="AU92">
        <v>844.1824647767811</v>
      </c>
      <c r="AV92">
        <v>844.41360195443224</v>
      </c>
      <c r="AW92">
        <v>844.42840645883018</v>
      </c>
      <c r="AX92">
        <v>844.4877193119853</v>
      </c>
      <c r="AY92">
        <v>844.66786727005456</v>
      </c>
    </row>
    <row r="93" spans="1:51" x14ac:dyDescent="0.2">
      <c r="A93" t="s">
        <v>92</v>
      </c>
      <c r="B93" t="s">
        <v>4</v>
      </c>
      <c r="C93">
        <v>-531.38421057205858</v>
      </c>
      <c r="D93">
        <v>-129.44598900304402</v>
      </c>
      <c r="E93">
        <v>534.72607738348438</v>
      </c>
      <c r="F93">
        <v>168.53799207520558</v>
      </c>
      <c r="G93">
        <v>643.01055651537297</v>
      </c>
      <c r="H93">
        <v>432.5279188483139</v>
      </c>
      <c r="I93">
        <v>639.05980741629241</v>
      </c>
      <c r="J93">
        <v>598.02940901050079</v>
      </c>
      <c r="K93">
        <v>448.26651652591522</v>
      </c>
      <c r="L93">
        <v>513.07884742212718</v>
      </c>
      <c r="M93">
        <v>390.6534375466747</v>
      </c>
      <c r="N93">
        <v>439.89632230556577</v>
      </c>
      <c r="O93">
        <v>393.33623439376117</v>
      </c>
      <c r="P93">
        <v>395.68724228557335</v>
      </c>
      <c r="Q93">
        <v>435.72113622301254</v>
      </c>
      <c r="R93">
        <v>445.25424679516112</v>
      </c>
      <c r="S93">
        <v>503.87304632726989</v>
      </c>
      <c r="T93">
        <v>515.78166428833106</v>
      </c>
      <c r="U93">
        <v>536.77950441624989</v>
      </c>
      <c r="V93">
        <v>536.20047664504261</v>
      </c>
      <c r="W93">
        <v>520.28056843413492</v>
      </c>
      <c r="X93">
        <v>509.32650357186856</v>
      </c>
      <c r="Y93">
        <v>489.27574183370331</v>
      </c>
      <c r="Z93">
        <v>484.71870064236822</v>
      </c>
      <c r="AA93">
        <v>483.33068671618469</v>
      </c>
      <c r="AB93">
        <v>490.34745916539811</v>
      </c>
      <c r="AC93">
        <v>502.15176085833855</v>
      </c>
      <c r="AD93">
        <v>512.31185989076084</v>
      </c>
      <c r="AE93">
        <v>523.22138614665471</v>
      </c>
      <c r="AF93">
        <v>529.08566277318027</v>
      </c>
      <c r="AG93">
        <v>532.80570029675175</v>
      </c>
      <c r="AH93">
        <v>533.41229182350969</v>
      </c>
      <c r="AI93">
        <v>531.96969765791061</v>
      </c>
      <c r="AJ93">
        <v>530.29348724889644</v>
      </c>
      <c r="AK93">
        <v>528.24693348419692</v>
      </c>
      <c r="AL93">
        <v>527.60182480949527</v>
      </c>
      <c r="AM93">
        <v>528.08090290763255</v>
      </c>
      <c r="AN93">
        <v>530.08510023091014</v>
      </c>
      <c r="AO93">
        <v>533.29241878370078</v>
      </c>
      <c r="AP93">
        <v>536.96387472352217</v>
      </c>
      <c r="AQ93">
        <v>540.69793024790556</v>
      </c>
      <c r="AR93">
        <v>543.7029168014999</v>
      </c>
      <c r="AS93">
        <v>545.82138505756211</v>
      </c>
      <c r="AT93">
        <v>546.9533055721206</v>
      </c>
      <c r="AU93">
        <v>547.33354542248844</v>
      </c>
      <c r="AV93">
        <v>547.37879949850708</v>
      </c>
      <c r="AW93">
        <v>547.41808452127316</v>
      </c>
      <c r="AX93">
        <v>547.79250862230174</v>
      </c>
      <c r="AY93">
        <v>548.5968080948353</v>
      </c>
    </row>
    <row r="94" spans="1:51" x14ac:dyDescent="0.2">
      <c r="A94" t="s">
        <v>93</v>
      </c>
      <c r="B94" t="s">
        <v>4</v>
      </c>
      <c r="C94">
        <v>-724.54677218149618</v>
      </c>
      <c r="D94">
        <v>294.27118381325505</v>
      </c>
      <c r="E94">
        <v>1157.5661997091895</v>
      </c>
      <c r="F94">
        <v>572.44292769576327</v>
      </c>
      <c r="G94">
        <v>1016.6765735894755</v>
      </c>
      <c r="H94">
        <v>745.70114039934765</v>
      </c>
      <c r="I94">
        <v>1023.8315496569865</v>
      </c>
      <c r="J94">
        <v>1011.040668386907</v>
      </c>
      <c r="K94">
        <v>892.83352572227568</v>
      </c>
      <c r="L94">
        <v>1017.9325257756932</v>
      </c>
      <c r="M94">
        <v>897.39062711876807</v>
      </c>
      <c r="N94">
        <v>967.04751499249983</v>
      </c>
      <c r="O94">
        <v>898.32667849584163</v>
      </c>
      <c r="P94">
        <v>877.69021261703119</v>
      </c>
      <c r="Q94">
        <v>893.87523385554198</v>
      </c>
      <c r="R94">
        <v>878.5184102919352</v>
      </c>
      <c r="S94">
        <v>932.2854217521392</v>
      </c>
      <c r="T94">
        <v>941.50831935138194</v>
      </c>
      <c r="U94">
        <v>974.45854720358898</v>
      </c>
      <c r="V94">
        <v>988.77260146396827</v>
      </c>
      <c r="W94">
        <v>988.20328209756235</v>
      </c>
      <c r="X94">
        <v>990.98310249410679</v>
      </c>
      <c r="Y94">
        <v>976.81440649862657</v>
      </c>
      <c r="Z94">
        <v>974.20724286470556</v>
      </c>
      <c r="AA94">
        <v>968.84388570080057</v>
      </c>
      <c r="AB94">
        <v>969.85302291547532</v>
      </c>
      <c r="AC94">
        <v>975.40659283043328</v>
      </c>
      <c r="AD94">
        <v>980.47939737939373</v>
      </c>
      <c r="AE94">
        <v>989.46491345363336</v>
      </c>
      <c r="AF94">
        <v>995.80475112430952</v>
      </c>
      <c r="AG94">
        <v>1002.588285397407</v>
      </c>
      <c r="AH94">
        <v>1007.4476146752619</v>
      </c>
      <c r="AI94">
        <v>1010.4445755380866</v>
      </c>
      <c r="AJ94">
        <v>1012.5597182045954</v>
      </c>
      <c r="AK94">
        <v>1012.8536632421035</v>
      </c>
      <c r="AL94">
        <v>1013.1522261718185</v>
      </c>
      <c r="AM94">
        <v>1013.2363839229304</v>
      </c>
      <c r="AN94">
        <v>1014.0886574032568</v>
      </c>
      <c r="AO94">
        <v>1015.9494199280198</v>
      </c>
      <c r="AP94">
        <v>1018.5731869219302</v>
      </c>
      <c r="AQ94">
        <v>1021.9431027763555</v>
      </c>
      <c r="AR94">
        <v>1025.3208208901485</v>
      </c>
      <c r="AS94">
        <v>1028.4746582882253</v>
      </c>
      <c r="AT94">
        <v>1031.0255197296085</v>
      </c>
      <c r="AU94">
        <v>1032.9027824383634</v>
      </c>
      <c r="AV94">
        <v>1034.2556893754431</v>
      </c>
      <c r="AW94">
        <v>1035.2277417095042</v>
      </c>
      <c r="AX94">
        <v>1036.1203041366807</v>
      </c>
      <c r="AY94">
        <v>1037.0795164998992</v>
      </c>
    </row>
    <row r="95" spans="1:51" x14ac:dyDescent="0.2">
      <c r="A95" t="s">
        <v>94</v>
      </c>
      <c r="B95" t="s">
        <v>4</v>
      </c>
      <c r="C95">
        <v>-274.06371825284685</v>
      </c>
      <c r="D95">
        <v>786.49270869917962</v>
      </c>
      <c r="E95">
        <v>2280.7237081804165</v>
      </c>
      <c r="F95">
        <v>1264.2561326826255</v>
      </c>
      <c r="G95">
        <v>2098.3060164732947</v>
      </c>
      <c r="H95">
        <v>2006.5329621056835</v>
      </c>
      <c r="I95">
        <v>2419.2880112795292</v>
      </c>
      <c r="J95">
        <v>2586.988237339096</v>
      </c>
      <c r="K95">
        <v>2389.3830865755267</v>
      </c>
      <c r="L95">
        <v>2682.8302777890308</v>
      </c>
      <c r="M95">
        <v>2561.7757614892362</v>
      </c>
      <c r="N95">
        <v>2672.8363000956447</v>
      </c>
      <c r="O95">
        <v>2613.9716076830655</v>
      </c>
      <c r="P95">
        <v>2565.1245671279808</v>
      </c>
      <c r="Q95">
        <v>2619.8020295442452</v>
      </c>
      <c r="R95">
        <v>2607.4438078374483</v>
      </c>
      <c r="S95">
        <v>2715.1799121922577</v>
      </c>
      <c r="T95">
        <v>2772.4754769585647</v>
      </c>
      <c r="U95">
        <v>2859.2019569895147</v>
      </c>
      <c r="V95">
        <v>2931.1715854463782</v>
      </c>
      <c r="W95">
        <v>2964.4364293525691</v>
      </c>
      <c r="X95">
        <v>2999.9533726818217</v>
      </c>
      <c r="Y95">
        <v>3000.6387642926661</v>
      </c>
      <c r="Z95">
        <v>3012.0044116778417</v>
      </c>
      <c r="AA95">
        <v>3020.023743795251</v>
      </c>
      <c r="AB95">
        <v>3034.9802468934504</v>
      </c>
      <c r="AC95">
        <v>3061.024101604823</v>
      </c>
      <c r="AD95">
        <v>3087.267638721039</v>
      </c>
      <c r="AE95">
        <v>3121.4024743566315</v>
      </c>
      <c r="AF95">
        <v>3152.660720019685</v>
      </c>
      <c r="AG95">
        <v>3183.7583795607561</v>
      </c>
      <c r="AH95">
        <v>3211.7995198577019</v>
      </c>
      <c r="AI95">
        <v>3235.1488933763867</v>
      </c>
      <c r="AJ95">
        <v>3255.8182341631818</v>
      </c>
      <c r="AK95">
        <v>3271.9580098232809</v>
      </c>
      <c r="AL95">
        <v>3286.4672910691479</v>
      </c>
      <c r="AM95">
        <v>3299.6249737866251</v>
      </c>
      <c r="AN95">
        <v>3313.0867049271878</v>
      </c>
      <c r="AO95">
        <v>3327.9834895182826</v>
      </c>
      <c r="AP95">
        <v>3344.1136341024753</v>
      </c>
      <c r="AQ95">
        <v>3361.6698624945739</v>
      </c>
      <c r="AR95">
        <v>3379.4516048476594</v>
      </c>
      <c r="AS95">
        <v>3396.7960043155922</v>
      </c>
      <c r="AT95">
        <v>3412.8887632660535</v>
      </c>
      <c r="AU95">
        <v>3427.295217456031</v>
      </c>
      <c r="AV95">
        <v>3440.1413150610506</v>
      </c>
      <c r="AW95">
        <v>3451.6250555860051</v>
      </c>
      <c r="AX95">
        <v>3462.3118638836486</v>
      </c>
      <c r="AY95">
        <v>3472.6054179424782</v>
      </c>
    </row>
    <row r="96" spans="1:51" x14ac:dyDescent="0.2">
      <c r="A96" t="s">
        <v>95</v>
      </c>
      <c r="B96" t="s">
        <v>4</v>
      </c>
      <c r="C96">
        <v>-311.99349390373612</v>
      </c>
      <c r="D96">
        <v>141.9469114399117</v>
      </c>
      <c r="E96">
        <v>496.30472261556503</v>
      </c>
      <c r="F96">
        <v>145.12106171222285</v>
      </c>
      <c r="G96">
        <v>294.87711798873346</v>
      </c>
      <c r="H96">
        <v>203.12787020645737</v>
      </c>
      <c r="I96">
        <v>311.82572730866252</v>
      </c>
      <c r="J96">
        <v>283.81522756621371</v>
      </c>
      <c r="K96">
        <v>203.14830289435181</v>
      </c>
      <c r="L96">
        <v>254.8481151701088</v>
      </c>
      <c r="M96">
        <v>212.31252758620465</v>
      </c>
      <c r="N96">
        <v>248.11452804173024</v>
      </c>
      <c r="O96">
        <v>230.7504607041991</v>
      </c>
      <c r="P96">
        <v>233.17116076812164</v>
      </c>
      <c r="Q96">
        <v>254.39104672115252</v>
      </c>
      <c r="R96">
        <v>256.12130584871909</v>
      </c>
      <c r="S96">
        <v>280.7329925548284</v>
      </c>
      <c r="T96">
        <v>281.73927362069503</v>
      </c>
      <c r="U96">
        <v>289.24710703876946</v>
      </c>
      <c r="V96">
        <v>289.67093744234722</v>
      </c>
      <c r="W96">
        <v>284.82400855991608</v>
      </c>
      <c r="X96">
        <v>284.51507864418392</v>
      </c>
      <c r="Y96">
        <v>279.9665197171916</v>
      </c>
      <c r="Z96">
        <v>282.48167659616325</v>
      </c>
      <c r="AA96">
        <v>285.10430609250864</v>
      </c>
      <c r="AB96">
        <v>290.03508242046433</v>
      </c>
      <c r="AC96">
        <v>296.02174645904154</v>
      </c>
      <c r="AD96">
        <v>300.35755542377234</v>
      </c>
      <c r="AE96">
        <v>305.0326971233855</v>
      </c>
      <c r="AF96">
        <v>307.59540722423839</v>
      </c>
      <c r="AG96">
        <v>309.72416016552035</v>
      </c>
      <c r="AH96">
        <v>310.99235424252208</v>
      </c>
      <c r="AI96">
        <v>311.74325276317563</v>
      </c>
      <c r="AJ96">
        <v>312.69287089512778</v>
      </c>
      <c r="AK96">
        <v>313.49810378732656</v>
      </c>
      <c r="AL96">
        <v>314.83985371212759</v>
      </c>
      <c r="AM96">
        <v>316.43681563696168</v>
      </c>
      <c r="AN96">
        <v>318.41904790244365</v>
      </c>
      <c r="AO96">
        <v>320.65956525509426</v>
      </c>
      <c r="AP96">
        <v>322.87389574347873</v>
      </c>
      <c r="AQ96">
        <v>325.00265803746873</v>
      </c>
      <c r="AR96">
        <v>326.78718734124544</v>
      </c>
      <c r="AS96">
        <v>328.25407507479963</v>
      </c>
      <c r="AT96">
        <v>329.40443611507419</v>
      </c>
      <c r="AU96">
        <v>330.34098071432891</v>
      </c>
      <c r="AV96">
        <v>331.21429077407197</v>
      </c>
      <c r="AW96">
        <v>332.10536214713596</v>
      </c>
      <c r="AX96">
        <v>333.107551965928</v>
      </c>
      <c r="AY96">
        <v>334.21583875053886</v>
      </c>
    </row>
    <row r="97" spans="1:51" x14ac:dyDescent="0.2">
      <c r="A97" t="s">
        <v>96</v>
      </c>
      <c r="B97" t="s">
        <v>4</v>
      </c>
      <c r="C97">
        <v>74.877796080340516</v>
      </c>
      <c r="D97">
        <v>109.71064227299644</v>
      </c>
      <c r="E97">
        <v>188.77613457876919</v>
      </c>
      <c r="F97">
        <v>60.821153509870989</v>
      </c>
      <c r="G97">
        <v>121.32793037853386</v>
      </c>
      <c r="H97">
        <v>120.98372011723835</v>
      </c>
      <c r="I97">
        <v>146.20929858357866</v>
      </c>
      <c r="J97">
        <v>152.64425945004075</v>
      </c>
      <c r="K97">
        <v>127.75386837997492</v>
      </c>
      <c r="L97">
        <v>152.97376081805749</v>
      </c>
      <c r="M97">
        <v>145.66277372054708</v>
      </c>
      <c r="N97">
        <v>155.89973853560318</v>
      </c>
      <c r="O97">
        <v>154.95798225214372</v>
      </c>
      <c r="P97">
        <v>154.63759705837197</v>
      </c>
      <c r="Q97">
        <v>163.84334566762979</v>
      </c>
      <c r="R97">
        <v>164.387758861609</v>
      </c>
      <c r="S97">
        <v>172.02148117580401</v>
      </c>
      <c r="T97">
        <v>173.93550782143458</v>
      </c>
      <c r="U97">
        <v>177.40463928067862</v>
      </c>
      <c r="V97">
        <v>180.68789855047385</v>
      </c>
      <c r="W97">
        <v>181.72884175219019</v>
      </c>
      <c r="X97">
        <v>184.52136591662111</v>
      </c>
      <c r="Y97">
        <v>185.56983646937528</v>
      </c>
      <c r="Z97">
        <v>188.00151049270198</v>
      </c>
      <c r="AA97">
        <v>190.21231077432333</v>
      </c>
      <c r="AB97">
        <v>192.45429369171495</v>
      </c>
      <c r="AC97">
        <v>195.09669462472306</v>
      </c>
      <c r="AD97">
        <v>197.20473859944204</v>
      </c>
      <c r="AE97">
        <v>199.60320869054817</v>
      </c>
      <c r="AF97">
        <v>201.58886189287321</v>
      </c>
      <c r="AG97">
        <v>203.50699610541923</v>
      </c>
      <c r="AH97">
        <v>205.29026563349964</v>
      </c>
      <c r="AI97">
        <v>206.85435962656771</v>
      </c>
      <c r="AJ97">
        <v>208.42945261210156</v>
      </c>
      <c r="AK97">
        <v>209.84903485112952</v>
      </c>
      <c r="AL97">
        <v>211.2980172293604</v>
      </c>
      <c r="AM97">
        <v>212.72172061396864</v>
      </c>
      <c r="AN97">
        <v>214.14748526531855</v>
      </c>
      <c r="AO97">
        <v>215.59305826078437</v>
      </c>
      <c r="AP97">
        <v>216.99152095300394</v>
      </c>
      <c r="AQ97">
        <v>218.3632729231158</v>
      </c>
      <c r="AR97">
        <v>219.65311146110616</v>
      </c>
      <c r="AS97">
        <v>220.86862125369851</v>
      </c>
      <c r="AT97">
        <v>222.00749527117949</v>
      </c>
      <c r="AU97">
        <v>223.07486992345372</v>
      </c>
      <c r="AV97">
        <v>224.09726875686795</v>
      </c>
      <c r="AW97">
        <v>225.07976467387871</v>
      </c>
      <c r="AX97">
        <v>226.04134442411512</v>
      </c>
      <c r="AY97">
        <v>226.98324735276927</v>
      </c>
    </row>
    <row r="98" spans="1:51" x14ac:dyDescent="0.2">
      <c r="A98" t="s">
        <v>97</v>
      </c>
      <c r="B98" t="s">
        <v>4</v>
      </c>
      <c r="C98">
        <v>-447.78156842102493</v>
      </c>
      <c r="D98">
        <v>177.48851508493308</v>
      </c>
      <c r="E98">
        <v>516.2376293719235</v>
      </c>
      <c r="F98">
        <v>129.1603275956823</v>
      </c>
      <c r="G98">
        <v>225.70415639632949</v>
      </c>
      <c r="H98">
        <v>172.95698598631128</v>
      </c>
      <c r="I98">
        <v>292.08015353204229</v>
      </c>
      <c r="J98">
        <v>247.36935806126843</v>
      </c>
      <c r="K98">
        <v>155.08105548492532</v>
      </c>
      <c r="L98">
        <v>189.18810554432477</v>
      </c>
      <c r="M98">
        <v>149.16048278880726</v>
      </c>
      <c r="N98">
        <v>173.87330580578379</v>
      </c>
      <c r="O98">
        <v>150.36494729711956</v>
      </c>
      <c r="P98">
        <v>149.72042211027193</v>
      </c>
      <c r="Q98">
        <v>170.07225783263186</v>
      </c>
      <c r="R98">
        <v>177.26635387880992</v>
      </c>
      <c r="S98">
        <v>204.09512230813641</v>
      </c>
      <c r="T98">
        <v>208.67909040669767</v>
      </c>
      <c r="U98">
        <v>216.59533364405263</v>
      </c>
      <c r="V98">
        <v>215.29356326277781</v>
      </c>
      <c r="W98">
        <v>207.30641247119792</v>
      </c>
      <c r="X98">
        <v>201.95532432714683</v>
      </c>
      <c r="Y98">
        <v>193.32086196061454</v>
      </c>
      <c r="Z98">
        <v>192.23362376075019</v>
      </c>
      <c r="AA98">
        <v>192.91364941085456</v>
      </c>
      <c r="AB98">
        <v>197.0829697285738</v>
      </c>
      <c r="AC98">
        <v>202.95192368327275</v>
      </c>
      <c r="AD98">
        <v>207.66063102912773</v>
      </c>
      <c r="AE98">
        <v>212.4134434314941</v>
      </c>
      <c r="AF98">
        <v>214.81151170413978</v>
      </c>
      <c r="AG98">
        <v>216.24561440914496</v>
      </c>
      <c r="AH98">
        <v>216.39803805286078</v>
      </c>
      <c r="AI98">
        <v>215.76227665624143</v>
      </c>
      <c r="AJ98">
        <v>215.13857051003231</v>
      </c>
      <c r="AK98">
        <v>214.4329657944734</v>
      </c>
      <c r="AL98">
        <v>214.39486608349191</v>
      </c>
      <c r="AM98">
        <v>214.88110779360065</v>
      </c>
      <c r="AN98">
        <v>216.0386643858115</v>
      </c>
      <c r="AO98">
        <v>217.69985664125298</v>
      </c>
      <c r="AP98">
        <v>219.51082406790559</v>
      </c>
      <c r="AQ98">
        <v>221.28157820052667</v>
      </c>
      <c r="AR98">
        <v>222.66801770644707</v>
      </c>
      <c r="AS98">
        <v>223.62099978251322</v>
      </c>
      <c r="AT98">
        <v>224.12759440247984</v>
      </c>
      <c r="AU98">
        <v>224.31960200004653</v>
      </c>
      <c r="AV98">
        <v>224.39987008950285</v>
      </c>
      <c r="AW98">
        <v>224.51712883671215</v>
      </c>
      <c r="AX98">
        <v>224.81187518067642</v>
      </c>
      <c r="AY98">
        <v>225.30846349235111</v>
      </c>
    </row>
    <row r="99" spans="1:51" x14ac:dyDescent="0.2">
      <c r="A99" t="s">
        <v>98</v>
      </c>
      <c r="B99" t="s">
        <v>4</v>
      </c>
      <c r="C99">
        <v>-383.56931316308555</v>
      </c>
      <c r="D99">
        <v>-151.13497829203146</v>
      </c>
      <c r="E99">
        <v>233.91559086594404</v>
      </c>
      <c r="F99">
        <v>-9.0016479489182437</v>
      </c>
      <c r="G99">
        <v>181.24735517897759</v>
      </c>
      <c r="H99">
        <v>90.959229744282595</v>
      </c>
      <c r="I99">
        <v>216.92753156382031</v>
      </c>
      <c r="J99">
        <v>238.82776325875855</v>
      </c>
      <c r="K99">
        <v>197.36041610158222</v>
      </c>
      <c r="L99">
        <v>253.29185544744851</v>
      </c>
      <c r="M99">
        <v>210.07561182324656</v>
      </c>
      <c r="N99">
        <v>241.73150922050652</v>
      </c>
      <c r="O99">
        <v>221.47867512139132</v>
      </c>
      <c r="P99">
        <v>216.55556138054325</v>
      </c>
      <c r="Q99">
        <v>228.4161700449516</v>
      </c>
      <c r="R99">
        <v>226.53234768645811</v>
      </c>
      <c r="S99">
        <v>252.98377911041504</v>
      </c>
      <c r="T99">
        <v>262.70614153460389</v>
      </c>
      <c r="U99">
        <v>281.56526105157059</v>
      </c>
      <c r="V99">
        <v>293.85667721672968</v>
      </c>
      <c r="W99">
        <v>299.32809089051028</v>
      </c>
      <c r="X99">
        <v>305.6979867434394</v>
      </c>
      <c r="Y99">
        <v>304.34479598440714</v>
      </c>
      <c r="Z99">
        <v>306.72780522528024</v>
      </c>
      <c r="AA99">
        <v>307.76640704851337</v>
      </c>
      <c r="AB99">
        <v>311.12295254861777</v>
      </c>
      <c r="AC99">
        <v>316.6081957407045</v>
      </c>
      <c r="AD99">
        <v>322.09576946156045</v>
      </c>
      <c r="AE99">
        <v>329.3477765169805</v>
      </c>
      <c r="AF99">
        <v>335.6189191766718</v>
      </c>
      <c r="AG99">
        <v>341.9292377511909</v>
      </c>
      <c r="AH99">
        <v>347.30972708795241</v>
      </c>
      <c r="AI99">
        <v>351.67340593946045</v>
      </c>
      <c r="AJ99">
        <v>355.46078571488084</v>
      </c>
      <c r="AK99">
        <v>358.31214798095982</v>
      </c>
      <c r="AL99">
        <v>360.99285621945694</v>
      </c>
      <c r="AM99">
        <v>363.47011782873091</v>
      </c>
      <c r="AN99">
        <v>366.15445795561112</v>
      </c>
      <c r="AO99">
        <v>369.18974412051938</v>
      </c>
      <c r="AP99">
        <v>372.49264730266964</v>
      </c>
      <c r="AQ99">
        <v>376.07204731696697</v>
      </c>
      <c r="AR99">
        <v>379.63044120634129</v>
      </c>
      <c r="AS99">
        <v>383.05422161672027</v>
      </c>
      <c r="AT99">
        <v>386.17092329506067</v>
      </c>
      <c r="AU99">
        <v>388.92466772593878</v>
      </c>
      <c r="AV99">
        <v>391.36236528708395</v>
      </c>
      <c r="AW99">
        <v>393.53903911496036</v>
      </c>
      <c r="AX99">
        <v>395.58594611722162</v>
      </c>
      <c r="AY99">
        <v>397.58108539714334</v>
      </c>
    </row>
    <row r="100" spans="1:51" x14ac:dyDescent="0.2">
      <c r="A100" t="s">
        <v>99</v>
      </c>
      <c r="B100" t="s">
        <v>4</v>
      </c>
      <c r="C100">
        <v>109.2604107818849</v>
      </c>
      <c r="D100">
        <v>436.3499354355327</v>
      </c>
      <c r="E100">
        <v>1286.4584295564698</v>
      </c>
      <c r="F100">
        <v>659.6004696738994</v>
      </c>
      <c r="G100">
        <v>1309.1789011036053</v>
      </c>
      <c r="H100">
        <v>1335.3876420096719</v>
      </c>
      <c r="I100">
        <v>1657.0269597514086</v>
      </c>
      <c r="J100">
        <v>1830.9365566207478</v>
      </c>
      <c r="K100">
        <v>1763.5975854290584</v>
      </c>
      <c r="L100">
        <v>1970.2024414321261</v>
      </c>
      <c r="M100">
        <v>1895.6605629031687</v>
      </c>
      <c r="N100">
        <v>1954.9255400923353</v>
      </c>
      <c r="O100">
        <v>1917.2835860731691</v>
      </c>
      <c r="P100">
        <v>1892.7016361932963</v>
      </c>
      <c r="Q100">
        <v>1940.9330872614078</v>
      </c>
      <c r="R100">
        <v>1952.0005828109129</v>
      </c>
      <c r="S100">
        <v>2040.528673251971</v>
      </c>
      <c r="T100">
        <v>2099.0528635631554</v>
      </c>
      <c r="U100">
        <v>2173.4598914853382</v>
      </c>
      <c r="V100">
        <v>2235.5206686002753</v>
      </c>
      <c r="W100">
        <v>2268.9244948481833</v>
      </c>
      <c r="X100">
        <v>2299.6689414099674</v>
      </c>
      <c r="Y100">
        <v>2305.3624406486697</v>
      </c>
      <c r="Z100">
        <v>2315.2038933050226</v>
      </c>
      <c r="AA100">
        <v>2322.2433039728344</v>
      </c>
      <c r="AB100">
        <v>2334.1665699016962</v>
      </c>
      <c r="AC100">
        <v>2354.8242777763012</v>
      </c>
      <c r="AD100">
        <v>2377.7101767655718</v>
      </c>
      <c r="AE100">
        <v>2407.2015425160266</v>
      </c>
      <c r="AF100">
        <v>2435.7532628004105</v>
      </c>
      <c r="AG100">
        <v>2463.9525906275981</v>
      </c>
      <c r="AH100">
        <v>2489.2038389552208</v>
      </c>
      <c r="AI100">
        <v>2509.999870160902</v>
      </c>
      <c r="AJ100">
        <v>2527.612721180245</v>
      </c>
      <c r="AK100">
        <v>2541.2542176207398</v>
      </c>
      <c r="AL100">
        <v>2553.2507375444543</v>
      </c>
      <c r="AM100">
        <v>2564.3103283395976</v>
      </c>
      <c r="AN100">
        <v>2575.824438705929</v>
      </c>
      <c r="AO100">
        <v>2588.6816869465952</v>
      </c>
      <c r="AP100">
        <v>2602.7425475346718</v>
      </c>
      <c r="AQ100">
        <v>2617.9817009397098</v>
      </c>
      <c r="AR100">
        <v>2633.4426775730826</v>
      </c>
      <c r="AS100">
        <v>2648.493745396795</v>
      </c>
      <c r="AT100">
        <v>2662.4603001679252</v>
      </c>
      <c r="AU100">
        <v>2674.9727430743574</v>
      </c>
      <c r="AV100">
        <v>2686.0955936437617</v>
      </c>
      <c r="AW100">
        <v>2696.0104724781086</v>
      </c>
      <c r="AX100">
        <v>2705.1760377862452</v>
      </c>
      <c r="AY100">
        <v>2713.9688201964555</v>
      </c>
    </row>
    <row r="101" spans="1:51" x14ac:dyDescent="0.2">
      <c r="A101" t="s">
        <v>100</v>
      </c>
      <c r="B101" t="s">
        <v>4</v>
      </c>
      <c r="C101">
        <v>-87.532053129459712</v>
      </c>
      <c r="D101">
        <v>-35.550930842669523</v>
      </c>
      <c r="E101">
        <v>666.70658112684634</v>
      </c>
      <c r="F101">
        <v>335.05040910066083</v>
      </c>
      <c r="G101">
        <v>852.15909369629094</v>
      </c>
      <c r="H101">
        <v>735.07241197298265</v>
      </c>
      <c r="I101">
        <v>922.23856659296064</v>
      </c>
      <c r="J101">
        <v>1038.3460688651535</v>
      </c>
      <c r="K101">
        <v>959.25966113201639</v>
      </c>
      <c r="L101">
        <v>1091.3460741935887</v>
      </c>
      <c r="M101">
        <v>1000.7428110080642</v>
      </c>
      <c r="N101">
        <v>1051.3544100739985</v>
      </c>
      <c r="O101">
        <v>1025.8943785180818</v>
      </c>
      <c r="P101">
        <v>1010.3723920178061</v>
      </c>
      <c r="Q101">
        <v>1044.5686164741364</v>
      </c>
      <c r="R101">
        <v>1042.4216837774704</v>
      </c>
      <c r="S101">
        <v>1101.1269684404015</v>
      </c>
      <c r="T101">
        <v>1130.8840196045555</v>
      </c>
      <c r="U101">
        <v>1174.1527102330626</v>
      </c>
      <c r="V101">
        <v>1208.2872607047727</v>
      </c>
      <c r="W101">
        <v>1223.3124712018671</v>
      </c>
      <c r="X101">
        <v>1240.5481828100626</v>
      </c>
      <c r="Y101">
        <v>1240.3519320101857</v>
      </c>
      <c r="Z101">
        <v>1245.9314637820992</v>
      </c>
      <c r="AA101">
        <v>1249.6725814260815</v>
      </c>
      <c r="AB101">
        <v>1257.3586397598622</v>
      </c>
      <c r="AC101">
        <v>1271.0738263433163</v>
      </c>
      <c r="AD101">
        <v>1285.2022011041336</v>
      </c>
      <c r="AE101">
        <v>1303.5287179846816</v>
      </c>
      <c r="AF101">
        <v>1320.2039485180474</v>
      </c>
      <c r="AG101">
        <v>1336.4922993490709</v>
      </c>
      <c r="AH101">
        <v>1350.7402697330222</v>
      </c>
      <c r="AI101">
        <v>1362.214186480247</v>
      </c>
      <c r="AJ101">
        <v>1372.1423697635214</v>
      </c>
      <c r="AK101">
        <v>1379.8090768016928</v>
      </c>
      <c r="AL101">
        <v>1386.8934577665036</v>
      </c>
      <c r="AM101">
        <v>1393.5710597227142</v>
      </c>
      <c r="AN101">
        <v>1400.6490984013465</v>
      </c>
      <c r="AO101">
        <v>1408.581938410581</v>
      </c>
      <c r="AP101">
        <v>1417.1465799757141</v>
      </c>
      <c r="AQ101">
        <v>1426.3583925676733</v>
      </c>
      <c r="AR101">
        <v>1435.5630577465301</v>
      </c>
      <c r="AS101">
        <v>1444.4354467064381</v>
      </c>
      <c r="AT101">
        <v>1452.5898140629718</v>
      </c>
      <c r="AU101">
        <v>1459.8458410972464</v>
      </c>
      <c r="AV101">
        <v>1466.3015897572971</v>
      </c>
      <c r="AW101">
        <v>1472.0813977540415</v>
      </c>
      <c r="AX101">
        <v>1477.489797665776</v>
      </c>
      <c r="AY101">
        <v>1482.7380868543491</v>
      </c>
    </row>
    <row r="102" spans="1:51" x14ac:dyDescent="0.2">
      <c r="A102" t="s">
        <v>101</v>
      </c>
      <c r="B102" t="s">
        <v>4</v>
      </c>
      <c r="C102">
        <v>8.7679739403278987</v>
      </c>
      <c r="D102">
        <v>-31.848736423392324</v>
      </c>
      <c r="E102">
        <v>30.14189074563069</v>
      </c>
      <c r="F102">
        <v>-22.168869968285286</v>
      </c>
      <c r="G102">
        <v>46.217997300122278</v>
      </c>
      <c r="H102">
        <v>49.673979196934887</v>
      </c>
      <c r="I102">
        <v>57.480375909639669</v>
      </c>
      <c r="J102">
        <v>74.331004542486312</v>
      </c>
      <c r="K102">
        <v>60.248474457262887</v>
      </c>
      <c r="L102">
        <v>75.765177123443493</v>
      </c>
      <c r="M102">
        <v>63.707584754065287</v>
      </c>
      <c r="N102">
        <v>64.302882945106973</v>
      </c>
      <c r="O102">
        <v>62.592299348730243</v>
      </c>
      <c r="P102">
        <v>59.721024087324665</v>
      </c>
      <c r="Q102">
        <v>66.086147205288597</v>
      </c>
      <c r="R102">
        <v>67.185453087055805</v>
      </c>
      <c r="S102">
        <v>75.134982687337782</v>
      </c>
      <c r="T102">
        <v>80.277710603767574</v>
      </c>
      <c r="U102">
        <v>85.433595863254425</v>
      </c>
      <c r="V102">
        <v>89.884454854341911</v>
      </c>
      <c r="W102">
        <v>91.061019194189313</v>
      </c>
      <c r="X102">
        <v>92.568661163908715</v>
      </c>
      <c r="Y102">
        <v>92.132099269810311</v>
      </c>
      <c r="Z102">
        <v>92.366551549776133</v>
      </c>
      <c r="AA102">
        <v>92.883883323166117</v>
      </c>
      <c r="AB102">
        <v>93.898415516337394</v>
      </c>
      <c r="AC102">
        <v>95.949189024468296</v>
      </c>
      <c r="AD102">
        <v>98.091538876515827</v>
      </c>
      <c r="AE102">
        <v>100.70691085713274</v>
      </c>
      <c r="AF102">
        <v>103.08161772907118</v>
      </c>
      <c r="AG102">
        <v>105.21625757093329</v>
      </c>
      <c r="AH102">
        <v>107.01895484701321</v>
      </c>
      <c r="AI102">
        <v>108.35375266248215</v>
      </c>
      <c r="AJ102">
        <v>109.45760235182088</v>
      </c>
      <c r="AK102">
        <v>110.29256450839267</v>
      </c>
      <c r="AL102">
        <v>111.08852896343282</v>
      </c>
      <c r="AM102">
        <v>111.91617184444978</v>
      </c>
      <c r="AN102">
        <v>112.84937752011115</v>
      </c>
      <c r="AO102">
        <v>113.94351910075113</v>
      </c>
      <c r="AP102">
        <v>115.13562463712498</v>
      </c>
      <c r="AQ102">
        <v>116.40033927712912</v>
      </c>
      <c r="AR102">
        <v>117.640473256821</v>
      </c>
      <c r="AS102">
        <v>118.79937434545684</v>
      </c>
      <c r="AT102">
        <v>119.83593065261967</v>
      </c>
      <c r="AU102">
        <v>120.73319122091947</v>
      </c>
      <c r="AV102">
        <v>121.51873019419783</v>
      </c>
      <c r="AW102">
        <v>122.22159768387833</v>
      </c>
      <c r="AX102">
        <v>122.88888404136398</v>
      </c>
      <c r="AY102">
        <v>123.55356568390806</v>
      </c>
    </row>
    <row r="103" spans="1:51" x14ac:dyDescent="0.2">
      <c r="A103" t="s">
        <v>102</v>
      </c>
      <c r="B103" t="s">
        <v>4</v>
      </c>
      <c r="C103">
        <v>5248.8210026193383</v>
      </c>
      <c r="D103">
        <v>4568.5285519911868</v>
      </c>
      <c r="E103">
        <v>10004.364559128855</v>
      </c>
      <c r="F103">
        <v>4630.2077273581226</v>
      </c>
      <c r="G103">
        <v>8811.8863811769552</v>
      </c>
      <c r="H103">
        <v>10084.183681780965</v>
      </c>
      <c r="I103">
        <v>11444.310572816577</v>
      </c>
      <c r="J103">
        <v>13318.320623226817</v>
      </c>
      <c r="K103">
        <v>12579.818660474582</v>
      </c>
      <c r="L103">
        <v>14213.641945505546</v>
      </c>
      <c r="M103">
        <v>13756.166154134991</v>
      </c>
      <c r="N103">
        <v>13890.65875080859</v>
      </c>
      <c r="O103">
        <v>13746.847623425207</v>
      </c>
      <c r="P103">
        <v>13414.960454829079</v>
      </c>
      <c r="Q103">
        <v>13873.779828707016</v>
      </c>
      <c r="R103">
        <v>14004.854298880022</v>
      </c>
      <c r="S103">
        <v>14705.049740890141</v>
      </c>
      <c r="T103">
        <v>15280.39015741022</v>
      </c>
      <c r="U103">
        <v>15885.918926775785</v>
      </c>
      <c r="V103">
        <v>16473.213351715913</v>
      </c>
      <c r="W103">
        <v>16789.321219138623</v>
      </c>
      <c r="X103">
        <v>17090.41744945951</v>
      </c>
      <c r="Y103">
        <v>17200.313095072881</v>
      </c>
      <c r="Z103">
        <v>17312.580422103878</v>
      </c>
      <c r="AA103">
        <v>17419.621245653616</v>
      </c>
      <c r="AB103">
        <v>17544.440504449092</v>
      </c>
      <c r="AC103">
        <v>17749.005497860795</v>
      </c>
      <c r="AD103">
        <v>17973.062798045397</v>
      </c>
      <c r="AE103">
        <v>18251.068693112156</v>
      </c>
      <c r="AF103">
        <v>18530.346469772387</v>
      </c>
      <c r="AG103">
        <v>18802.483937221295</v>
      </c>
      <c r="AH103">
        <v>19053.804459369934</v>
      </c>
      <c r="AI103">
        <v>19264.317153266951</v>
      </c>
      <c r="AJ103">
        <v>19445.91121140989</v>
      </c>
      <c r="AK103">
        <v>19592.868593496562</v>
      </c>
      <c r="AL103">
        <v>19722.631236130735</v>
      </c>
      <c r="AM103">
        <v>19844.371004686207</v>
      </c>
      <c r="AN103">
        <v>19967.884520223357</v>
      </c>
      <c r="AO103">
        <v>20102.181482672553</v>
      </c>
      <c r="AP103">
        <v>20245.807444033406</v>
      </c>
      <c r="AQ103">
        <v>20398.463914359854</v>
      </c>
      <c r="AR103">
        <v>20552.813571718132</v>
      </c>
      <c r="AS103">
        <v>20702.989065785016</v>
      </c>
      <c r="AT103">
        <v>20843.807178937015</v>
      </c>
      <c r="AU103">
        <v>20971.732627103156</v>
      </c>
      <c r="AV103">
        <v>21087.210066090727</v>
      </c>
      <c r="AW103">
        <v>21191.636772230017</v>
      </c>
      <c r="AX103">
        <v>21288.635006482255</v>
      </c>
      <c r="AY103">
        <v>21381.531130014053</v>
      </c>
    </row>
    <row r="104" spans="1:51" x14ac:dyDescent="0.2">
      <c r="A104" t="s">
        <v>103</v>
      </c>
      <c r="B104" t="s">
        <v>4</v>
      </c>
      <c r="C104">
        <v>-590.32398512388272</v>
      </c>
      <c r="D104">
        <v>70.216849273399944</v>
      </c>
      <c r="E104">
        <v>487.52425102937292</v>
      </c>
      <c r="F104">
        <v>166.2643687083762</v>
      </c>
      <c r="G104">
        <v>290.42375889588686</v>
      </c>
      <c r="H104">
        <v>133.54830546907218</v>
      </c>
      <c r="I104">
        <v>316.60439805093182</v>
      </c>
      <c r="J104">
        <v>294.09458863169641</v>
      </c>
      <c r="K104">
        <v>239.53899713150699</v>
      </c>
      <c r="L104">
        <v>279.86181397096806</v>
      </c>
      <c r="M104">
        <v>239.51708180135799</v>
      </c>
      <c r="N104">
        <v>292.6134851301066</v>
      </c>
      <c r="O104">
        <v>266.34898856342494</v>
      </c>
      <c r="P104">
        <v>269.50132943984812</v>
      </c>
      <c r="Q104">
        <v>279.85084201456385</v>
      </c>
      <c r="R104">
        <v>280.57316579226119</v>
      </c>
      <c r="S104">
        <v>307.1469014740448</v>
      </c>
      <c r="T104">
        <v>309.65640401496756</v>
      </c>
      <c r="U104">
        <v>324.2447800328215</v>
      </c>
      <c r="V104">
        <v>328.59015029790373</v>
      </c>
      <c r="W104">
        <v>329.86452218351815</v>
      </c>
      <c r="X104">
        <v>332.82987303199013</v>
      </c>
      <c r="Y104">
        <v>329.85148440333785</v>
      </c>
      <c r="Z104">
        <v>333.20639816252611</v>
      </c>
      <c r="AA104">
        <v>335.09154671373039</v>
      </c>
      <c r="AB104">
        <v>340.09919206161334</v>
      </c>
      <c r="AC104">
        <v>345.83962260549572</v>
      </c>
      <c r="AD104">
        <v>350.70267634322732</v>
      </c>
      <c r="AE104">
        <v>356.42336802446448</v>
      </c>
      <c r="AF104">
        <v>360.36036883377921</v>
      </c>
      <c r="AG104">
        <v>364.38913666537371</v>
      </c>
      <c r="AH104">
        <v>367.46306073624379</v>
      </c>
      <c r="AI104">
        <v>370.06804583364629</v>
      </c>
      <c r="AJ104">
        <v>372.55836104277</v>
      </c>
      <c r="AK104">
        <v>374.56680802584435</v>
      </c>
      <c r="AL104">
        <v>376.79056526405674</v>
      </c>
      <c r="AM104">
        <v>378.93482621760967</v>
      </c>
      <c r="AN104">
        <v>381.35331875538543</v>
      </c>
      <c r="AO104">
        <v>383.98631025446821</v>
      </c>
      <c r="AP104">
        <v>386.71137506573393</v>
      </c>
      <c r="AQ104">
        <v>389.51214658032495</v>
      </c>
      <c r="AR104">
        <v>392.11829690219542</v>
      </c>
      <c r="AS104">
        <v>394.52145296297022</v>
      </c>
      <c r="AT104">
        <v>396.62263362908857</v>
      </c>
      <c r="AU104">
        <v>398.46674152094363</v>
      </c>
      <c r="AV104">
        <v>400.14204209657265</v>
      </c>
      <c r="AW104">
        <v>401.71344764636257</v>
      </c>
      <c r="AX104">
        <v>403.28621025106867</v>
      </c>
      <c r="AY104">
        <v>404.88094913869543</v>
      </c>
    </row>
    <row r="105" spans="1:51" x14ac:dyDescent="0.2">
      <c r="A105" t="s">
        <v>104</v>
      </c>
      <c r="B105" t="s">
        <v>4</v>
      </c>
      <c r="C105">
        <v>-41.245477535219536</v>
      </c>
      <c r="D105">
        <v>25.787610185334696</v>
      </c>
      <c r="E105">
        <v>64.841710215261287</v>
      </c>
      <c r="F105">
        <v>19.922329708530345</v>
      </c>
      <c r="G105">
        <v>32.046473039490706</v>
      </c>
      <c r="H105">
        <v>40.960828039837118</v>
      </c>
      <c r="I105">
        <v>59.417944516128713</v>
      </c>
      <c r="J105">
        <v>66.660837159899941</v>
      </c>
      <c r="K105">
        <v>58.561137053834258</v>
      </c>
      <c r="L105">
        <v>65.614594517194845</v>
      </c>
      <c r="M105">
        <v>63.639326302690172</v>
      </c>
      <c r="N105">
        <v>66.223655703681658</v>
      </c>
      <c r="O105">
        <v>65.168084600003269</v>
      </c>
      <c r="P105">
        <v>65.036782514940839</v>
      </c>
      <c r="Q105">
        <v>69.932094958401564</v>
      </c>
      <c r="R105">
        <v>73.977917745703223</v>
      </c>
      <c r="S105">
        <v>81.034936220543258</v>
      </c>
      <c r="T105">
        <v>86.335743896774801</v>
      </c>
      <c r="U105">
        <v>91.327606412334873</v>
      </c>
      <c r="V105">
        <v>95.229300756122953</v>
      </c>
      <c r="W105">
        <v>97.284148676258866</v>
      </c>
      <c r="X105">
        <v>98.992468093173343</v>
      </c>
      <c r="Y105">
        <v>99.749285864388852</v>
      </c>
      <c r="Z105">
        <v>100.95824841890264</v>
      </c>
      <c r="AA105">
        <v>102.46836878569708</v>
      </c>
      <c r="AB105">
        <v>104.43429310884513</v>
      </c>
      <c r="AC105">
        <v>106.92713873324952</v>
      </c>
      <c r="AD105">
        <v>109.51038878124979</v>
      </c>
      <c r="AE105">
        <v>112.26251854029353</v>
      </c>
      <c r="AF105">
        <v>114.8143047627856</v>
      </c>
      <c r="AG105">
        <v>117.14767504319964</v>
      </c>
      <c r="AH105">
        <v>119.1872275871324</v>
      </c>
      <c r="AI105">
        <v>120.89924197285247</v>
      </c>
      <c r="AJ105">
        <v>122.39694699951737</v>
      </c>
      <c r="AK105">
        <v>123.70188370598898</v>
      </c>
      <c r="AL105">
        <v>124.95442389558711</v>
      </c>
      <c r="AM105">
        <v>126.21744501872419</v>
      </c>
      <c r="AN105">
        <v>127.55122572099536</v>
      </c>
      <c r="AO105">
        <v>128.97967065032216</v>
      </c>
      <c r="AP105">
        <v>130.46431090236359</v>
      </c>
      <c r="AQ105">
        <v>131.96856935113493</v>
      </c>
      <c r="AR105">
        <v>133.42409371599931</v>
      </c>
      <c r="AS105">
        <v>134.78821323236431</v>
      </c>
      <c r="AT105">
        <v>136.034272899385</v>
      </c>
      <c r="AU105">
        <v>137.15975412276075</v>
      </c>
      <c r="AV105">
        <v>138.18804929214471</v>
      </c>
      <c r="AW105">
        <v>139.14712247288506</v>
      </c>
      <c r="AX105">
        <v>140.07105619682284</v>
      </c>
      <c r="AY105">
        <v>140.98301963591189</v>
      </c>
    </row>
    <row r="106" spans="1:51" x14ac:dyDescent="0.2">
      <c r="A106" t="s">
        <v>105</v>
      </c>
      <c r="B106" t="s">
        <v>4</v>
      </c>
      <c r="C106">
        <v>27.060918019215439</v>
      </c>
      <c r="D106">
        <v>570.29720568011078</v>
      </c>
      <c r="E106">
        <v>1319.7965986814613</v>
      </c>
      <c r="F106">
        <v>592.58942701667854</v>
      </c>
      <c r="G106">
        <v>959.6962902183966</v>
      </c>
      <c r="H106">
        <v>968.30922860084297</v>
      </c>
      <c r="I106">
        <v>1183.176393164048</v>
      </c>
      <c r="J106">
        <v>1320.6625954192011</v>
      </c>
      <c r="K106">
        <v>1187.5648460378504</v>
      </c>
      <c r="L106">
        <v>1322.0947768426183</v>
      </c>
      <c r="M106">
        <v>1244.8288181834425</v>
      </c>
      <c r="N106">
        <v>1269.3741991071654</v>
      </c>
      <c r="O106">
        <v>1226.6365256165129</v>
      </c>
      <c r="P106">
        <v>1184.408607142557</v>
      </c>
      <c r="Q106">
        <v>1223.431765680308</v>
      </c>
      <c r="R106">
        <v>1233.0594986452888</v>
      </c>
      <c r="S106">
        <v>1306.2481610065943</v>
      </c>
      <c r="T106">
        <v>1353.2424129895692</v>
      </c>
      <c r="U106">
        <v>1405.3344285322271</v>
      </c>
      <c r="V106">
        <v>1447.7444102859433</v>
      </c>
      <c r="W106">
        <v>1462.6517202670398</v>
      </c>
      <c r="X106">
        <v>1476.9034510760575</v>
      </c>
      <c r="Y106">
        <v>1472.5292631051821</v>
      </c>
      <c r="Z106">
        <v>1473.8742983182872</v>
      </c>
      <c r="AA106">
        <v>1476.3804886224368</v>
      </c>
      <c r="AB106">
        <v>1483.6888987784464</v>
      </c>
      <c r="AC106">
        <v>1499.2593343614922</v>
      </c>
      <c r="AD106">
        <v>1516.2083213528772</v>
      </c>
      <c r="AE106">
        <v>1538.0788616119494</v>
      </c>
      <c r="AF106">
        <v>1558.7099320722989</v>
      </c>
      <c r="AG106">
        <v>1578.3261947947146</v>
      </c>
      <c r="AH106">
        <v>1595.3408447655772</v>
      </c>
      <c r="AI106">
        <v>1608.4141366204501</v>
      </c>
      <c r="AJ106">
        <v>1618.9914929295414</v>
      </c>
      <c r="AK106">
        <v>1626.5627777242221</v>
      </c>
      <c r="AL106">
        <v>1633.1748307665991</v>
      </c>
      <c r="AM106">
        <v>1639.5773532714713</v>
      </c>
      <c r="AN106">
        <v>1646.8129083749166</v>
      </c>
      <c r="AO106">
        <v>1655.5611830095093</v>
      </c>
      <c r="AP106">
        <v>1665.4763168217364</v>
      </c>
      <c r="AQ106">
        <v>1676.356888970342</v>
      </c>
      <c r="AR106">
        <v>1687.2835318443069</v>
      </c>
      <c r="AS106">
        <v>1697.6675876877916</v>
      </c>
      <c r="AT106">
        <v>1707.0109793024326</v>
      </c>
      <c r="AU106">
        <v>1715.090126166853</v>
      </c>
      <c r="AV106">
        <v>1722.0814287212161</v>
      </c>
      <c r="AW106">
        <v>1728.2242641960297</v>
      </c>
      <c r="AX106">
        <v>1733.9436430173757</v>
      </c>
      <c r="AY106">
        <v>1739.5555707549483</v>
      </c>
    </row>
    <row r="107" spans="1:51" x14ac:dyDescent="0.2">
      <c r="A107" t="s">
        <v>106</v>
      </c>
      <c r="B107" t="s">
        <v>4</v>
      </c>
      <c r="C107">
        <v>-95.34767655161744</v>
      </c>
      <c r="D107">
        <v>81.707615038655845</v>
      </c>
      <c r="E107">
        <v>284.98455887168262</v>
      </c>
      <c r="F107">
        <v>128.78271541986908</v>
      </c>
      <c r="G107">
        <v>143.82554899884292</v>
      </c>
      <c r="H107">
        <v>144.22793133113407</v>
      </c>
      <c r="I107">
        <v>160.87303972388946</v>
      </c>
      <c r="J107">
        <v>161.41724839223662</v>
      </c>
      <c r="K107">
        <v>107.77435951565705</v>
      </c>
      <c r="L107">
        <v>115.14967810775757</v>
      </c>
      <c r="M107">
        <v>101.42363804784127</v>
      </c>
      <c r="N107">
        <v>104.15315152346417</v>
      </c>
      <c r="O107">
        <v>101.05288742457016</v>
      </c>
      <c r="P107">
        <v>95.515064648497329</v>
      </c>
      <c r="Q107">
        <v>105.25204513590438</v>
      </c>
      <c r="R107">
        <v>107.29220605277112</v>
      </c>
      <c r="S107">
        <v>115.53913441315098</v>
      </c>
      <c r="T107">
        <v>116.81326642022883</v>
      </c>
      <c r="U107">
        <v>115.76266087438094</v>
      </c>
      <c r="V107">
        <v>113.4573778710775</v>
      </c>
      <c r="W107">
        <v>107.1830876985116</v>
      </c>
      <c r="X107">
        <v>102.91509466866964</v>
      </c>
      <c r="Y107">
        <v>98.079994579138102</v>
      </c>
      <c r="Z107">
        <v>96.103534821348433</v>
      </c>
      <c r="AA107">
        <v>95.879748707255644</v>
      </c>
      <c r="AB107">
        <v>96.602507496435337</v>
      </c>
      <c r="AC107">
        <v>98.29201694844555</v>
      </c>
      <c r="AD107">
        <v>99.232992861563602</v>
      </c>
      <c r="AE107">
        <v>99.942641560892966</v>
      </c>
      <c r="AF107">
        <v>99.705508855538127</v>
      </c>
      <c r="AG107">
        <v>98.844547881484502</v>
      </c>
      <c r="AH107">
        <v>97.611935772595601</v>
      </c>
      <c r="AI107">
        <v>96.068233626544242</v>
      </c>
      <c r="AJ107">
        <v>94.683618358535284</v>
      </c>
      <c r="AK107">
        <v>93.423418952343681</v>
      </c>
      <c r="AL107">
        <v>92.527091145211543</v>
      </c>
      <c r="AM107">
        <v>91.975845542636094</v>
      </c>
      <c r="AN107">
        <v>91.720027526084735</v>
      </c>
      <c r="AO107">
        <v>91.700227682294184</v>
      </c>
      <c r="AP107">
        <v>91.721486082385823</v>
      </c>
      <c r="AQ107">
        <v>91.695311286679328</v>
      </c>
      <c r="AR107">
        <v>91.496490625248512</v>
      </c>
      <c r="AS107">
        <v>91.103838832316058</v>
      </c>
      <c r="AT107">
        <v>90.549337366620449</v>
      </c>
      <c r="AU107">
        <v>89.896700608846032</v>
      </c>
      <c r="AV107">
        <v>89.248131838021848</v>
      </c>
      <c r="AW107">
        <v>88.669211352583801</v>
      </c>
      <c r="AX107">
        <v>88.210703610855148</v>
      </c>
      <c r="AY107">
        <v>87.876128463527266</v>
      </c>
    </row>
    <row r="108" spans="1:51" x14ac:dyDescent="0.2">
      <c r="A108" t="s">
        <v>107</v>
      </c>
      <c r="B108" t="s">
        <v>4</v>
      </c>
      <c r="C108">
        <v>91.00236902035013</v>
      </c>
      <c r="D108">
        <v>-65.536839281804262</v>
      </c>
      <c r="E108">
        <v>114.76004545706843</v>
      </c>
      <c r="F108">
        <v>-27.165473015299465</v>
      </c>
      <c r="G108">
        <v>111.76162669274981</v>
      </c>
      <c r="H108">
        <v>120.77221971839039</v>
      </c>
      <c r="I108">
        <v>140.65776435617212</v>
      </c>
      <c r="J108">
        <v>202.49330479985383</v>
      </c>
      <c r="K108">
        <v>173.86825950517311</v>
      </c>
      <c r="L108">
        <v>223.06763652168672</v>
      </c>
      <c r="M108">
        <v>203.6946032463392</v>
      </c>
      <c r="N108">
        <v>211.19108168259794</v>
      </c>
      <c r="O108">
        <v>212.74808205506929</v>
      </c>
      <c r="P108">
        <v>204.99867618143455</v>
      </c>
      <c r="Q108">
        <v>220.77977670733421</v>
      </c>
      <c r="R108">
        <v>221.75523316895814</v>
      </c>
      <c r="S108">
        <v>240.00237334030186</v>
      </c>
      <c r="T108">
        <v>252.86212331904963</v>
      </c>
      <c r="U108">
        <v>266.52763884023057</v>
      </c>
      <c r="V108">
        <v>280.86345665649031</v>
      </c>
      <c r="W108">
        <v>287.70250695247051</v>
      </c>
      <c r="X108">
        <v>295.95199056568879</v>
      </c>
      <c r="Y108">
        <v>298.92832312733992</v>
      </c>
      <c r="Z108">
        <v>302.50075645901507</v>
      </c>
      <c r="AA108">
        <v>305.87411155800419</v>
      </c>
      <c r="AB108">
        <v>309.37426076232668</v>
      </c>
      <c r="AC108">
        <v>314.98658992635916</v>
      </c>
      <c r="AD108">
        <v>320.60667787147878</v>
      </c>
      <c r="AE108">
        <v>327.58389610804841</v>
      </c>
      <c r="AF108">
        <v>334.37266334401806</v>
      </c>
      <c r="AG108">
        <v>340.9392894352282</v>
      </c>
      <c r="AH108">
        <v>347.05589880614377</v>
      </c>
      <c r="AI108">
        <v>352.16886187556298</v>
      </c>
      <c r="AJ108">
        <v>356.73936442068225</v>
      </c>
      <c r="AK108">
        <v>360.51615563768775</v>
      </c>
      <c r="AL108">
        <v>363.96609262953331</v>
      </c>
      <c r="AM108">
        <v>367.24336193197632</v>
      </c>
      <c r="AN108">
        <v>370.53083124379259</v>
      </c>
      <c r="AO108">
        <v>374.04317344275171</v>
      </c>
      <c r="AP108">
        <v>377.70070337271761</v>
      </c>
      <c r="AQ108">
        <v>381.52916182651427</v>
      </c>
      <c r="AR108">
        <v>385.35441415095562</v>
      </c>
      <c r="AS108">
        <v>389.06377131259609</v>
      </c>
      <c r="AT108">
        <v>392.55493917537865</v>
      </c>
      <c r="AU108">
        <v>395.74882325000641</v>
      </c>
      <c r="AV108">
        <v>398.66750247273325</v>
      </c>
      <c r="AW108">
        <v>401.33516648114443</v>
      </c>
      <c r="AX108">
        <v>403.83479616876099</v>
      </c>
      <c r="AY108">
        <v>406.23584263774865</v>
      </c>
    </row>
    <row r="109" spans="1:51" x14ac:dyDescent="0.2">
      <c r="A109" t="s">
        <v>108</v>
      </c>
      <c r="B109" t="s">
        <v>4</v>
      </c>
      <c r="C109">
        <v>95.850777768141995</v>
      </c>
      <c r="D109">
        <v>258.37700573231319</v>
      </c>
      <c r="E109">
        <v>393.1060688950646</v>
      </c>
      <c r="F109">
        <v>118.80473903836223</v>
      </c>
      <c r="G109">
        <v>335.43067106654632</v>
      </c>
      <c r="H109">
        <v>393.26756216407011</v>
      </c>
      <c r="I109">
        <v>476.86605595960435</v>
      </c>
      <c r="J109">
        <v>502.23016450004707</v>
      </c>
      <c r="K109">
        <v>459.30768128081576</v>
      </c>
      <c r="L109">
        <v>510.29560583987791</v>
      </c>
      <c r="M109">
        <v>477.79912468113866</v>
      </c>
      <c r="N109">
        <v>483.81448161395787</v>
      </c>
      <c r="O109">
        <v>471.75438776871164</v>
      </c>
      <c r="P109">
        <v>473.71989463164067</v>
      </c>
      <c r="Q109">
        <v>506.78926923388138</v>
      </c>
      <c r="R109">
        <v>531.24110541213577</v>
      </c>
      <c r="S109">
        <v>577.74495555113458</v>
      </c>
      <c r="T109">
        <v>612.92106389479557</v>
      </c>
      <c r="U109">
        <v>648.2644415627127</v>
      </c>
      <c r="V109">
        <v>675.96901379149085</v>
      </c>
      <c r="W109">
        <v>691.43988967450707</v>
      </c>
      <c r="X109">
        <v>704.62297582884662</v>
      </c>
      <c r="Y109">
        <v>710.71379686659805</v>
      </c>
      <c r="Z109">
        <v>719.53037033258363</v>
      </c>
      <c r="AA109">
        <v>729.67606939041355</v>
      </c>
      <c r="AB109">
        <v>743.03793799103744</v>
      </c>
      <c r="AC109">
        <v>760.30741674607009</v>
      </c>
      <c r="AD109">
        <v>778.64898174274538</v>
      </c>
      <c r="AE109">
        <v>798.5545160929446</v>
      </c>
      <c r="AF109">
        <v>817.18786413744135</v>
      </c>
      <c r="AG109">
        <v>834.36526889977074</v>
      </c>
      <c r="AH109">
        <v>849.37239932400826</v>
      </c>
      <c r="AI109">
        <v>861.98181880763809</v>
      </c>
      <c r="AJ109">
        <v>872.9860970360179</v>
      </c>
      <c r="AK109">
        <v>882.57384117866627</v>
      </c>
      <c r="AL109">
        <v>891.78196659991681</v>
      </c>
      <c r="AM109">
        <v>901.03806692285207</v>
      </c>
      <c r="AN109">
        <v>910.77753298040955</v>
      </c>
      <c r="AO109">
        <v>921.15484423273188</v>
      </c>
      <c r="AP109">
        <v>931.91514979372209</v>
      </c>
      <c r="AQ109">
        <v>942.82240906172626</v>
      </c>
      <c r="AR109">
        <v>953.40908164073437</v>
      </c>
      <c r="AS109">
        <v>963.38495546303977</v>
      </c>
      <c r="AT109">
        <v>972.54808565868836</v>
      </c>
      <c r="AU109">
        <v>980.86238718558991</v>
      </c>
      <c r="AV109">
        <v>988.4689588471125</v>
      </c>
      <c r="AW109">
        <v>995.54930601734702</v>
      </c>
      <c r="AX109">
        <v>1002.341471110798</v>
      </c>
      <c r="AY109">
        <v>1009.0158026308054</v>
      </c>
    </row>
    <row r="110" spans="1:51" x14ac:dyDescent="0.2">
      <c r="A110" t="s">
        <v>109</v>
      </c>
      <c r="B110" t="s">
        <v>4</v>
      </c>
      <c r="C110">
        <v>49.718429595282821</v>
      </c>
      <c r="D110">
        <v>79.963292963564626</v>
      </c>
      <c r="E110">
        <v>155.87986175806608</v>
      </c>
      <c r="F110">
        <v>67.346817306635359</v>
      </c>
      <c r="G110">
        <v>111.74941800324291</v>
      </c>
      <c r="H110">
        <v>126.11905777426827</v>
      </c>
      <c r="I110">
        <v>136.81514592250014</v>
      </c>
      <c r="J110">
        <v>149.64505848731102</v>
      </c>
      <c r="K110">
        <v>126.11113020564839</v>
      </c>
      <c r="L110">
        <v>134.94987866452948</v>
      </c>
      <c r="M110">
        <v>121.41074636630901</v>
      </c>
      <c r="N110">
        <v>117.12220565233565</v>
      </c>
      <c r="O110">
        <v>113.44634179203581</v>
      </c>
      <c r="P110">
        <v>111.00108361501717</v>
      </c>
      <c r="Q110">
        <v>123.17620884205593</v>
      </c>
      <c r="R110">
        <v>134.25536108198997</v>
      </c>
      <c r="S110">
        <v>153.64029314539678</v>
      </c>
      <c r="T110">
        <v>171.25841277445733</v>
      </c>
      <c r="U110">
        <v>187.46573641238029</v>
      </c>
      <c r="V110">
        <v>201.44127637053933</v>
      </c>
      <c r="W110">
        <v>209.89387931344012</v>
      </c>
      <c r="X110">
        <v>216.81772172606651</v>
      </c>
      <c r="Y110">
        <v>220.96141718519425</v>
      </c>
      <c r="Z110">
        <v>225.53339364296357</v>
      </c>
      <c r="AA110">
        <v>231.02998037259999</v>
      </c>
      <c r="AB110">
        <v>237.74605743027212</v>
      </c>
      <c r="AC110">
        <v>246.27382864977392</v>
      </c>
      <c r="AD110">
        <v>255.4245760435239</v>
      </c>
      <c r="AE110">
        <v>265.19146128113846</v>
      </c>
      <c r="AF110">
        <v>274.57870012290516</v>
      </c>
      <c r="AG110">
        <v>283.25397477810344</v>
      </c>
      <c r="AH110">
        <v>291.01364743047083</v>
      </c>
      <c r="AI110">
        <v>297.67227257909934</v>
      </c>
      <c r="AJ110">
        <v>303.54255289767991</v>
      </c>
      <c r="AK110">
        <v>308.7440588823718</v>
      </c>
      <c r="AL110">
        <v>313.66984244527134</v>
      </c>
      <c r="AM110">
        <v>318.56991851704862</v>
      </c>
      <c r="AN110">
        <v>323.62383910543349</v>
      </c>
      <c r="AO110">
        <v>328.9351683896565</v>
      </c>
      <c r="AP110">
        <v>334.41371427297048</v>
      </c>
      <c r="AQ110">
        <v>339.95343141855238</v>
      </c>
      <c r="AR110">
        <v>345.36175113009693</v>
      </c>
      <c r="AS110">
        <v>350.4906331752793</v>
      </c>
      <c r="AT110">
        <v>355.24632533517814</v>
      </c>
      <c r="AU110">
        <v>359.59890596005289</v>
      </c>
      <c r="AV110">
        <v>363.6025013293775</v>
      </c>
      <c r="AW110">
        <v>367.33779844922122</v>
      </c>
      <c r="AX110">
        <v>370.90915723143382</v>
      </c>
      <c r="AY110">
        <v>374.39991594982206</v>
      </c>
    </row>
    <row r="111" spans="1:51" x14ac:dyDescent="0.2">
      <c r="A111" t="s">
        <v>110</v>
      </c>
      <c r="B111" t="s">
        <v>4</v>
      </c>
      <c r="C111">
        <v>28.313134062299525</v>
      </c>
      <c r="D111">
        <v>-19.780118739749035</v>
      </c>
      <c r="E111">
        <v>25.907879869103674</v>
      </c>
      <c r="F111">
        <v>-40.939486721602101</v>
      </c>
      <c r="G111">
        <v>20.88452293465263</v>
      </c>
      <c r="H111">
        <v>24.315403754456415</v>
      </c>
      <c r="I111">
        <v>40.44782381897523</v>
      </c>
      <c r="J111">
        <v>61.240804054559206</v>
      </c>
      <c r="K111">
        <v>50.556304016101066</v>
      </c>
      <c r="L111">
        <v>68.872737489268005</v>
      </c>
      <c r="M111">
        <v>56.08527443053034</v>
      </c>
      <c r="N111">
        <v>56.20471854514237</v>
      </c>
      <c r="O111">
        <v>51.851037972988607</v>
      </c>
      <c r="P111">
        <v>47.851346457970443</v>
      </c>
      <c r="Q111">
        <v>53.920089891934936</v>
      </c>
      <c r="R111">
        <v>55.730406656262929</v>
      </c>
      <c r="S111">
        <v>65.771321395378806</v>
      </c>
      <c r="T111">
        <v>73.323707774408419</v>
      </c>
      <c r="U111">
        <v>81.658220986675417</v>
      </c>
      <c r="V111">
        <v>89.093576697104311</v>
      </c>
      <c r="W111">
        <v>92.965422518868266</v>
      </c>
      <c r="X111">
        <v>96.616388939143292</v>
      </c>
      <c r="Y111">
        <v>97.592289959134135</v>
      </c>
      <c r="Z111">
        <v>98.8046380660371</v>
      </c>
      <c r="AA111">
        <v>99.900405657626479</v>
      </c>
      <c r="AB111">
        <v>101.47558697998659</v>
      </c>
      <c r="AC111">
        <v>104.22953198170802</v>
      </c>
      <c r="AD111">
        <v>107.35472247448212</v>
      </c>
      <c r="AE111">
        <v>111.27823778109337</v>
      </c>
      <c r="AF111">
        <v>115.161886042996</v>
      </c>
      <c r="AG111">
        <v>118.91268042338065</v>
      </c>
      <c r="AH111">
        <v>122.27123664908312</v>
      </c>
      <c r="AI111">
        <v>125.01063956774186</v>
      </c>
      <c r="AJ111">
        <v>127.31511050564676</v>
      </c>
      <c r="AK111">
        <v>129.1425555406683</v>
      </c>
      <c r="AL111">
        <v>130.77630699679364</v>
      </c>
      <c r="AM111">
        <v>132.34175590342653</v>
      </c>
      <c r="AN111">
        <v>133.98392041996181</v>
      </c>
      <c r="AO111">
        <v>135.80526449780777</v>
      </c>
      <c r="AP111">
        <v>137.77091138422389</v>
      </c>
      <c r="AQ111">
        <v>139.8612988072158</v>
      </c>
      <c r="AR111">
        <v>141.96152079638782</v>
      </c>
      <c r="AS111">
        <v>143.98940829077634</v>
      </c>
      <c r="AT111">
        <v>145.87130151286348</v>
      </c>
      <c r="AU111">
        <v>147.56458847867904</v>
      </c>
      <c r="AV111">
        <v>149.08088999118428</v>
      </c>
      <c r="AW111">
        <v>150.44578217911035</v>
      </c>
      <c r="AX111">
        <v>151.71539055389724</v>
      </c>
      <c r="AY111">
        <v>152.93839832709651</v>
      </c>
    </row>
    <row r="112" spans="1:51" x14ac:dyDescent="0.2">
      <c r="A112" t="s">
        <v>111</v>
      </c>
      <c r="B112" t="s">
        <v>4</v>
      </c>
      <c r="C112">
        <v>61.421648502092005</v>
      </c>
      <c r="D112">
        <v>0.3935766917686242</v>
      </c>
      <c r="E112">
        <v>58.848010629441099</v>
      </c>
      <c r="F112">
        <v>16.518348480675041</v>
      </c>
      <c r="G112">
        <v>60.086880664062072</v>
      </c>
      <c r="H112">
        <v>55.966714879734731</v>
      </c>
      <c r="I112">
        <v>52.261270516635612</v>
      </c>
      <c r="J112">
        <v>68.965479077364463</v>
      </c>
      <c r="K112">
        <v>53.129951495903235</v>
      </c>
      <c r="L112">
        <v>63.340198757167641</v>
      </c>
      <c r="M112">
        <v>52.886187634760418</v>
      </c>
      <c r="N112">
        <v>52.249592748364158</v>
      </c>
      <c r="O112">
        <v>52.535793650744395</v>
      </c>
      <c r="P112">
        <v>49.9380276727519</v>
      </c>
      <c r="Q112">
        <v>56.586404363045098</v>
      </c>
      <c r="R112">
        <v>58.682778536503164</v>
      </c>
      <c r="S112">
        <v>66.326690919388412</v>
      </c>
      <c r="T112">
        <v>71.928285538405945</v>
      </c>
      <c r="U112">
        <v>76.758204009346571</v>
      </c>
      <c r="V112">
        <v>81.352061752961646</v>
      </c>
      <c r="W112">
        <v>82.93643160538808</v>
      </c>
      <c r="X112">
        <v>84.956290317510636</v>
      </c>
      <c r="Y112">
        <v>85.482169633929047</v>
      </c>
      <c r="Z112">
        <v>86.537491481141629</v>
      </c>
      <c r="AA112">
        <v>88.020739869620328</v>
      </c>
      <c r="AB112">
        <v>89.837296051031345</v>
      </c>
      <c r="AC112">
        <v>92.564085480615958</v>
      </c>
      <c r="AD112">
        <v>95.300332380010147</v>
      </c>
      <c r="AE112">
        <v>98.363104088476604</v>
      </c>
      <c r="AF112">
        <v>101.19162523648507</v>
      </c>
      <c r="AG112">
        <v>103.73368960592744</v>
      </c>
      <c r="AH112">
        <v>105.97370689704134</v>
      </c>
      <c r="AI112">
        <v>107.77165087364696</v>
      </c>
      <c r="AJ112">
        <v>109.35790719555757</v>
      </c>
      <c r="AK112">
        <v>110.71105895867899</v>
      </c>
      <c r="AL112">
        <v>112.02259268520541</v>
      </c>
      <c r="AM112">
        <v>113.36647716505614</v>
      </c>
      <c r="AN112">
        <v>114.78830907177139</v>
      </c>
      <c r="AO112">
        <v>116.33492153247145</v>
      </c>
      <c r="AP112">
        <v>117.94022770039099</v>
      </c>
      <c r="AQ112">
        <v>119.57610660903153</v>
      </c>
      <c r="AR112">
        <v>121.16000027298455</v>
      </c>
      <c r="AS112">
        <v>122.64271876564965</v>
      </c>
      <c r="AT112">
        <v>123.99720857308641</v>
      </c>
      <c r="AU112">
        <v>125.21338147319575</v>
      </c>
      <c r="AV112">
        <v>126.320893138662</v>
      </c>
      <c r="AW112">
        <v>127.34793377157538</v>
      </c>
      <c r="AX112">
        <v>128.33522184204335</v>
      </c>
      <c r="AY112">
        <v>129.31088933377154</v>
      </c>
    </row>
    <row r="113" spans="1:51" x14ac:dyDescent="0.2">
      <c r="A113" t="s">
        <v>112</v>
      </c>
      <c r="B113" t="s">
        <v>4</v>
      </c>
      <c r="C113">
        <v>1270.2187796623598</v>
      </c>
      <c r="D113">
        <v>1369.646780717301</v>
      </c>
      <c r="E113">
        <v>2334.2971186777036</v>
      </c>
      <c r="F113">
        <v>1276.9165648053283</v>
      </c>
      <c r="G113">
        <v>2291.7823858496063</v>
      </c>
      <c r="H113">
        <v>2436.5645473000518</v>
      </c>
      <c r="I113">
        <v>2761.5849059834263</v>
      </c>
      <c r="J113">
        <v>3094.1126070981381</v>
      </c>
      <c r="K113">
        <v>2947.9266082285503</v>
      </c>
      <c r="L113">
        <v>3268.086627624627</v>
      </c>
      <c r="M113">
        <v>3124.3948133209301</v>
      </c>
      <c r="N113">
        <v>3153.2829601608696</v>
      </c>
      <c r="O113">
        <v>3085.4485818713501</v>
      </c>
      <c r="P113">
        <v>3007.9856816248521</v>
      </c>
      <c r="Q113">
        <v>3078.9980023268799</v>
      </c>
      <c r="R113">
        <v>3084.1192413075833</v>
      </c>
      <c r="S113">
        <v>3213.7601003466075</v>
      </c>
      <c r="T113">
        <v>3307.135166925545</v>
      </c>
      <c r="U113">
        <v>3415.7415136498739</v>
      </c>
      <c r="V113">
        <v>3513.5440329142025</v>
      </c>
      <c r="W113">
        <v>3558.8399540326868</v>
      </c>
      <c r="X113">
        <v>3601.4224472169813</v>
      </c>
      <c r="Y113">
        <v>3603.8263504292768</v>
      </c>
      <c r="Z113">
        <v>3609.9958264122702</v>
      </c>
      <c r="AA113">
        <v>3613.8453989972122</v>
      </c>
      <c r="AB113">
        <v>3623.7608869722339</v>
      </c>
      <c r="AC113">
        <v>3650.1276745016012</v>
      </c>
      <c r="AD113">
        <v>3681.112622367632</v>
      </c>
      <c r="AE113">
        <v>3724.0038113918467</v>
      </c>
      <c r="AF113">
        <v>3766.9514401588945</v>
      </c>
      <c r="AG113">
        <v>3809.2364939594972</v>
      </c>
      <c r="AH113">
        <v>3847.2154114856389</v>
      </c>
      <c r="AI113">
        <v>3877.3213445465435</v>
      </c>
      <c r="AJ113">
        <v>3901.8957817695195</v>
      </c>
      <c r="AK113">
        <v>3919.7366341901125</v>
      </c>
      <c r="AL113">
        <v>3934.6816937625022</v>
      </c>
      <c r="AM113">
        <v>3948.3847381559181</v>
      </c>
      <c r="AN113">
        <v>3963.0279808069508</v>
      </c>
      <c r="AO113">
        <v>3980.3054160479551</v>
      </c>
      <c r="AP113">
        <v>3999.8988998566051</v>
      </c>
      <c r="AQ113">
        <v>4021.7141407882264</v>
      </c>
      <c r="AR113">
        <v>4044.1523634037562</v>
      </c>
      <c r="AS113">
        <v>4066.0385204806657</v>
      </c>
      <c r="AT113">
        <v>4086.257340997769</v>
      </c>
      <c r="AU113">
        <v>4104.1137208095824</v>
      </c>
      <c r="AV113">
        <v>4119.7024249849446</v>
      </c>
      <c r="AW113">
        <v>4133.3157326464461</v>
      </c>
      <c r="AX113">
        <v>4145.7132264954753</v>
      </c>
      <c r="AY113">
        <v>4157.5614314825389</v>
      </c>
    </row>
    <row r="114" spans="1:51" x14ac:dyDescent="0.2">
      <c r="A114" t="s">
        <v>113</v>
      </c>
      <c r="B114" t="s">
        <v>4</v>
      </c>
      <c r="C114">
        <v>33.813515518831281</v>
      </c>
      <c r="D114">
        <v>43.245903825161818</v>
      </c>
      <c r="E114">
        <v>342.38034001424393</v>
      </c>
      <c r="F114">
        <v>-197.2469213521866</v>
      </c>
      <c r="G114">
        <v>418.26156198695463</v>
      </c>
      <c r="H114">
        <v>482.71405151001824</v>
      </c>
      <c r="I114">
        <v>599.64671072695648</v>
      </c>
      <c r="J114">
        <v>685.22862972126416</v>
      </c>
      <c r="K114">
        <v>594.70898198337784</v>
      </c>
      <c r="L114">
        <v>715.44302822268514</v>
      </c>
      <c r="M114">
        <v>611.16144259217356</v>
      </c>
      <c r="N114">
        <v>611.31282276186835</v>
      </c>
      <c r="O114">
        <v>573.47102804173016</v>
      </c>
      <c r="P114">
        <v>546.70744799767749</v>
      </c>
      <c r="Q114">
        <v>581.49472019856728</v>
      </c>
      <c r="R114">
        <v>580.36405725802933</v>
      </c>
      <c r="S114">
        <v>633.73625564104714</v>
      </c>
      <c r="T114">
        <v>664.43658200253026</v>
      </c>
      <c r="U114">
        <v>702.55098570679706</v>
      </c>
      <c r="V114">
        <v>732.80686678520499</v>
      </c>
      <c r="W114">
        <v>740.23372078006605</v>
      </c>
      <c r="X114">
        <v>748.05566737793242</v>
      </c>
      <c r="Y114">
        <v>739.23411523732977</v>
      </c>
      <c r="Z114">
        <v>735.06316032244433</v>
      </c>
      <c r="AA114">
        <v>731.20480173653834</v>
      </c>
      <c r="AB114">
        <v>732.01605341960192</v>
      </c>
      <c r="AC114">
        <v>740.91470289267613</v>
      </c>
      <c r="AD114">
        <v>751.80620884580594</v>
      </c>
      <c r="AE114">
        <v>767.4368129054825</v>
      </c>
      <c r="AF114">
        <v>781.80177801670618</v>
      </c>
      <c r="AG114">
        <v>794.98923513010391</v>
      </c>
      <c r="AH114">
        <v>805.54758171160211</v>
      </c>
      <c r="AI114">
        <v>812.55530118915931</v>
      </c>
      <c r="AJ114">
        <v>817.55991131899293</v>
      </c>
      <c r="AK114">
        <v>820.30103901561586</v>
      </c>
      <c r="AL114">
        <v>822.65972563942842</v>
      </c>
      <c r="AM114">
        <v>825.16986555290168</v>
      </c>
      <c r="AN114">
        <v>828.60252822890106</v>
      </c>
      <c r="AO114">
        <v>833.40679599673626</v>
      </c>
      <c r="AP114">
        <v>839.21602768473429</v>
      </c>
      <c r="AQ114">
        <v>845.86852688003296</v>
      </c>
      <c r="AR114">
        <v>852.5989006416296</v>
      </c>
      <c r="AS114">
        <v>858.94615884484415</v>
      </c>
      <c r="AT114">
        <v>864.49524330387896</v>
      </c>
      <c r="AU114">
        <v>869.05273771994871</v>
      </c>
      <c r="AV114">
        <v>872.76011239859247</v>
      </c>
      <c r="AW114">
        <v>875.81343395048918</v>
      </c>
      <c r="AX114">
        <v>878.58333372970242</v>
      </c>
      <c r="AY114">
        <v>881.34916188111129</v>
      </c>
    </row>
    <row r="115" spans="1:51" x14ac:dyDescent="0.2">
      <c r="A115" t="s">
        <v>114</v>
      </c>
      <c r="B115" t="s">
        <v>4</v>
      </c>
      <c r="C115">
        <v>452.31208828391971</v>
      </c>
      <c r="D115">
        <v>256.66960168532052</v>
      </c>
      <c r="E115">
        <v>663.8645512954613</v>
      </c>
      <c r="F115">
        <v>389.69300367285581</v>
      </c>
      <c r="G115">
        <v>742.19222495233453</v>
      </c>
      <c r="H115">
        <v>678.85174969556181</v>
      </c>
      <c r="I115">
        <v>862.93414844927042</v>
      </c>
      <c r="J115">
        <v>957.254206778259</v>
      </c>
      <c r="K115">
        <v>935.38415777011028</v>
      </c>
      <c r="L115">
        <v>1033.2582199008655</v>
      </c>
      <c r="M115">
        <v>967.38385950331451</v>
      </c>
      <c r="N115">
        <v>986.01094630080718</v>
      </c>
      <c r="O115">
        <v>943.50122885301812</v>
      </c>
      <c r="P115">
        <v>918.61346715493369</v>
      </c>
      <c r="Q115">
        <v>931.31335809309007</v>
      </c>
      <c r="R115">
        <v>930.3269612312115</v>
      </c>
      <c r="S115">
        <v>977.73389117545457</v>
      </c>
      <c r="T115">
        <v>1010.2862263630811</v>
      </c>
      <c r="U115">
        <v>1055.7096565726949</v>
      </c>
      <c r="V115">
        <v>1092.3554793940973</v>
      </c>
      <c r="W115">
        <v>1113.3809784979726</v>
      </c>
      <c r="X115">
        <v>1130.5817743126906</v>
      </c>
      <c r="Y115">
        <v>1131.6509620310244</v>
      </c>
      <c r="Z115">
        <v>1133.6469167430037</v>
      </c>
      <c r="AA115">
        <v>1132.660182357891</v>
      </c>
      <c r="AB115">
        <v>1135.0237635490721</v>
      </c>
      <c r="AC115">
        <v>1142.9462890715074</v>
      </c>
      <c r="AD115">
        <v>1153.6199394645848</v>
      </c>
      <c r="AE115">
        <v>1169.3402897453429</v>
      </c>
      <c r="AF115">
        <v>1185.4386548439643</v>
      </c>
      <c r="AG115">
        <v>1201.9332347072711</v>
      </c>
      <c r="AH115">
        <v>1216.6305525730809</v>
      </c>
      <c r="AI115">
        <v>1228.4861597337838</v>
      </c>
      <c r="AJ115">
        <v>1237.9452963147421</v>
      </c>
      <c r="AK115">
        <v>1244.6230936069003</v>
      </c>
      <c r="AL115">
        <v>1250.0081785451703</v>
      </c>
      <c r="AM115">
        <v>1254.6745981776978</v>
      </c>
      <c r="AN115">
        <v>1259.6744667286575</v>
      </c>
      <c r="AO115">
        <v>1265.6361347716472</v>
      </c>
      <c r="AP115">
        <v>1272.5954036277685</v>
      </c>
      <c r="AQ115">
        <v>1280.5387190934894</v>
      </c>
      <c r="AR115">
        <v>1288.8611127426029</v>
      </c>
      <c r="AS115">
        <v>1297.1116199925109</v>
      </c>
      <c r="AT115">
        <v>1304.7808174665968</v>
      </c>
      <c r="AU115">
        <v>1311.5691938562891</v>
      </c>
      <c r="AV115">
        <v>1317.4463353380261</v>
      </c>
      <c r="AW115">
        <v>1322.5026155969824</v>
      </c>
      <c r="AX115">
        <v>1327.0270616628941</v>
      </c>
      <c r="AY115">
        <v>1331.2867994726694</v>
      </c>
    </row>
    <row r="116" spans="1:51" x14ac:dyDescent="0.2">
      <c r="A116" t="s">
        <v>115</v>
      </c>
      <c r="B116" t="s">
        <v>4</v>
      </c>
      <c r="C116">
        <v>45.157983396884404</v>
      </c>
      <c r="D116">
        <v>57.593771811024673</v>
      </c>
      <c r="E116">
        <v>128.66461002670852</v>
      </c>
      <c r="F116">
        <v>-219.36924364606784</v>
      </c>
      <c r="G116">
        <v>117.77319241236582</v>
      </c>
      <c r="H116">
        <v>41.731314619138672</v>
      </c>
      <c r="I116">
        <v>154.73757531137434</v>
      </c>
      <c r="J116">
        <v>139.65799947322006</v>
      </c>
      <c r="K116">
        <v>107.66787942953586</v>
      </c>
      <c r="L116">
        <v>168.54985824106581</v>
      </c>
      <c r="M116">
        <v>99.64508038128632</v>
      </c>
      <c r="N116">
        <v>113.6333487415873</v>
      </c>
      <c r="O116">
        <v>73.410673846114335</v>
      </c>
      <c r="P116">
        <v>63.748324167064581</v>
      </c>
      <c r="Q116">
        <v>70.142265333284058</v>
      </c>
      <c r="R116">
        <v>61.254955606118145</v>
      </c>
      <c r="S116">
        <v>83.586451365259535</v>
      </c>
      <c r="T116">
        <v>87.363764910096791</v>
      </c>
      <c r="U116">
        <v>103.54417247507131</v>
      </c>
      <c r="V116">
        <v>111.04190654444136</v>
      </c>
      <c r="W116">
        <v>111.44635180491214</v>
      </c>
      <c r="X116">
        <v>112.20078148036225</v>
      </c>
      <c r="Y116">
        <v>104.11697774450207</v>
      </c>
      <c r="Z116">
        <v>100.05918677992972</v>
      </c>
      <c r="AA116">
        <v>93.958561696588731</v>
      </c>
      <c r="AB116">
        <v>90.976912217752485</v>
      </c>
      <c r="AC116">
        <v>90.878410047577134</v>
      </c>
      <c r="AD116">
        <v>91.75026450263239</v>
      </c>
      <c r="AE116">
        <v>95.321336854965878</v>
      </c>
      <c r="AF116">
        <v>98.185985621054328</v>
      </c>
      <c r="AG116">
        <v>101.31006142981849</v>
      </c>
      <c r="AH116">
        <v>103.25654088802666</v>
      </c>
      <c r="AI116">
        <v>103.94444562035177</v>
      </c>
      <c r="AJ116">
        <v>103.82754673731706</v>
      </c>
      <c r="AK116">
        <v>102.63757119269698</v>
      </c>
      <c r="AL116">
        <v>101.37086087108506</v>
      </c>
      <c r="AM116">
        <v>100.05914111259898</v>
      </c>
      <c r="AN116">
        <v>99.237239474922873</v>
      </c>
      <c r="AO116">
        <v>99.04245148470595</v>
      </c>
      <c r="AP116">
        <v>99.374138133721544</v>
      </c>
      <c r="AQ116">
        <v>100.20416093322605</v>
      </c>
      <c r="AR116">
        <v>101.16117200960511</v>
      </c>
      <c r="AS116">
        <v>102.08897454271396</v>
      </c>
      <c r="AT116">
        <v>102.75547910918529</v>
      </c>
      <c r="AU116">
        <v>103.07911823131106</v>
      </c>
      <c r="AV116">
        <v>103.09528273797892</v>
      </c>
      <c r="AW116">
        <v>102.86679746309598</v>
      </c>
      <c r="AX116">
        <v>102.55416830946223</v>
      </c>
      <c r="AY116">
        <v>102.26410792597061</v>
      </c>
    </row>
    <row r="117" spans="1:51" x14ac:dyDescent="0.2">
      <c r="A117" t="s">
        <v>116</v>
      </c>
      <c r="B117" t="s">
        <v>4</v>
      </c>
      <c r="C117">
        <v>193.25177032475239</v>
      </c>
      <c r="D117">
        <v>197.1819893109394</v>
      </c>
      <c r="E117">
        <v>718.20535259245787</v>
      </c>
      <c r="F117">
        <v>138.04570625138231</v>
      </c>
      <c r="G117">
        <v>1041.1712609264212</v>
      </c>
      <c r="H117">
        <v>874.2428125583582</v>
      </c>
      <c r="I117">
        <v>1254.8047202106115</v>
      </c>
      <c r="J117">
        <v>1293.042038179663</v>
      </c>
      <c r="K117">
        <v>1275.1472774181148</v>
      </c>
      <c r="L117">
        <v>1425.5983286427463</v>
      </c>
      <c r="M117">
        <v>1300.3968019929382</v>
      </c>
      <c r="N117">
        <v>1361.3912032513745</v>
      </c>
      <c r="O117">
        <v>1296.9208604845439</v>
      </c>
      <c r="P117">
        <v>1299.8855710147757</v>
      </c>
      <c r="Q117">
        <v>1342.6683244312349</v>
      </c>
      <c r="R117">
        <v>1358.3453385761047</v>
      </c>
      <c r="S117">
        <v>1447.3181930758547</v>
      </c>
      <c r="T117">
        <v>1493.1512261495952</v>
      </c>
      <c r="U117">
        <v>1563.3266406143232</v>
      </c>
      <c r="V117">
        <v>1608.0736503648034</v>
      </c>
      <c r="W117">
        <v>1631.9962541377984</v>
      </c>
      <c r="X117">
        <v>1651.9467261490911</v>
      </c>
      <c r="Y117">
        <v>1649.4946996423728</v>
      </c>
      <c r="Z117">
        <v>1655.5773354170499</v>
      </c>
      <c r="AA117">
        <v>1658.0379758379922</v>
      </c>
      <c r="AB117">
        <v>1669.2956190769773</v>
      </c>
      <c r="AC117">
        <v>1688.3389979733677</v>
      </c>
      <c r="AD117">
        <v>1710.3150602007588</v>
      </c>
      <c r="AE117">
        <v>1738.2053789866056</v>
      </c>
      <c r="AF117">
        <v>1763.6561833985204</v>
      </c>
      <c r="AG117">
        <v>1788.3764645428912</v>
      </c>
      <c r="AH117">
        <v>1808.8723982934901</v>
      </c>
      <c r="AI117">
        <v>1825.0659047553222</v>
      </c>
      <c r="AJ117">
        <v>1838.1858533451589</v>
      </c>
      <c r="AK117">
        <v>1847.9992937334362</v>
      </c>
      <c r="AL117">
        <v>1857.1140239455121</v>
      </c>
      <c r="AM117">
        <v>1865.917072310212</v>
      </c>
      <c r="AN117">
        <v>1875.8367121093672</v>
      </c>
      <c r="AO117">
        <v>1887.2411257606045</v>
      </c>
      <c r="AP117">
        <v>1899.8427032763359</v>
      </c>
      <c r="AQ117">
        <v>1913.4031384482851</v>
      </c>
      <c r="AR117">
        <v>1926.881291043082</v>
      </c>
      <c r="AS117">
        <v>1939.7495629919463</v>
      </c>
      <c r="AT117">
        <v>1951.3819741187647</v>
      </c>
      <c r="AU117">
        <v>1961.5906142035669</v>
      </c>
      <c r="AV117">
        <v>1970.5281266635</v>
      </c>
      <c r="AW117">
        <v>1978.4607180051944</v>
      </c>
      <c r="AX117">
        <v>1985.8815577572725</v>
      </c>
      <c r="AY117">
        <v>1993.1371874679685</v>
      </c>
    </row>
    <row r="118" spans="1:51" x14ac:dyDescent="0.2">
      <c r="A118" t="s">
        <v>117</v>
      </c>
      <c r="B118" t="s">
        <v>4</v>
      </c>
      <c r="C118">
        <v>161.09368385883946</v>
      </c>
      <c r="D118">
        <v>227.49490571640786</v>
      </c>
      <c r="E118">
        <v>461.9977643536763</v>
      </c>
      <c r="F118">
        <v>91.180069764344069</v>
      </c>
      <c r="G118">
        <v>589.28950107922947</v>
      </c>
      <c r="H118">
        <v>740.64174196978001</v>
      </c>
      <c r="I118">
        <v>835.87603829358727</v>
      </c>
      <c r="J118">
        <v>958.81737596633207</v>
      </c>
      <c r="K118">
        <v>919.30141817676747</v>
      </c>
      <c r="L118">
        <v>1043.845202099679</v>
      </c>
      <c r="M118">
        <v>1003.9270671249243</v>
      </c>
      <c r="N118">
        <v>1018.7155852547411</v>
      </c>
      <c r="O118">
        <v>1017.5778413359732</v>
      </c>
      <c r="P118">
        <v>1011.2721541436027</v>
      </c>
      <c r="Q118">
        <v>1057.3583690931519</v>
      </c>
      <c r="R118">
        <v>1073.8958357942759</v>
      </c>
      <c r="S118">
        <v>1127.1152863352058</v>
      </c>
      <c r="T118">
        <v>1165.6377409700513</v>
      </c>
      <c r="U118">
        <v>1204.5550086315968</v>
      </c>
      <c r="V118">
        <v>1239.3227052929215</v>
      </c>
      <c r="W118">
        <v>1254.5294448743271</v>
      </c>
      <c r="X118">
        <v>1269.5973061309701</v>
      </c>
      <c r="Y118">
        <v>1272.1780528654153</v>
      </c>
      <c r="Z118">
        <v>1276.8428971340015</v>
      </c>
      <c r="AA118">
        <v>1282.0793711372551</v>
      </c>
      <c r="AB118">
        <v>1289.6190122062892</v>
      </c>
      <c r="AC118">
        <v>1303.0905502097107</v>
      </c>
      <c r="AD118">
        <v>1317.649456716236</v>
      </c>
      <c r="AE118">
        <v>1335.3866986804244</v>
      </c>
      <c r="AF118">
        <v>1352.1733390886845</v>
      </c>
      <c r="AG118">
        <v>1367.6604522493585</v>
      </c>
      <c r="AH118">
        <v>1381.0749376469819</v>
      </c>
      <c r="AI118">
        <v>1391.4690127681317</v>
      </c>
      <c r="AJ118">
        <v>1400.0798540882347</v>
      </c>
      <c r="AK118">
        <v>1406.7477228280532</v>
      </c>
      <c r="AL118">
        <v>1412.8486273930421</v>
      </c>
      <c r="AM118">
        <v>1418.92352483835</v>
      </c>
      <c r="AN118">
        <v>1425.5071417624929</v>
      </c>
      <c r="AO118">
        <v>1433.0044798446099</v>
      </c>
      <c r="AP118">
        <v>1441.1231170824076</v>
      </c>
      <c r="AQ118">
        <v>1449.7323900131164</v>
      </c>
      <c r="AR118">
        <v>1458.2709404224572</v>
      </c>
      <c r="AS118">
        <v>1466.3711461105263</v>
      </c>
      <c r="AT118">
        <v>1473.7442118675106</v>
      </c>
      <c r="AU118">
        <v>1480.2408210693816</v>
      </c>
      <c r="AV118">
        <v>1485.9789044512841</v>
      </c>
      <c r="AW118">
        <v>1491.1128471937554</v>
      </c>
      <c r="AX118">
        <v>1495.9218260116829</v>
      </c>
      <c r="AY118">
        <v>1500.6254237364749</v>
      </c>
    </row>
    <row r="119" spans="1:51" x14ac:dyDescent="0.2">
      <c r="A119" t="s">
        <v>118</v>
      </c>
      <c r="B119" t="s">
        <v>4</v>
      </c>
      <c r="C119">
        <v>206.98069985762604</v>
      </c>
      <c r="D119">
        <v>119.28056572742348</v>
      </c>
      <c r="E119">
        <v>305.72469968147448</v>
      </c>
      <c r="F119">
        <v>-2.2309564796754886</v>
      </c>
      <c r="G119">
        <v>347.90785370019449</v>
      </c>
      <c r="H119">
        <v>319.87869042723747</v>
      </c>
      <c r="I119">
        <v>401.01054275381705</v>
      </c>
      <c r="J119">
        <v>457.23502355090642</v>
      </c>
      <c r="K119">
        <v>408.12479267133887</v>
      </c>
      <c r="L119">
        <v>491.79600369550752</v>
      </c>
      <c r="M119">
        <v>438.32717352688979</v>
      </c>
      <c r="N119">
        <v>460.37160248517119</v>
      </c>
      <c r="O119">
        <v>448.34228457473944</v>
      </c>
      <c r="P119">
        <v>445.47154347124064</v>
      </c>
      <c r="Q119">
        <v>476.78764206044303</v>
      </c>
      <c r="R119">
        <v>484.27189868046975</v>
      </c>
      <c r="S119">
        <v>524.57597344576118</v>
      </c>
      <c r="T119">
        <v>546.66266751751834</v>
      </c>
      <c r="U119">
        <v>573.76837726200938</v>
      </c>
      <c r="V119">
        <v>594.92767703666618</v>
      </c>
      <c r="W119">
        <v>603.57614223335099</v>
      </c>
      <c r="X119">
        <v>613.9331188933869</v>
      </c>
      <c r="Y119">
        <v>614.92098347800254</v>
      </c>
      <c r="Z119">
        <v>619.89587608400655</v>
      </c>
      <c r="AA119">
        <v>624.60560954053312</v>
      </c>
      <c r="AB119">
        <v>631.75346391704295</v>
      </c>
      <c r="AC119">
        <v>642.71435019559988</v>
      </c>
      <c r="AD119">
        <v>653.83210759664166</v>
      </c>
      <c r="AE119">
        <v>667.15314253756924</v>
      </c>
      <c r="AF119">
        <v>679.15623677607005</v>
      </c>
      <c r="AG119">
        <v>690.41533332383653</v>
      </c>
      <c r="AH119">
        <v>700.10244478168988</v>
      </c>
      <c r="AI119">
        <v>707.83026458986353</v>
      </c>
      <c r="AJ119">
        <v>714.52523894535432</v>
      </c>
      <c r="AK119">
        <v>719.93318443096564</v>
      </c>
      <c r="AL119">
        <v>725.15004230246745</v>
      </c>
      <c r="AM119">
        <v>730.34911222432277</v>
      </c>
      <c r="AN119">
        <v>735.94297285200901</v>
      </c>
      <c r="AO119">
        <v>742.12183642263381</v>
      </c>
      <c r="AP119">
        <v>748.6369913237927</v>
      </c>
      <c r="AQ119">
        <v>755.40986640552251</v>
      </c>
      <c r="AR119">
        <v>762.01282730001833</v>
      </c>
      <c r="AS119">
        <v>768.24744850170316</v>
      </c>
      <c r="AT119">
        <v>773.92583383322426</v>
      </c>
      <c r="AU119">
        <v>778.98896284698446</v>
      </c>
      <c r="AV119">
        <v>783.54717084698666</v>
      </c>
      <c r="AW119">
        <v>787.71182155577276</v>
      </c>
      <c r="AX119">
        <v>791.68168271585</v>
      </c>
      <c r="AY119">
        <v>795.58541191528457</v>
      </c>
    </row>
    <row r="120" spans="1:51" x14ac:dyDescent="0.2">
      <c r="A120" t="s">
        <v>119</v>
      </c>
      <c r="B120" t="s">
        <v>4</v>
      </c>
      <c r="C120">
        <v>215.67525370180743</v>
      </c>
      <c r="D120">
        <v>174.3595173606727</v>
      </c>
      <c r="E120">
        <v>489.61722283684793</v>
      </c>
      <c r="F120">
        <v>247.21457672046114</v>
      </c>
      <c r="G120">
        <v>539.79754866401879</v>
      </c>
      <c r="H120">
        <v>566.04773042343584</v>
      </c>
      <c r="I120">
        <v>698.64458085424349</v>
      </c>
      <c r="J120">
        <v>810.50603672028114</v>
      </c>
      <c r="K120">
        <v>774.18013596001674</v>
      </c>
      <c r="L120">
        <v>849.16162480811295</v>
      </c>
      <c r="M120">
        <v>801.86708483108828</v>
      </c>
      <c r="N120">
        <v>808.96772927688039</v>
      </c>
      <c r="O120">
        <v>782.98937820399181</v>
      </c>
      <c r="P120">
        <v>759.1493037707902</v>
      </c>
      <c r="Q120">
        <v>776.84732955785626</v>
      </c>
      <c r="R120">
        <v>782.15793719071701</v>
      </c>
      <c r="S120">
        <v>825.31947020670725</v>
      </c>
      <c r="T120">
        <v>859.05516487841942</v>
      </c>
      <c r="U120">
        <v>897.84595817866432</v>
      </c>
      <c r="V120">
        <v>931.20846202076768</v>
      </c>
      <c r="W120">
        <v>948.4553217474645</v>
      </c>
      <c r="X120">
        <v>962.14004198273665</v>
      </c>
      <c r="Y120">
        <v>962.78980547981109</v>
      </c>
      <c r="Z120">
        <v>963.87246371756203</v>
      </c>
      <c r="AA120">
        <v>964.38305788278251</v>
      </c>
      <c r="AB120">
        <v>967.84855727571573</v>
      </c>
      <c r="AC120">
        <v>976.96703488789797</v>
      </c>
      <c r="AD120">
        <v>988.48676410569226</v>
      </c>
      <c r="AE120">
        <v>1003.9255950418594</v>
      </c>
      <c r="AF120">
        <v>1019.4651169128846</v>
      </c>
      <c r="AG120">
        <v>1034.5870425770763</v>
      </c>
      <c r="AH120">
        <v>1047.9138628736728</v>
      </c>
      <c r="AI120">
        <v>1058.4677703505918</v>
      </c>
      <c r="AJ120">
        <v>1066.9129593090022</v>
      </c>
      <c r="AK120">
        <v>1073.08815460767</v>
      </c>
      <c r="AL120">
        <v>1078.2602349387544</v>
      </c>
      <c r="AM120">
        <v>1083.0532016052136</v>
      </c>
      <c r="AN120">
        <v>1088.2463375881678</v>
      </c>
      <c r="AO120">
        <v>1094.3733916582528</v>
      </c>
      <c r="AP120">
        <v>1101.3664083655469</v>
      </c>
      <c r="AQ120">
        <v>1109.1362100241713</v>
      </c>
      <c r="AR120">
        <v>1117.1337140006024</v>
      </c>
      <c r="AS120">
        <v>1124.9236350001263</v>
      </c>
      <c r="AT120">
        <v>1132.0971056180074</v>
      </c>
      <c r="AU120">
        <v>1138.4153723656423</v>
      </c>
      <c r="AV120">
        <v>1143.9018399051633</v>
      </c>
      <c r="AW120">
        <v>1148.6801094796394</v>
      </c>
      <c r="AX120">
        <v>1153.0261812311189</v>
      </c>
      <c r="AY120">
        <v>1157.1897702259532</v>
      </c>
    </row>
    <row r="121" spans="1:51" x14ac:dyDescent="0.2">
      <c r="A121" t="s">
        <v>120</v>
      </c>
      <c r="B121" t="s">
        <v>4</v>
      </c>
      <c r="C121">
        <v>259.78452128851023</v>
      </c>
      <c r="D121">
        <v>315.0726502348503</v>
      </c>
      <c r="E121">
        <v>645.30800086504428</v>
      </c>
      <c r="F121">
        <v>-404.96359074980364</v>
      </c>
      <c r="G121">
        <v>698.76295892071937</v>
      </c>
      <c r="H121">
        <v>658.24005233170237</v>
      </c>
      <c r="I121">
        <v>797.57994743610971</v>
      </c>
      <c r="J121">
        <v>1021.7084597650802</v>
      </c>
      <c r="K121">
        <v>855.96561673341341</v>
      </c>
      <c r="L121">
        <v>1076.5456898547588</v>
      </c>
      <c r="M121">
        <v>900.754061691537</v>
      </c>
      <c r="N121">
        <v>909.59944799505479</v>
      </c>
      <c r="O121">
        <v>826.42077978278382</v>
      </c>
      <c r="P121">
        <v>751.51186708532862</v>
      </c>
      <c r="Q121">
        <v>792.49200867422053</v>
      </c>
      <c r="R121">
        <v>762.39317787916843</v>
      </c>
      <c r="S121">
        <v>838.51497084425432</v>
      </c>
      <c r="T121">
        <v>877.70356285697687</v>
      </c>
      <c r="U121">
        <v>935.33290216590126</v>
      </c>
      <c r="V121">
        <v>985.56655742085081</v>
      </c>
      <c r="W121">
        <v>997.00538012864581</v>
      </c>
      <c r="X121">
        <v>1011.7224040021401</v>
      </c>
      <c r="Y121">
        <v>994.68525936605556</v>
      </c>
      <c r="Z121">
        <v>983.94289448430823</v>
      </c>
      <c r="AA121">
        <v>970.67814964509114</v>
      </c>
      <c r="AB121">
        <v>962.74466051264346</v>
      </c>
      <c r="AC121">
        <v>968.03786743967908</v>
      </c>
      <c r="AD121">
        <v>976.3288513014902</v>
      </c>
      <c r="AE121">
        <v>994.39071223102189</v>
      </c>
      <c r="AF121">
        <v>1011.9825403245297</v>
      </c>
      <c r="AG121">
        <v>1029.53329533948</v>
      </c>
      <c r="AH121">
        <v>1044.1734648596751</v>
      </c>
      <c r="AI121">
        <v>1053.437188983163</v>
      </c>
      <c r="AJ121">
        <v>1059.5228165555179</v>
      </c>
      <c r="AK121">
        <v>1061.2332368665138</v>
      </c>
      <c r="AL121">
        <v>1061.6537255499138</v>
      </c>
      <c r="AM121">
        <v>1061.6438836571683</v>
      </c>
      <c r="AN121">
        <v>1062.7158573198826</v>
      </c>
      <c r="AO121">
        <v>1065.9959563711311</v>
      </c>
      <c r="AP121">
        <v>1071.115116581276</v>
      </c>
      <c r="AQ121">
        <v>1078.0926536342192</v>
      </c>
      <c r="AR121">
        <v>1085.7230879122781</v>
      </c>
      <c r="AS121">
        <v>1093.243589920449</v>
      </c>
      <c r="AT121">
        <v>1099.858783851719</v>
      </c>
      <c r="AU121">
        <v>1105.0748229359021</v>
      </c>
      <c r="AV121">
        <v>1108.9774579348357</v>
      </c>
      <c r="AW121">
        <v>1111.7463007464501</v>
      </c>
      <c r="AX121">
        <v>1113.9326149832414</v>
      </c>
      <c r="AY121">
        <v>1115.9883720352245</v>
      </c>
    </row>
    <row r="122" spans="1:51" x14ac:dyDescent="0.2">
      <c r="A122" t="s">
        <v>121</v>
      </c>
      <c r="B122" t="s">
        <v>4</v>
      </c>
      <c r="C122">
        <v>26.114854793047954</v>
      </c>
      <c r="D122">
        <v>9.1713278390760067</v>
      </c>
      <c r="E122">
        <v>125.16236212620511</v>
      </c>
      <c r="F122">
        <v>10.194417238930509</v>
      </c>
      <c r="G122">
        <v>93.210856294502662</v>
      </c>
      <c r="H122">
        <v>66.371613142102333</v>
      </c>
      <c r="I122">
        <v>99.312271041965957</v>
      </c>
      <c r="J122">
        <v>142.85050083137369</v>
      </c>
      <c r="K122">
        <v>123.57648376104284</v>
      </c>
      <c r="L122">
        <v>159.01266551589075</v>
      </c>
      <c r="M122">
        <v>145.77621115307699</v>
      </c>
      <c r="N122">
        <v>158.08334303896265</v>
      </c>
      <c r="O122">
        <v>155.77860664890909</v>
      </c>
      <c r="P122">
        <v>149.01109483397849</v>
      </c>
      <c r="Q122">
        <v>156.34591690401305</v>
      </c>
      <c r="R122">
        <v>153.55286382262821</v>
      </c>
      <c r="S122">
        <v>164.37712942359121</v>
      </c>
      <c r="T122">
        <v>170.22550542974588</v>
      </c>
      <c r="U122">
        <v>179.01940138184113</v>
      </c>
      <c r="V122">
        <v>188.29190236414195</v>
      </c>
      <c r="W122">
        <v>193.46357089861783</v>
      </c>
      <c r="X122">
        <v>199.83915782383335</v>
      </c>
      <c r="Y122">
        <v>202.05638791823111</v>
      </c>
      <c r="Z122">
        <v>204.68929877381814</v>
      </c>
      <c r="AA122">
        <v>206.38221486214084</v>
      </c>
      <c r="AB122">
        <v>207.97715089417298</v>
      </c>
      <c r="AC122">
        <v>210.67801733577218</v>
      </c>
      <c r="AD122">
        <v>213.30773140657442</v>
      </c>
      <c r="AE122">
        <v>217.07012453693352</v>
      </c>
      <c r="AF122">
        <v>220.84688650401293</v>
      </c>
      <c r="AG122">
        <v>224.81539918498544</v>
      </c>
      <c r="AH122">
        <v>228.65412216649423</v>
      </c>
      <c r="AI122">
        <v>231.97546361201429</v>
      </c>
      <c r="AJ122">
        <v>234.98889181607575</v>
      </c>
      <c r="AK122">
        <v>237.41477005618864</v>
      </c>
      <c r="AL122">
        <v>239.55348021044526</v>
      </c>
      <c r="AM122">
        <v>241.4480929302093</v>
      </c>
      <c r="AN122">
        <v>243.26393392866927</v>
      </c>
      <c r="AO122">
        <v>245.16812555057206</v>
      </c>
      <c r="AP122">
        <v>247.15599016269391</v>
      </c>
      <c r="AQ122">
        <v>249.29541592682375</v>
      </c>
      <c r="AR122">
        <v>251.49048863131171</v>
      </c>
      <c r="AS122">
        <v>253.68684701354294</v>
      </c>
      <c r="AT122">
        <v>255.80274025209127</v>
      </c>
      <c r="AU122">
        <v>257.76811926856459</v>
      </c>
      <c r="AV122">
        <v>259.57135077074997</v>
      </c>
      <c r="AW122">
        <v>261.20277207689639</v>
      </c>
      <c r="AX122">
        <v>262.70346764241907</v>
      </c>
      <c r="AY122">
        <v>264.11131454208032</v>
      </c>
    </row>
    <row r="123" spans="1:51" x14ac:dyDescent="0.2">
      <c r="A123" t="s">
        <v>122</v>
      </c>
      <c r="B123" t="s">
        <v>4</v>
      </c>
      <c r="C123">
        <v>548.72938374651039</v>
      </c>
      <c r="D123">
        <v>476.61980424192831</v>
      </c>
      <c r="E123">
        <v>554.70505322382189</v>
      </c>
      <c r="F123">
        <v>289.1305825911237</v>
      </c>
      <c r="G123">
        <v>360.63456164539252</v>
      </c>
      <c r="H123">
        <v>426.23008565204753</v>
      </c>
      <c r="I123">
        <v>355.28085315262825</v>
      </c>
      <c r="J123">
        <v>372.54778787173245</v>
      </c>
      <c r="K123">
        <v>337.1459699401637</v>
      </c>
      <c r="L123">
        <v>403.26967160631079</v>
      </c>
      <c r="M123">
        <v>413.59527818665367</v>
      </c>
      <c r="N123">
        <v>411.66239148878014</v>
      </c>
      <c r="O123">
        <v>420.70960532052686</v>
      </c>
      <c r="P123">
        <v>409.4759925678913</v>
      </c>
      <c r="Q123">
        <v>419.80061201897524</v>
      </c>
      <c r="R123">
        <v>408.48713409865121</v>
      </c>
      <c r="S123">
        <v>404.64855079885501</v>
      </c>
      <c r="T123">
        <v>401.5926198820444</v>
      </c>
      <c r="U123">
        <v>398.61795513107</v>
      </c>
      <c r="V123">
        <v>403.41954264773091</v>
      </c>
      <c r="W123">
        <v>404.33008309662097</v>
      </c>
      <c r="X123">
        <v>409.99348491946637</v>
      </c>
      <c r="Y123">
        <v>413.81683075157042</v>
      </c>
      <c r="Z123">
        <v>417.19372123550653</v>
      </c>
      <c r="AA123">
        <v>419.82550418660838</v>
      </c>
      <c r="AB123">
        <v>419.63722302828785</v>
      </c>
      <c r="AC123">
        <v>419.54924737082121</v>
      </c>
      <c r="AD123">
        <v>418.11457305762872</v>
      </c>
      <c r="AE123">
        <v>417.23529181680283</v>
      </c>
      <c r="AF123">
        <v>416.78368141677595</v>
      </c>
      <c r="AG123">
        <v>416.85007757003865</v>
      </c>
      <c r="AH123">
        <v>417.87595295463416</v>
      </c>
      <c r="AI123">
        <v>419.10100395370137</v>
      </c>
      <c r="AJ123">
        <v>420.71825528241521</v>
      </c>
      <c r="AK123">
        <v>422.15733218930973</v>
      </c>
      <c r="AL123">
        <v>423.34561038113804</v>
      </c>
      <c r="AM123">
        <v>424.21840544366478</v>
      </c>
      <c r="AN123">
        <v>424.67209067702703</v>
      </c>
      <c r="AO123">
        <v>424.91298245932148</v>
      </c>
      <c r="AP123">
        <v>424.95565564218515</v>
      </c>
      <c r="AQ123">
        <v>425.00141603992597</v>
      </c>
      <c r="AR123">
        <v>425.13384066047558</v>
      </c>
      <c r="AS123">
        <v>425.41073564410539</v>
      </c>
      <c r="AT123">
        <v>425.86787330183029</v>
      </c>
      <c r="AU123">
        <v>426.44023843065668</v>
      </c>
      <c r="AV123">
        <v>427.08690568989795</v>
      </c>
      <c r="AW123">
        <v>427.71851884735264</v>
      </c>
      <c r="AX123">
        <v>428.27940292781454</v>
      </c>
      <c r="AY123">
        <v>428.73598472952415</v>
      </c>
    </row>
    <row r="124" spans="1:51" x14ac:dyDescent="0.2">
      <c r="A124" t="s">
        <v>123</v>
      </c>
      <c r="B124" t="s">
        <v>4</v>
      </c>
      <c r="C124">
        <v>1515.3574023847154</v>
      </c>
      <c r="D124">
        <v>1583.2720895824468</v>
      </c>
      <c r="E124">
        <v>2550.6270999255712</v>
      </c>
      <c r="F124">
        <v>1199.1116203810914</v>
      </c>
      <c r="G124">
        <v>2263.5287211875539</v>
      </c>
      <c r="H124">
        <v>2642.1204863025064</v>
      </c>
      <c r="I124">
        <v>2897.7196815880493</v>
      </c>
      <c r="J124">
        <v>3327.0161132193789</v>
      </c>
      <c r="K124">
        <v>3138.8324516274984</v>
      </c>
      <c r="L124">
        <v>3504.9203171473728</v>
      </c>
      <c r="M124">
        <v>3387.7153687197911</v>
      </c>
      <c r="N124">
        <v>3378.5694219593802</v>
      </c>
      <c r="O124">
        <v>3317.4620678063975</v>
      </c>
      <c r="P124">
        <v>3214.0828892976961</v>
      </c>
      <c r="Q124">
        <v>3306.1344352658439</v>
      </c>
      <c r="R124">
        <v>3324.3086254990967</v>
      </c>
      <c r="S124">
        <v>3475.2672278098003</v>
      </c>
      <c r="T124">
        <v>3603.015044320151</v>
      </c>
      <c r="U124">
        <v>3734.9717681009593</v>
      </c>
      <c r="V124">
        <v>3863.2376721179535</v>
      </c>
      <c r="W124">
        <v>3924.9006128622236</v>
      </c>
      <c r="X124">
        <v>3981.0270709095657</v>
      </c>
      <c r="Y124">
        <v>3992.3545794570064</v>
      </c>
      <c r="Z124">
        <v>4003.5141180356441</v>
      </c>
      <c r="AA124">
        <v>4014.8912227603482</v>
      </c>
      <c r="AB124">
        <v>4031.1561026725817</v>
      </c>
      <c r="AC124">
        <v>4067.7219486203553</v>
      </c>
      <c r="AD124">
        <v>4110.2814533477267</v>
      </c>
      <c r="AE124">
        <v>4166.3804908348784</v>
      </c>
      <c r="AF124">
        <v>4223.6239369566611</v>
      </c>
      <c r="AG124">
        <v>4279.2824087275158</v>
      </c>
      <c r="AH124">
        <v>4330.1265928999101</v>
      </c>
      <c r="AI124">
        <v>4371.1648635395104</v>
      </c>
      <c r="AJ124">
        <v>4405.1891445888132</v>
      </c>
      <c r="AK124">
        <v>4431.0237662531836</v>
      </c>
      <c r="AL124">
        <v>4452.8732529453919</v>
      </c>
      <c r="AM124">
        <v>4473.18700774032</v>
      </c>
      <c r="AN124">
        <v>4494.3674693509502</v>
      </c>
      <c r="AO124">
        <v>4518.6399175422603</v>
      </c>
      <c r="AP124">
        <v>4545.64663531521</v>
      </c>
      <c r="AQ124">
        <v>4575.22012829101</v>
      </c>
      <c r="AR124">
        <v>4605.5340306387143</v>
      </c>
      <c r="AS124">
        <v>4635.0664408961911</v>
      </c>
      <c r="AT124">
        <v>4662.5189039996285</v>
      </c>
      <c r="AU124">
        <v>4687.0051934030498</v>
      </c>
      <c r="AV124">
        <v>4708.6279636627742</v>
      </c>
      <c r="AW124">
        <v>4727.7506028236303</v>
      </c>
      <c r="AX124">
        <v>4745.2688265556526</v>
      </c>
      <c r="AY124">
        <v>4762.0177957848337</v>
      </c>
    </row>
    <row r="125" spans="1:51" x14ac:dyDescent="0.2">
      <c r="A125" t="s">
        <v>124</v>
      </c>
      <c r="B125" t="s">
        <v>4</v>
      </c>
      <c r="C125">
        <v>35.972991118217244</v>
      </c>
      <c r="D125">
        <v>-8.2909595643858029</v>
      </c>
      <c r="E125">
        <v>105.57472558845808</v>
      </c>
      <c r="F125">
        <v>-38.693166782566983</v>
      </c>
      <c r="G125">
        <v>8.2225055329429111</v>
      </c>
      <c r="H125">
        <v>7.2888309711358366</v>
      </c>
      <c r="I125">
        <v>54.141408767417587</v>
      </c>
      <c r="J125">
        <v>124.76813503942819</v>
      </c>
      <c r="K125">
        <v>107.3375545519779</v>
      </c>
      <c r="L125">
        <v>133.73204380319322</v>
      </c>
      <c r="M125">
        <v>118.45171122734618</v>
      </c>
      <c r="N125">
        <v>123.89032014224108</v>
      </c>
      <c r="O125">
        <v>121.2375988735987</v>
      </c>
      <c r="P125">
        <v>107.86367386932508</v>
      </c>
      <c r="Q125">
        <v>111.27263219310504</v>
      </c>
      <c r="R125">
        <v>107.58092277945356</v>
      </c>
      <c r="S125">
        <v>118.43227499589246</v>
      </c>
      <c r="T125">
        <v>127.17684329851055</v>
      </c>
      <c r="U125">
        <v>137.44807188976054</v>
      </c>
      <c r="V125">
        <v>148.99766333940505</v>
      </c>
      <c r="W125">
        <v>155.39613013202558</v>
      </c>
      <c r="X125">
        <v>161.90849460318509</v>
      </c>
      <c r="Y125">
        <v>163.48617039246531</v>
      </c>
      <c r="Z125">
        <v>164.28800321769975</v>
      </c>
      <c r="AA125">
        <v>164.28266881913973</v>
      </c>
      <c r="AB125">
        <v>164.19079193052053</v>
      </c>
      <c r="AC125">
        <v>165.82483067596439</v>
      </c>
      <c r="AD125">
        <v>168.01218958394074</v>
      </c>
      <c r="AE125">
        <v>171.78273352577003</v>
      </c>
      <c r="AF125">
        <v>175.99735719895202</v>
      </c>
      <c r="AG125">
        <v>180.41760948883544</v>
      </c>
      <c r="AH125">
        <v>184.65205122532694</v>
      </c>
      <c r="AI125">
        <v>188.11456340155357</v>
      </c>
      <c r="AJ125">
        <v>190.99653522885401</v>
      </c>
      <c r="AK125">
        <v>193.07649806671765</v>
      </c>
      <c r="AL125">
        <v>194.69618767459832</v>
      </c>
      <c r="AM125">
        <v>196.03920177581028</v>
      </c>
      <c r="AN125">
        <v>197.33417916774721</v>
      </c>
      <c r="AO125">
        <v>198.83372573394598</v>
      </c>
      <c r="AP125">
        <v>200.56165831064837</v>
      </c>
      <c r="AQ125">
        <v>202.57486914926318</v>
      </c>
      <c r="AR125">
        <v>204.75009381711894</v>
      </c>
      <c r="AS125">
        <v>206.97001136967683</v>
      </c>
      <c r="AT125">
        <v>209.10489077422775</v>
      </c>
      <c r="AU125">
        <v>211.03871073734206</v>
      </c>
      <c r="AV125">
        <v>212.73997473824173</v>
      </c>
      <c r="AW125">
        <v>214.20280150766681</v>
      </c>
      <c r="AX125">
        <v>215.48710141178316</v>
      </c>
      <c r="AY125">
        <v>216.66311815709179</v>
      </c>
    </row>
    <row r="126" spans="1:51" x14ac:dyDescent="0.2">
      <c r="A126" t="s">
        <v>125</v>
      </c>
      <c r="B126" t="s">
        <v>4</v>
      </c>
      <c r="C126">
        <v>-66.264231081481526</v>
      </c>
      <c r="D126">
        <v>-53.181762923128225</v>
      </c>
      <c r="E126">
        <v>365.67515264952925</v>
      </c>
      <c r="F126">
        <v>321.89508543011459</v>
      </c>
      <c r="G126">
        <v>427.59338403869685</v>
      </c>
      <c r="H126">
        <v>418.41794946356936</v>
      </c>
      <c r="I126">
        <v>457.68674219949526</v>
      </c>
      <c r="J126">
        <v>559.65122267972015</v>
      </c>
      <c r="K126">
        <v>523.72055132573144</v>
      </c>
      <c r="L126">
        <v>560.4826655779143</v>
      </c>
      <c r="M126">
        <v>539.37795439155786</v>
      </c>
      <c r="N126">
        <v>549.92376704832236</v>
      </c>
      <c r="O126">
        <v>552.08949808015757</v>
      </c>
      <c r="P126">
        <v>532.77467246609444</v>
      </c>
      <c r="Q126">
        <v>538.77808174277493</v>
      </c>
      <c r="R126">
        <v>530.62011460510325</v>
      </c>
      <c r="S126">
        <v>542.06627794792212</v>
      </c>
      <c r="T126">
        <v>549.07375106665313</v>
      </c>
      <c r="U126">
        <v>555.99733913498312</v>
      </c>
      <c r="V126">
        <v>564.88102435440749</v>
      </c>
      <c r="W126">
        <v>565.63103380124426</v>
      </c>
      <c r="X126">
        <v>567.80907090998494</v>
      </c>
      <c r="Y126">
        <v>564.16842706579916</v>
      </c>
      <c r="Z126">
        <v>560.90342171366683</v>
      </c>
      <c r="AA126">
        <v>557.93256788636461</v>
      </c>
      <c r="AB126">
        <v>555.23973791267349</v>
      </c>
      <c r="AC126">
        <v>555.10931977642008</v>
      </c>
      <c r="AD126">
        <v>555.08371229287593</v>
      </c>
      <c r="AE126">
        <v>556.59881739417983</v>
      </c>
      <c r="AF126">
        <v>558.14146879269333</v>
      </c>
      <c r="AG126">
        <v>559.6246881621546</v>
      </c>
      <c r="AH126">
        <v>560.93918707661578</v>
      </c>
      <c r="AI126">
        <v>561.44001316560616</v>
      </c>
      <c r="AJ126">
        <v>561.61443341360621</v>
      </c>
      <c r="AK126">
        <v>561.13221405887703</v>
      </c>
      <c r="AL126">
        <v>560.4066704842794</v>
      </c>
      <c r="AM126">
        <v>559.58915686004332</v>
      </c>
      <c r="AN126">
        <v>558.85351068738942</v>
      </c>
      <c r="AO126">
        <v>558.47025929822087</v>
      </c>
      <c r="AP126">
        <v>558.38223436818066</v>
      </c>
      <c r="AQ126">
        <v>558.64066089198889</v>
      </c>
      <c r="AR126">
        <v>559.07134145200621</v>
      </c>
      <c r="AS126">
        <v>559.53978546514327</v>
      </c>
      <c r="AT126">
        <v>559.92394602980971</v>
      </c>
      <c r="AU126">
        <v>560.11705702647748</v>
      </c>
      <c r="AV126">
        <v>560.12915521459797</v>
      </c>
      <c r="AW126">
        <v>559.97719655355036</v>
      </c>
      <c r="AX126">
        <v>559.74417491193435</v>
      </c>
      <c r="AY126">
        <v>559.50305014204446</v>
      </c>
    </row>
    <row r="127" spans="1:51" x14ac:dyDescent="0.2">
      <c r="A127" t="s">
        <v>126</v>
      </c>
      <c r="B127" t="s">
        <v>4</v>
      </c>
      <c r="C127">
        <v>10.232948169404569</v>
      </c>
      <c r="D127">
        <v>-6.9257775349473296E-3</v>
      </c>
      <c r="E127">
        <v>28.168613088753009</v>
      </c>
      <c r="F127">
        <v>-2.623504894596949</v>
      </c>
      <c r="G127">
        <v>19.668057483085725</v>
      </c>
      <c r="H127">
        <v>15.770242783997562</v>
      </c>
      <c r="I127">
        <v>18.705622556737843</v>
      </c>
      <c r="J127">
        <v>24.522086523678777</v>
      </c>
      <c r="K127">
        <v>18.102253516902806</v>
      </c>
      <c r="L127">
        <v>26.476503997170191</v>
      </c>
      <c r="M127">
        <v>22.829828908091393</v>
      </c>
      <c r="N127">
        <v>25.446290800411266</v>
      </c>
      <c r="O127">
        <v>25.819015029255464</v>
      </c>
      <c r="P127">
        <v>25.577750039818966</v>
      </c>
      <c r="Q127">
        <v>28.741382675217373</v>
      </c>
      <c r="R127">
        <v>28.989636328939518</v>
      </c>
      <c r="S127">
        <v>31.97139625417552</v>
      </c>
      <c r="T127">
        <v>33.361742198656117</v>
      </c>
      <c r="U127">
        <v>35.060553377054177</v>
      </c>
      <c r="V127">
        <v>36.724466988500623</v>
      </c>
      <c r="W127">
        <v>37.41026993803505</v>
      </c>
      <c r="X127">
        <v>38.611630698435228</v>
      </c>
      <c r="Y127">
        <v>39.120111741616569</v>
      </c>
      <c r="Z127">
        <v>39.984160043421149</v>
      </c>
      <c r="AA127">
        <v>40.800436399644944</v>
      </c>
      <c r="AB127">
        <v>41.633759868399579</v>
      </c>
      <c r="AC127">
        <v>42.688543958202736</v>
      </c>
      <c r="AD127">
        <v>43.610914605523142</v>
      </c>
      <c r="AE127">
        <v>44.666333605682247</v>
      </c>
      <c r="AF127">
        <v>45.604761549770267</v>
      </c>
      <c r="AG127">
        <v>46.504128168034306</v>
      </c>
      <c r="AH127">
        <v>47.341482626896713</v>
      </c>
      <c r="AI127">
        <v>48.065295533140379</v>
      </c>
      <c r="AJ127">
        <v>48.759358953963876</v>
      </c>
      <c r="AK127">
        <v>49.37219907152145</v>
      </c>
      <c r="AL127">
        <v>49.974050258336803</v>
      </c>
      <c r="AM127">
        <v>50.561454067319644</v>
      </c>
      <c r="AN127">
        <v>51.149524534825041</v>
      </c>
      <c r="AO127">
        <v>51.754047686260513</v>
      </c>
      <c r="AP127">
        <v>52.353377249503694</v>
      </c>
      <c r="AQ127">
        <v>52.952826853316942</v>
      </c>
      <c r="AR127">
        <v>53.529138691281666</v>
      </c>
      <c r="AS127">
        <v>54.07750643085781</v>
      </c>
      <c r="AT127">
        <v>54.592270367083636</v>
      </c>
      <c r="AU127">
        <v>55.070817945821133</v>
      </c>
      <c r="AV127">
        <v>55.521526687986238</v>
      </c>
      <c r="AW127">
        <v>55.947620718983998</v>
      </c>
      <c r="AX127">
        <v>56.358604423819962</v>
      </c>
      <c r="AY127">
        <v>56.758800358268701</v>
      </c>
    </row>
    <row r="128" spans="1:51" x14ac:dyDescent="0.2">
      <c r="A128" t="s">
        <v>127</v>
      </c>
      <c r="B128" t="s">
        <v>4</v>
      </c>
      <c r="C128">
        <v>187.63093708231315</v>
      </c>
      <c r="D128">
        <v>256.71922202142031</v>
      </c>
      <c r="E128">
        <v>460.90456937423153</v>
      </c>
      <c r="F128">
        <v>185.25422985196278</v>
      </c>
      <c r="G128">
        <v>303.45891647746635</v>
      </c>
      <c r="H128">
        <v>348.3776657582145</v>
      </c>
      <c r="I128">
        <v>379.85424533477482</v>
      </c>
      <c r="J128">
        <v>428.54677089203096</v>
      </c>
      <c r="K128">
        <v>369.83135266957879</v>
      </c>
      <c r="L128">
        <v>420.57108202830841</v>
      </c>
      <c r="M128">
        <v>397.77606082726095</v>
      </c>
      <c r="N128">
        <v>398.79840493216295</v>
      </c>
      <c r="O128">
        <v>395.24427426964678</v>
      </c>
      <c r="P128">
        <v>386.30507852791061</v>
      </c>
      <c r="Q128">
        <v>413.52712156432318</v>
      </c>
      <c r="R128">
        <v>427.26383599066889</v>
      </c>
      <c r="S128">
        <v>460.793621635828</v>
      </c>
      <c r="T128">
        <v>486.52186340898561</v>
      </c>
      <c r="U128">
        <v>509.63303585550193</v>
      </c>
      <c r="V128">
        <v>530.52606764518885</v>
      </c>
      <c r="W128">
        <v>539.57296531408383</v>
      </c>
      <c r="X128">
        <v>548.76174137550174</v>
      </c>
      <c r="Y128">
        <v>552.04037634854888</v>
      </c>
      <c r="Z128">
        <v>557.20724538340403</v>
      </c>
      <c r="AA128">
        <v>563.92032052816273</v>
      </c>
      <c r="AB128">
        <v>572.07398507771541</v>
      </c>
      <c r="AC128">
        <v>583.57926034923048</v>
      </c>
      <c r="AD128">
        <v>595.36295381891966</v>
      </c>
      <c r="AE128">
        <v>608.48270639134205</v>
      </c>
      <c r="AF128">
        <v>620.82768785000133</v>
      </c>
      <c r="AG128">
        <v>632.13006948027248</v>
      </c>
      <c r="AH128">
        <v>642.17537356292394</v>
      </c>
      <c r="AI128">
        <v>650.42030072128478</v>
      </c>
      <c r="AJ128">
        <v>657.62328407496227</v>
      </c>
      <c r="AK128">
        <v>663.73929203821137</v>
      </c>
      <c r="AL128">
        <v>669.53304622042378</v>
      </c>
      <c r="AM128">
        <v>675.36525606031512</v>
      </c>
      <c r="AN128">
        <v>681.50419502771058</v>
      </c>
      <c r="AO128">
        <v>688.16295779117297</v>
      </c>
      <c r="AP128">
        <v>695.11866291655576</v>
      </c>
      <c r="AQ128">
        <v>702.23746165037869</v>
      </c>
      <c r="AR128">
        <v>709.17250769101997</v>
      </c>
      <c r="AS128">
        <v>715.69869303306086</v>
      </c>
      <c r="AT128">
        <v>721.68024800147589</v>
      </c>
      <c r="AU128">
        <v>727.06822428298892</v>
      </c>
      <c r="AV128">
        <v>731.97231127730379</v>
      </c>
      <c r="AW128">
        <v>736.51215045353683</v>
      </c>
      <c r="AX128">
        <v>740.85718149995</v>
      </c>
      <c r="AY128">
        <v>745.13001334482885</v>
      </c>
    </row>
    <row r="129" spans="1:51" x14ac:dyDescent="0.2">
      <c r="A129" t="s">
        <v>128</v>
      </c>
      <c r="B129" t="s">
        <v>4</v>
      </c>
      <c r="C129">
        <v>-101.13478042039529</v>
      </c>
      <c r="D129">
        <v>113.12275539347077</v>
      </c>
      <c r="E129">
        <v>271.65048170240544</v>
      </c>
      <c r="F129">
        <v>151.97363650705114</v>
      </c>
      <c r="G129">
        <v>229.7928679233282</v>
      </c>
      <c r="H129">
        <v>203.03470140369555</v>
      </c>
      <c r="I129">
        <v>268.24435612143623</v>
      </c>
      <c r="J129">
        <v>280.53000765316312</v>
      </c>
      <c r="K129">
        <v>269.06152229964289</v>
      </c>
      <c r="L129">
        <v>306.43501074709906</v>
      </c>
      <c r="M129">
        <v>296.95275948258922</v>
      </c>
      <c r="N129">
        <v>316.86404829080254</v>
      </c>
      <c r="O129">
        <v>309.23090454664202</v>
      </c>
      <c r="P129">
        <v>307.36696633530869</v>
      </c>
      <c r="Q129">
        <v>312.51035297587606</v>
      </c>
      <c r="R129">
        <v>311.14356145324001</v>
      </c>
      <c r="S129">
        <v>322.70043668149412</v>
      </c>
      <c r="T129">
        <v>327.18864750152579</v>
      </c>
      <c r="U129">
        <v>336.88214666159433</v>
      </c>
      <c r="V129">
        <v>344.46143426121205</v>
      </c>
      <c r="W129">
        <v>349.55188423892974</v>
      </c>
      <c r="X129">
        <v>355.22418037046805</v>
      </c>
      <c r="Y129">
        <v>357.20852639976545</v>
      </c>
      <c r="Z129">
        <v>360.42919736064766</v>
      </c>
      <c r="AA129">
        <v>362.35079123058125</v>
      </c>
      <c r="AB129">
        <v>364.66239760158322</v>
      </c>
      <c r="AC129">
        <v>367.44757675118552</v>
      </c>
      <c r="AD129">
        <v>370.03813246241049</v>
      </c>
      <c r="AE129">
        <v>373.50689114763333</v>
      </c>
      <c r="AF129">
        <v>376.78133271310026</v>
      </c>
      <c r="AG129">
        <v>380.39435722840807</v>
      </c>
      <c r="AH129">
        <v>383.85511970485436</v>
      </c>
      <c r="AI129">
        <v>387.01388388463209</v>
      </c>
      <c r="AJ129">
        <v>389.93057738135496</v>
      </c>
      <c r="AK129">
        <v>392.32362943782709</v>
      </c>
      <c r="AL129">
        <v>394.4703041969579</v>
      </c>
      <c r="AM129">
        <v>396.33462348732382</v>
      </c>
      <c r="AN129">
        <v>398.12813808547946</v>
      </c>
      <c r="AO129">
        <v>399.96550492362695</v>
      </c>
      <c r="AP129">
        <v>401.86940145789981</v>
      </c>
      <c r="AQ129">
        <v>403.89903135863119</v>
      </c>
      <c r="AR129">
        <v>405.95853666566666</v>
      </c>
      <c r="AS129">
        <v>408.01507703772063</v>
      </c>
      <c r="AT129">
        <v>409.98685565704346</v>
      </c>
      <c r="AU129">
        <v>411.8285120992328</v>
      </c>
      <c r="AV129">
        <v>413.53156243827732</v>
      </c>
      <c r="AW129">
        <v>415.09065225082622</v>
      </c>
      <c r="AX129">
        <v>416.54230841770021</v>
      </c>
      <c r="AY129">
        <v>417.91081609812619</v>
      </c>
    </row>
    <row r="130" spans="1:51" x14ac:dyDescent="0.2">
      <c r="A130" t="s">
        <v>129</v>
      </c>
      <c r="B130" t="s">
        <v>4</v>
      </c>
      <c r="C130">
        <v>-212.08045570966758</v>
      </c>
      <c r="D130">
        <v>15.523668384693218</v>
      </c>
      <c r="E130">
        <v>203.18167953068377</v>
      </c>
      <c r="F130">
        <v>-25.220195663957334</v>
      </c>
      <c r="G130">
        <v>113.7630509152097</v>
      </c>
      <c r="H130">
        <v>43.906740221541128</v>
      </c>
      <c r="I130">
        <v>125.38773795873291</v>
      </c>
      <c r="J130">
        <v>129.78904872906608</v>
      </c>
      <c r="K130">
        <v>94.459961722282131</v>
      </c>
      <c r="L130">
        <v>146.99332346206344</v>
      </c>
      <c r="M130">
        <v>120.17622524289416</v>
      </c>
      <c r="N130">
        <v>150.39578454169029</v>
      </c>
      <c r="O130">
        <v>141.05752232175183</v>
      </c>
      <c r="P130">
        <v>142.76353901574814</v>
      </c>
      <c r="Q130">
        <v>156.60406382912993</v>
      </c>
      <c r="R130">
        <v>155.36874340475066</v>
      </c>
      <c r="S130">
        <v>173.52515248399888</v>
      </c>
      <c r="T130">
        <v>177.15412958148266</v>
      </c>
      <c r="U130">
        <v>188.03885389632791</v>
      </c>
      <c r="V130">
        <v>195.45786864110926</v>
      </c>
      <c r="W130">
        <v>199.23415271657842</v>
      </c>
      <c r="X130">
        <v>205.74667517472241</v>
      </c>
      <c r="Y130">
        <v>207.41914667727659</v>
      </c>
      <c r="Z130">
        <v>212.40833344331605</v>
      </c>
      <c r="AA130">
        <v>215.95272623671752</v>
      </c>
      <c r="AB130">
        <v>220.34448721280012</v>
      </c>
      <c r="AC130">
        <v>225.4755495171072</v>
      </c>
      <c r="AD130">
        <v>229.7914310026803</v>
      </c>
      <c r="AE130">
        <v>235.04485490826769</v>
      </c>
      <c r="AF130">
        <v>239.39516958071198</v>
      </c>
      <c r="AG130">
        <v>243.89573645362245</v>
      </c>
      <c r="AH130">
        <v>247.97987668540077</v>
      </c>
      <c r="AI130">
        <v>251.61879519555868</v>
      </c>
      <c r="AJ130">
        <v>255.15373229372906</v>
      </c>
      <c r="AK130">
        <v>258.20067453834992</v>
      </c>
      <c r="AL130">
        <v>261.23240537948732</v>
      </c>
      <c r="AM130">
        <v>264.08393979580649</v>
      </c>
      <c r="AN130">
        <v>266.94925956260016</v>
      </c>
      <c r="AO130">
        <v>269.87235260076801</v>
      </c>
      <c r="AP130">
        <v>272.77135103637198</v>
      </c>
      <c r="AQ130">
        <v>275.70316898345436</v>
      </c>
      <c r="AR130">
        <v>278.51986871666082</v>
      </c>
      <c r="AS130">
        <v>281.22683223002036</v>
      </c>
      <c r="AT130">
        <v>283.76623917643963</v>
      </c>
      <c r="AU130">
        <v>286.13215783911045</v>
      </c>
      <c r="AV130">
        <v>288.36089983141369</v>
      </c>
      <c r="AW130">
        <v>290.46155872112456</v>
      </c>
      <c r="AX130">
        <v>292.48795755114799</v>
      </c>
      <c r="AY130">
        <v>294.45334985760189</v>
      </c>
    </row>
    <row r="131" spans="1:51" x14ac:dyDescent="0.2">
      <c r="A131" t="s">
        <v>130</v>
      </c>
      <c r="B131" t="s">
        <v>4</v>
      </c>
      <c r="C131">
        <v>-46.358754962891432</v>
      </c>
      <c r="D131">
        <v>270.59196757668411</v>
      </c>
      <c r="E131">
        <v>576.25588663019323</v>
      </c>
      <c r="F131">
        <v>169.36391495565553</v>
      </c>
      <c r="G131">
        <v>189.30385657724733</v>
      </c>
      <c r="H131">
        <v>296.09667877296772</v>
      </c>
      <c r="I131">
        <v>455.96933059270469</v>
      </c>
      <c r="J131">
        <v>505.95073254307954</v>
      </c>
      <c r="K131">
        <v>406.98852888405634</v>
      </c>
      <c r="L131">
        <v>454.46043800472557</v>
      </c>
      <c r="M131">
        <v>460.23825022107599</v>
      </c>
      <c r="N131">
        <v>475.93372972336101</v>
      </c>
      <c r="O131">
        <v>444.34591390342212</v>
      </c>
      <c r="P131">
        <v>408.58247600135525</v>
      </c>
      <c r="Q131">
        <v>420.92415860586539</v>
      </c>
      <c r="R131">
        <v>428.17276812337434</v>
      </c>
      <c r="S131">
        <v>452.81018835935686</v>
      </c>
      <c r="T131">
        <v>466.61680565438712</v>
      </c>
      <c r="U131">
        <v>484.7715065761152</v>
      </c>
      <c r="V131">
        <v>504.70680528854172</v>
      </c>
      <c r="W131">
        <v>513.89751150237487</v>
      </c>
      <c r="X131">
        <v>520.27858758857997</v>
      </c>
      <c r="Y131">
        <v>518.25423506716641</v>
      </c>
      <c r="Z131">
        <v>517.51934068417722</v>
      </c>
      <c r="AA131">
        <v>517.16195118830672</v>
      </c>
      <c r="AB131">
        <v>517.67591211237925</v>
      </c>
      <c r="AC131">
        <v>521.10942900519547</v>
      </c>
      <c r="AD131">
        <v>525.58688967561216</v>
      </c>
      <c r="AE131">
        <v>532.7364968803837</v>
      </c>
      <c r="AF131">
        <v>540.23134435435315</v>
      </c>
      <c r="AG131">
        <v>547.64047585446428</v>
      </c>
      <c r="AH131">
        <v>554.27111980313748</v>
      </c>
      <c r="AI131">
        <v>559.3939375366632</v>
      </c>
      <c r="AJ131">
        <v>563.41574386832349</v>
      </c>
      <c r="AK131">
        <v>566.04358189561935</v>
      </c>
      <c r="AL131">
        <v>567.99347229238458</v>
      </c>
      <c r="AM131">
        <v>569.67284064787236</v>
      </c>
      <c r="AN131">
        <v>571.56556355995542</v>
      </c>
      <c r="AO131">
        <v>574.05278559113731</v>
      </c>
      <c r="AP131">
        <v>577.08262839638348</v>
      </c>
      <c r="AQ131">
        <v>580.62743575963225</v>
      </c>
      <c r="AR131">
        <v>584.36516684065373</v>
      </c>
      <c r="AS131">
        <v>588.03811728394624</v>
      </c>
      <c r="AT131">
        <v>591.40799413973286</v>
      </c>
      <c r="AU131">
        <v>594.32040364975069</v>
      </c>
      <c r="AV131">
        <v>596.78744915626862</v>
      </c>
      <c r="AW131">
        <v>598.86805580171108</v>
      </c>
      <c r="AX131">
        <v>600.71387235835493</v>
      </c>
      <c r="AY131">
        <v>602.46246391841419</v>
      </c>
    </row>
    <row r="132" spans="1:51" x14ac:dyDescent="0.2">
      <c r="A132" t="s">
        <v>131</v>
      </c>
      <c r="B132" t="s">
        <v>4</v>
      </c>
      <c r="C132">
        <v>-36.992435810322675</v>
      </c>
      <c r="D132">
        <v>-12.381483881564606</v>
      </c>
      <c r="E132">
        <v>65.880248247096617</v>
      </c>
      <c r="F132">
        <v>-1.8439941489183418</v>
      </c>
      <c r="G132">
        <v>-2.6296159196528222</v>
      </c>
      <c r="H132">
        <v>-0.16618217714869873</v>
      </c>
      <c r="I132">
        <v>27.412716940142403</v>
      </c>
      <c r="J132">
        <v>42.550384361031604</v>
      </c>
      <c r="K132">
        <v>26.335823076426699</v>
      </c>
      <c r="L132">
        <v>36.271892956912474</v>
      </c>
      <c r="M132">
        <v>37.17919006554915</v>
      </c>
      <c r="N132">
        <v>43.876467280212985</v>
      </c>
      <c r="O132">
        <v>42.803976742418712</v>
      </c>
      <c r="P132">
        <v>40.478814257290992</v>
      </c>
      <c r="Q132">
        <v>45.878173976158145</v>
      </c>
      <c r="R132">
        <v>48.530355853913065</v>
      </c>
      <c r="S132">
        <v>54.666947637239552</v>
      </c>
      <c r="T132">
        <v>58.723126539941276</v>
      </c>
      <c r="U132">
        <v>63.657166965408834</v>
      </c>
      <c r="V132">
        <v>68.782755829595942</v>
      </c>
      <c r="W132">
        <v>72.060958446484236</v>
      </c>
      <c r="X132">
        <v>75.454002794664248</v>
      </c>
      <c r="Y132">
        <v>77.481802911334213</v>
      </c>
      <c r="Z132">
        <v>79.750224912175725</v>
      </c>
      <c r="AA132">
        <v>81.85761354771806</v>
      </c>
      <c r="AB132">
        <v>83.967932209864756</v>
      </c>
      <c r="AC132">
        <v>86.499340476427932</v>
      </c>
      <c r="AD132">
        <v>89.004794865298976</v>
      </c>
      <c r="AE132">
        <v>91.833184801847054</v>
      </c>
      <c r="AF132">
        <v>94.58318735230435</v>
      </c>
      <c r="AG132">
        <v>97.277910891702817</v>
      </c>
      <c r="AH132">
        <v>99.827568624859481</v>
      </c>
      <c r="AI132">
        <v>102.10759742135313</v>
      </c>
      <c r="AJ132">
        <v>104.2138254193838</v>
      </c>
      <c r="AK132">
        <v>106.07814689337067</v>
      </c>
      <c r="AL132">
        <v>107.82057756819559</v>
      </c>
      <c r="AM132">
        <v>109.47613588111876</v>
      </c>
      <c r="AN132">
        <v>111.10314629753759</v>
      </c>
      <c r="AO132">
        <v>112.75575040445409</v>
      </c>
      <c r="AP132">
        <v>114.41989073363455</v>
      </c>
      <c r="AQ132">
        <v>116.10369300158676</v>
      </c>
      <c r="AR132">
        <v>117.76347149238778</v>
      </c>
      <c r="AS132">
        <v>119.3729481769671</v>
      </c>
      <c r="AT132">
        <v>120.90486644276338</v>
      </c>
      <c r="AU132">
        <v>122.34028010524172</v>
      </c>
      <c r="AV132">
        <v>123.6839746713151</v>
      </c>
      <c r="AW132">
        <v>124.94196736132039</v>
      </c>
      <c r="AX132">
        <v>126.13537243163225</v>
      </c>
      <c r="AY132">
        <v>127.28164594428777</v>
      </c>
    </row>
    <row r="133" spans="1:51" x14ac:dyDescent="0.2">
      <c r="A133" t="s">
        <v>132</v>
      </c>
      <c r="B133" t="s">
        <v>4</v>
      </c>
      <c r="C133">
        <v>-171.17387124526047</v>
      </c>
      <c r="D133">
        <v>23.422844655943262</v>
      </c>
      <c r="E133">
        <v>208.7779478867333</v>
      </c>
      <c r="F133">
        <v>125.46231140055696</v>
      </c>
      <c r="G133">
        <v>175.74629116566103</v>
      </c>
      <c r="H133">
        <v>69.849985542556567</v>
      </c>
      <c r="I133">
        <v>119.18299477504547</v>
      </c>
      <c r="J133">
        <v>115.64449952460036</v>
      </c>
      <c r="K133">
        <v>93.568449172959646</v>
      </c>
      <c r="L133">
        <v>110.15973976022399</v>
      </c>
      <c r="M133">
        <v>90.884495645615402</v>
      </c>
      <c r="N133">
        <v>117.32126838516484</v>
      </c>
      <c r="O133">
        <v>113.02031150655577</v>
      </c>
      <c r="P133">
        <v>116.07957821118828</v>
      </c>
      <c r="Q133">
        <v>119.54067273787662</v>
      </c>
      <c r="R133">
        <v>114.9265106132615</v>
      </c>
      <c r="S133">
        <v>120.59268089087244</v>
      </c>
      <c r="T133">
        <v>115.79998417372606</v>
      </c>
      <c r="U133">
        <v>116.58174603110655</v>
      </c>
      <c r="V133">
        <v>115.01059604680093</v>
      </c>
      <c r="W133">
        <v>113.6575164963233</v>
      </c>
      <c r="X133">
        <v>114.82776200366199</v>
      </c>
      <c r="Y133">
        <v>114.1023063582852</v>
      </c>
      <c r="Z133">
        <v>116.05867322367459</v>
      </c>
      <c r="AA133">
        <v>116.95107775507866</v>
      </c>
      <c r="AB133">
        <v>118.3682260832896</v>
      </c>
      <c r="AC133">
        <v>119.49867036525339</v>
      </c>
      <c r="AD133">
        <v>119.67823220082623</v>
      </c>
      <c r="AE133">
        <v>119.98546311543988</v>
      </c>
      <c r="AF133">
        <v>119.53675880671027</v>
      </c>
      <c r="AG133">
        <v>119.33071568595307</v>
      </c>
      <c r="AH133">
        <v>119.09299000080119</v>
      </c>
      <c r="AI133">
        <v>119.03023813471083</v>
      </c>
      <c r="AJ133">
        <v>119.28678506767714</v>
      </c>
      <c r="AK133">
        <v>119.58205515231131</v>
      </c>
      <c r="AL133">
        <v>120.07761106070143</v>
      </c>
      <c r="AM133">
        <v>120.51202961598243</v>
      </c>
      <c r="AN133">
        <v>120.92432690702344</v>
      </c>
      <c r="AO133">
        <v>121.25568155347557</v>
      </c>
      <c r="AP133">
        <v>121.46539822756748</v>
      </c>
      <c r="AQ133">
        <v>121.61648442328955</v>
      </c>
      <c r="AR133">
        <v>121.67844321884697</v>
      </c>
      <c r="AS133">
        <v>121.72545120429027</v>
      </c>
      <c r="AT133">
        <v>121.76848159338832</v>
      </c>
      <c r="AU133">
        <v>121.83932812806169</v>
      </c>
      <c r="AV133">
        <v>121.95948752415184</v>
      </c>
      <c r="AW133">
        <v>122.11687114938047</v>
      </c>
      <c r="AX133">
        <v>122.31158235643788</v>
      </c>
      <c r="AY133">
        <v>122.51408217755602</v>
      </c>
    </row>
    <row r="134" spans="1:51" x14ac:dyDescent="0.2">
      <c r="A134" t="s">
        <v>133</v>
      </c>
      <c r="B134" t="s">
        <v>4</v>
      </c>
      <c r="C134">
        <v>333.77294488674625</v>
      </c>
      <c r="D134">
        <v>126.49926435610986</v>
      </c>
      <c r="E134">
        <v>454.80857776931845</v>
      </c>
      <c r="F134">
        <v>154.35244812538954</v>
      </c>
      <c r="G134">
        <v>473.65538424325388</v>
      </c>
      <c r="H134">
        <v>403.77627883864233</v>
      </c>
      <c r="I134">
        <v>423.95239905163004</v>
      </c>
      <c r="J134">
        <v>516.91820956026265</v>
      </c>
      <c r="K134">
        <v>456.59775269024135</v>
      </c>
      <c r="L134">
        <v>556.69761648250699</v>
      </c>
      <c r="M134">
        <v>506.20146200780306</v>
      </c>
      <c r="N134">
        <v>533.24853581587161</v>
      </c>
      <c r="O134">
        <v>535.94329924051533</v>
      </c>
      <c r="P134">
        <v>526.76441992909656</v>
      </c>
      <c r="Q134">
        <v>558.30110773943716</v>
      </c>
      <c r="R134">
        <v>556.36694943568875</v>
      </c>
      <c r="S134">
        <v>591.03952129816275</v>
      </c>
      <c r="T134">
        <v>609.98366081609902</v>
      </c>
      <c r="U134">
        <v>633.92781354066767</v>
      </c>
      <c r="V134">
        <v>658.18676045098812</v>
      </c>
      <c r="W134">
        <v>669.78019709136402</v>
      </c>
      <c r="X134">
        <v>686.24696911618264</v>
      </c>
      <c r="Y134">
        <v>692.60246451943294</v>
      </c>
      <c r="Z134">
        <v>701.67319092592777</v>
      </c>
      <c r="AA134">
        <v>709.50655022620731</v>
      </c>
      <c r="AB134">
        <v>717.50504946672243</v>
      </c>
      <c r="AC134">
        <v>728.80680108212448</v>
      </c>
      <c r="AD134">
        <v>739.28988538811291</v>
      </c>
      <c r="AE134">
        <v>752.13470446280689</v>
      </c>
      <c r="AF134">
        <v>764.15429228042376</v>
      </c>
      <c r="AG134">
        <v>775.97655634288913</v>
      </c>
      <c r="AH134">
        <v>787.09066350925968</v>
      </c>
      <c r="AI134">
        <v>796.63167209807659</v>
      </c>
      <c r="AJ134">
        <v>805.50277528429763</v>
      </c>
      <c r="AK134">
        <v>813.04782077002767</v>
      </c>
      <c r="AL134">
        <v>820.15310066482448</v>
      </c>
      <c r="AM134">
        <v>826.88752966497555</v>
      </c>
      <c r="AN134">
        <v>833.55658676534301</v>
      </c>
      <c r="AO134">
        <v>840.4880184962019</v>
      </c>
      <c r="AP134">
        <v>847.51396238108509</v>
      </c>
      <c r="AQ134">
        <v>854.74075992455982</v>
      </c>
      <c r="AR134">
        <v>861.87172081114488</v>
      </c>
      <c r="AS134">
        <v>868.78369871552547</v>
      </c>
      <c r="AT134">
        <v>875.32622756165165</v>
      </c>
      <c r="AU134">
        <v>881.38748501952716</v>
      </c>
      <c r="AV134">
        <v>887.01673912108902</v>
      </c>
      <c r="AW134">
        <v>892.23579218560553</v>
      </c>
      <c r="AX134">
        <v>897.17503346638807</v>
      </c>
      <c r="AY134">
        <v>901.92468735594161</v>
      </c>
    </row>
    <row r="135" spans="1:51" x14ac:dyDescent="0.2">
      <c r="A135" t="s">
        <v>134</v>
      </c>
      <c r="B135" t="s">
        <v>4</v>
      </c>
      <c r="C135">
        <v>-30.343244655697262</v>
      </c>
      <c r="D135">
        <v>57.014937659066725</v>
      </c>
      <c r="E135">
        <v>251.66565706093706</v>
      </c>
      <c r="F135">
        <v>30.770258272520582</v>
      </c>
      <c r="G135">
        <v>20.867514658583143</v>
      </c>
      <c r="H135">
        <v>45.94464796853692</v>
      </c>
      <c r="I135">
        <v>113.69940859699096</v>
      </c>
      <c r="J135">
        <v>156.48504315224983</v>
      </c>
      <c r="K135">
        <v>120.06940011675634</v>
      </c>
      <c r="L135">
        <v>156.78622863434811</v>
      </c>
      <c r="M135">
        <v>164.08223545776215</v>
      </c>
      <c r="N135">
        <v>180.53217147159393</v>
      </c>
      <c r="O135">
        <v>178.38848007873634</v>
      </c>
      <c r="P135">
        <v>168.13704242229969</v>
      </c>
      <c r="Q135">
        <v>176.98500099610882</v>
      </c>
      <c r="R135">
        <v>177.84139723464457</v>
      </c>
      <c r="S135">
        <v>188.99881958527652</v>
      </c>
      <c r="T135">
        <v>196.27698955086768</v>
      </c>
      <c r="U135">
        <v>206.24205758571225</v>
      </c>
      <c r="V135">
        <v>218.70276793282105</v>
      </c>
      <c r="W135">
        <v>227.21965406957733</v>
      </c>
      <c r="X135">
        <v>236.46466418922165</v>
      </c>
      <c r="Y135">
        <v>241.66311489746755</v>
      </c>
      <c r="Z135">
        <v>246.60750525432383</v>
      </c>
      <c r="AA135">
        <v>250.50787850931403</v>
      </c>
      <c r="AB135">
        <v>253.61674862868233</v>
      </c>
      <c r="AC135">
        <v>257.47692127714646</v>
      </c>
      <c r="AD135">
        <v>261.19308597283845</v>
      </c>
      <c r="AE135">
        <v>266.04409420941363</v>
      </c>
      <c r="AF135">
        <v>271.18617888713726</v>
      </c>
      <c r="AG135">
        <v>276.63162272756165</v>
      </c>
      <c r="AH135">
        <v>282.11998348201558</v>
      </c>
      <c r="AI135">
        <v>287.13872080636321</v>
      </c>
      <c r="AJ135">
        <v>291.80161748286497</v>
      </c>
      <c r="AK135">
        <v>295.78358168850644</v>
      </c>
      <c r="AL135">
        <v>299.30184737558164</v>
      </c>
      <c r="AM135">
        <v>302.4359857094837</v>
      </c>
      <c r="AN135">
        <v>305.3523490137743</v>
      </c>
      <c r="AO135">
        <v>308.26626032349543</v>
      </c>
      <c r="AP135">
        <v>311.21399704027436</v>
      </c>
      <c r="AQ135">
        <v>314.29132969756887</v>
      </c>
      <c r="AR135">
        <v>317.43687488804363</v>
      </c>
      <c r="AS135">
        <v>320.5980108409214</v>
      </c>
      <c r="AT135">
        <v>323.69429543783446</v>
      </c>
      <c r="AU135">
        <v>326.63818938525696</v>
      </c>
      <c r="AV135">
        <v>329.39745915496309</v>
      </c>
      <c r="AW135">
        <v>331.94461115337526</v>
      </c>
      <c r="AX135">
        <v>334.30472142705361</v>
      </c>
      <c r="AY135">
        <v>336.5126081266514</v>
      </c>
    </row>
    <row r="136" spans="1:51" x14ac:dyDescent="0.2">
      <c r="A136" t="s">
        <v>135</v>
      </c>
      <c r="B136" t="s">
        <v>4</v>
      </c>
      <c r="C136">
        <v>24.519811085006801</v>
      </c>
      <c r="D136">
        <v>11.273599245279126</v>
      </c>
      <c r="E136">
        <v>22.0355547533809</v>
      </c>
      <c r="F136">
        <v>16.824876237286727</v>
      </c>
      <c r="G136">
        <v>20.280533145869828</v>
      </c>
      <c r="H136">
        <v>30.365821068618025</v>
      </c>
      <c r="I136">
        <v>27.716828571195329</v>
      </c>
      <c r="J136">
        <v>32.080096786371037</v>
      </c>
      <c r="K136">
        <v>29.359858231960509</v>
      </c>
      <c r="L136">
        <v>30.975979086145536</v>
      </c>
      <c r="M136">
        <v>31.666319763448399</v>
      </c>
      <c r="N136">
        <v>31.152269879411882</v>
      </c>
      <c r="O136">
        <v>33.359858138967056</v>
      </c>
      <c r="P136">
        <v>34.168787306826523</v>
      </c>
      <c r="Q136">
        <v>37.074253028093977</v>
      </c>
      <c r="R136">
        <v>39.214331697606077</v>
      </c>
      <c r="S136">
        <v>41.37155115403062</v>
      </c>
      <c r="T136">
        <v>43.50998899810461</v>
      </c>
      <c r="U136">
        <v>44.787196624819124</v>
      </c>
      <c r="V136">
        <v>46.193436090675164</v>
      </c>
      <c r="W136">
        <v>46.952083835658428</v>
      </c>
      <c r="X136">
        <v>47.767352346013986</v>
      </c>
      <c r="Y136">
        <v>48.54984688455513</v>
      </c>
      <c r="Z136">
        <v>49.369094204777689</v>
      </c>
      <c r="AA136">
        <v>50.440580965851353</v>
      </c>
      <c r="AB136">
        <v>51.52413777981063</v>
      </c>
      <c r="AC136">
        <v>52.768427155282332</v>
      </c>
      <c r="AD136">
        <v>53.981913007703035</v>
      </c>
      <c r="AE136">
        <v>55.152916977087365</v>
      </c>
      <c r="AF136">
        <v>56.241280318911734</v>
      </c>
      <c r="AG136">
        <v>57.184040039776313</v>
      </c>
      <c r="AH136">
        <v>58.03737497910496</v>
      </c>
      <c r="AI136">
        <v>58.780412877877112</v>
      </c>
      <c r="AJ136">
        <v>59.475812848844058</v>
      </c>
      <c r="AK136">
        <v>60.146301943691235</v>
      </c>
      <c r="AL136">
        <v>60.816932491308258</v>
      </c>
      <c r="AM136">
        <v>61.511604412700677</v>
      </c>
      <c r="AN136">
        <v>62.219104798242014</v>
      </c>
      <c r="AO136">
        <v>62.939145442057601</v>
      </c>
      <c r="AP136">
        <v>63.648588961743705</v>
      </c>
      <c r="AQ136">
        <v>64.332830168388952</v>
      </c>
      <c r="AR136">
        <v>64.979164999793127</v>
      </c>
      <c r="AS136">
        <v>65.578988232815448</v>
      </c>
      <c r="AT136">
        <v>66.135883256327546</v>
      </c>
      <c r="AU136">
        <v>66.654203038470541</v>
      </c>
      <c r="AV136">
        <v>67.145232934752983</v>
      </c>
      <c r="AW136">
        <v>67.618413048476086</v>
      </c>
      <c r="AX136">
        <v>68.081480432205836</v>
      </c>
      <c r="AY136">
        <v>68.539282875465148</v>
      </c>
    </row>
    <row r="137" spans="1:51" x14ac:dyDescent="0.2">
      <c r="A137" t="s">
        <v>136</v>
      </c>
      <c r="B137" t="s">
        <v>4</v>
      </c>
      <c r="C137">
        <v>-5.1496966751947788</v>
      </c>
      <c r="D137">
        <v>17.755648326228489</v>
      </c>
      <c r="E137">
        <v>56.681445941862528</v>
      </c>
      <c r="F137">
        <v>34.32726279863153</v>
      </c>
      <c r="G137">
        <v>48.612459371010935</v>
      </c>
      <c r="H137">
        <v>43.244962642586152</v>
      </c>
      <c r="I137">
        <v>49.04514450696955</v>
      </c>
      <c r="J137">
        <v>51.675346102129325</v>
      </c>
      <c r="K137">
        <v>46.902411298518878</v>
      </c>
      <c r="L137">
        <v>54.032324239334855</v>
      </c>
      <c r="M137">
        <v>53.074608479826551</v>
      </c>
      <c r="N137">
        <v>57.61314755888592</v>
      </c>
      <c r="O137">
        <v>58.79578716659406</v>
      </c>
      <c r="P137">
        <v>59.695441925049941</v>
      </c>
      <c r="Q137">
        <v>62.384611890653915</v>
      </c>
      <c r="R137">
        <v>62.891785175440873</v>
      </c>
      <c r="S137">
        <v>65.427024697340059</v>
      </c>
      <c r="T137">
        <v>66.547121792363555</v>
      </c>
      <c r="U137">
        <v>68.204775969387015</v>
      </c>
      <c r="V137">
        <v>69.79937004399099</v>
      </c>
      <c r="W137">
        <v>70.89193214842382</v>
      </c>
      <c r="X137">
        <v>72.419710471409758</v>
      </c>
      <c r="Y137">
        <v>73.455104765623517</v>
      </c>
      <c r="Z137">
        <v>74.814758203360341</v>
      </c>
      <c r="AA137">
        <v>76.055414651838888</v>
      </c>
      <c r="AB137">
        <v>77.270917140375616</v>
      </c>
      <c r="AC137">
        <v>78.523800438875497</v>
      </c>
      <c r="AD137">
        <v>79.583867473133296</v>
      </c>
      <c r="AE137">
        <v>80.675694025275078</v>
      </c>
      <c r="AF137">
        <v>81.636618625898521</v>
      </c>
      <c r="AG137">
        <v>82.585211416212232</v>
      </c>
      <c r="AH137">
        <v>83.509625714741944</v>
      </c>
      <c r="AI137">
        <v>84.394622127403125</v>
      </c>
      <c r="AJ137">
        <v>85.287879352896098</v>
      </c>
      <c r="AK137">
        <v>86.132294261623088</v>
      </c>
      <c r="AL137">
        <v>86.962349047458204</v>
      </c>
      <c r="AM137">
        <v>87.753248499892052</v>
      </c>
      <c r="AN137">
        <v>88.512117119764326</v>
      </c>
      <c r="AO137">
        <v>89.24686563536315</v>
      </c>
      <c r="AP137">
        <v>89.948479955669356</v>
      </c>
      <c r="AQ137">
        <v>90.629754951507081</v>
      </c>
      <c r="AR137">
        <v>91.281817592988403</v>
      </c>
      <c r="AS137">
        <v>91.909940479074194</v>
      </c>
      <c r="AT137">
        <v>92.513670464444189</v>
      </c>
      <c r="AU137">
        <v>93.093518962814656</v>
      </c>
      <c r="AV137">
        <v>93.654320693970348</v>
      </c>
      <c r="AW137">
        <v>94.195397402910046</v>
      </c>
      <c r="AX137">
        <v>94.719978603420003</v>
      </c>
      <c r="AY137">
        <v>95.22711908871797</v>
      </c>
    </row>
    <row r="138" spans="1:51" x14ac:dyDescent="0.2">
      <c r="A138" t="s">
        <v>137</v>
      </c>
      <c r="B138" t="s">
        <v>4</v>
      </c>
      <c r="C138">
        <v>133.29442136646912</v>
      </c>
      <c r="D138">
        <v>920.41595259549047</v>
      </c>
      <c r="E138">
        <v>1719.1449936411821</v>
      </c>
      <c r="F138">
        <v>1114.9208006457118</v>
      </c>
      <c r="G138">
        <v>1570.8558229054981</v>
      </c>
      <c r="H138">
        <v>1460.4735680269889</v>
      </c>
      <c r="I138">
        <v>1708.309152599538</v>
      </c>
      <c r="J138">
        <v>1790.6384132457827</v>
      </c>
      <c r="K138">
        <v>1725.1870181600389</v>
      </c>
      <c r="L138">
        <v>1922.7040988360884</v>
      </c>
      <c r="M138">
        <v>1894.2342754704689</v>
      </c>
      <c r="N138">
        <v>2008.4865880189514</v>
      </c>
      <c r="O138">
        <v>2012.6027215890222</v>
      </c>
      <c r="P138">
        <v>2028.2287151911287</v>
      </c>
      <c r="Q138">
        <v>2082.5349464282513</v>
      </c>
      <c r="R138">
        <v>2091.6178837605335</v>
      </c>
      <c r="S138">
        <v>2158.3655268453849</v>
      </c>
      <c r="T138">
        <v>2190.5172358888562</v>
      </c>
      <c r="U138">
        <v>2243.9926799841119</v>
      </c>
      <c r="V138">
        <v>2292.3018595540111</v>
      </c>
      <c r="W138">
        <v>2328.324605081802</v>
      </c>
      <c r="X138">
        <v>2370.7300683608123</v>
      </c>
      <c r="Y138">
        <v>2396.540346401619</v>
      </c>
      <c r="Z138">
        <v>2428.2004365352732</v>
      </c>
      <c r="AA138">
        <v>2454.0164282891974</v>
      </c>
      <c r="AB138">
        <v>2480.0224195805094</v>
      </c>
      <c r="AC138">
        <v>2507.7508426179102</v>
      </c>
      <c r="AD138">
        <v>2532.9418880665853</v>
      </c>
      <c r="AE138">
        <v>2561.1233852867463</v>
      </c>
      <c r="AF138">
        <v>2587.3765265708107</v>
      </c>
      <c r="AG138">
        <v>2614.3046950793373</v>
      </c>
      <c r="AH138">
        <v>2640.3279475441791</v>
      </c>
      <c r="AI138">
        <v>2664.7789574148956</v>
      </c>
      <c r="AJ138">
        <v>2688.3836746536281</v>
      </c>
      <c r="AK138">
        <v>2709.7460965871733</v>
      </c>
      <c r="AL138">
        <v>2730.0404069100364</v>
      </c>
      <c r="AM138">
        <v>2748.9021888661941</v>
      </c>
      <c r="AN138">
        <v>2766.9893196770176</v>
      </c>
      <c r="AO138">
        <v>2784.7268191017165</v>
      </c>
      <c r="AP138">
        <v>2802.10227694681</v>
      </c>
      <c r="AQ138">
        <v>2819.4649587661465</v>
      </c>
      <c r="AR138">
        <v>2836.485914171581</v>
      </c>
      <c r="AS138">
        <v>2853.1481787850748</v>
      </c>
      <c r="AT138">
        <v>2869.2154840168332</v>
      </c>
      <c r="AU138">
        <v>2884.5427512840124</v>
      </c>
      <c r="AV138">
        <v>2899.1335924145192</v>
      </c>
      <c r="AW138">
        <v>2912.9454772106819</v>
      </c>
      <c r="AX138">
        <v>2926.1112780481581</v>
      </c>
      <c r="AY138">
        <v>2938.6989649121374</v>
      </c>
    </row>
    <row r="139" spans="1:51" x14ac:dyDescent="0.2">
      <c r="A139" t="s">
        <v>138</v>
      </c>
      <c r="B139" t="s">
        <v>4</v>
      </c>
      <c r="C139">
        <v>-83.978047441834235</v>
      </c>
      <c r="D139">
        <v>32.905587027061962</v>
      </c>
      <c r="E139">
        <v>177.65006732815687</v>
      </c>
      <c r="F139">
        <v>96.338612676931106</v>
      </c>
      <c r="G139">
        <v>150.40575690947216</v>
      </c>
      <c r="H139">
        <v>102.29444118666341</v>
      </c>
      <c r="I139">
        <v>134.3998169837329</v>
      </c>
      <c r="J139">
        <v>141.51361622645638</v>
      </c>
      <c r="K139">
        <v>135.39700199404635</v>
      </c>
      <c r="L139">
        <v>170.01363839148701</v>
      </c>
      <c r="M139">
        <v>172.48563154454976</v>
      </c>
      <c r="N139">
        <v>202.1239180593457</v>
      </c>
      <c r="O139">
        <v>211.05705575543556</v>
      </c>
      <c r="P139">
        <v>220.66014139473293</v>
      </c>
      <c r="Q139">
        <v>230.97291937158317</v>
      </c>
      <c r="R139">
        <v>231.6847962642187</v>
      </c>
      <c r="S139">
        <v>239.59283990130751</v>
      </c>
      <c r="T139">
        <v>240.88507071293822</v>
      </c>
      <c r="U139">
        <v>246.72572283161685</v>
      </c>
      <c r="V139">
        <v>252.85016262776031</v>
      </c>
      <c r="W139">
        <v>259.36181330261945</v>
      </c>
      <c r="X139">
        <v>268.41181641674564</v>
      </c>
      <c r="Y139">
        <v>275.76683138724616</v>
      </c>
      <c r="Z139">
        <v>284.2775382222286</v>
      </c>
      <c r="AA139">
        <v>291.21256141290286</v>
      </c>
      <c r="AB139">
        <v>297.40083066761918</v>
      </c>
      <c r="AC139">
        <v>302.80748795702061</v>
      </c>
      <c r="AD139">
        <v>307.03425763036347</v>
      </c>
      <c r="AE139">
        <v>311.24491306659803</v>
      </c>
      <c r="AF139">
        <v>314.99392976903113</v>
      </c>
      <c r="AG139">
        <v>319.04971153871003</v>
      </c>
      <c r="AH139">
        <v>323.29703017560757</v>
      </c>
      <c r="AI139">
        <v>327.7391192082049</v>
      </c>
      <c r="AJ139">
        <v>332.41541235527535</v>
      </c>
      <c r="AK139">
        <v>336.97750355891299</v>
      </c>
      <c r="AL139">
        <v>341.44383005642283</v>
      </c>
      <c r="AM139">
        <v>345.57905503564592</v>
      </c>
      <c r="AN139">
        <v>349.38219348301749</v>
      </c>
      <c r="AO139">
        <v>352.86118634975958</v>
      </c>
      <c r="AP139">
        <v>356.04027256205893</v>
      </c>
      <c r="AQ139">
        <v>359.04680772677426</v>
      </c>
      <c r="AR139">
        <v>361.92593864919593</v>
      </c>
      <c r="AS139">
        <v>364.77166749461185</v>
      </c>
      <c r="AT139">
        <v>367.60926009526588</v>
      </c>
      <c r="AU139">
        <v>370.44390285556369</v>
      </c>
      <c r="AV139">
        <v>373.26233352273385</v>
      </c>
      <c r="AW139">
        <v>376.01841072191758</v>
      </c>
      <c r="AX139">
        <v>378.68261260480864</v>
      </c>
      <c r="AY139">
        <v>381.21843879489995</v>
      </c>
    </row>
    <row r="140" spans="1:51" x14ac:dyDescent="0.2">
      <c r="A140" t="s">
        <v>139</v>
      </c>
      <c r="B140" t="s">
        <v>4</v>
      </c>
      <c r="C140">
        <v>-503.63849755277266</v>
      </c>
      <c r="D140">
        <v>257.47327990468733</v>
      </c>
      <c r="E140">
        <v>906.35653245309652</v>
      </c>
      <c r="F140">
        <v>348.78890317824204</v>
      </c>
      <c r="G140">
        <v>512.22520947041107</v>
      </c>
      <c r="H140">
        <v>381.00507643682414</v>
      </c>
      <c r="I140">
        <v>651.77641275526605</v>
      </c>
      <c r="J140">
        <v>629.94368280490244</v>
      </c>
      <c r="K140">
        <v>544.7703674493805</v>
      </c>
      <c r="L140">
        <v>644.63963628539511</v>
      </c>
      <c r="M140">
        <v>615.16602917658406</v>
      </c>
      <c r="N140">
        <v>698.01462357741229</v>
      </c>
      <c r="O140">
        <v>672.63433327180712</v>
      </c>
      <c r="P140">
        <v>680.66883212811661</v>
      </c>
      <c r="Q140">
        <v>704.79296850011644</v>
      </c>
      <c r="R140">
        <v>703.81221160848929</v>
      </c>
      <c r="S140">
        <v>737.39689688522753</v>
      </c>
      <c r="T140">
        <v>738.22787861420375</v>
      </c>
      <c r="U140">
        <v>757.37099285873251</v>
      </c>
      <c r="V140">
        <v>767.85936581737576</v>
      </c>
      <c r="W140">
        <v>774.70390640931885</v>
      </c>
      <c r="X140">
        <v>786.6033487539928</v>
      </c>
      <c r="Y140">
        <v>789.81489133903153</v>
      </c>
      <c r="Z140">
        <v>800.64055528929885</v>
      </c>
      <c r="AA140">
        <v>807.83697823901491</v>
      </c>
      <c r="AB140">
        <v>816.89513993231446</v>
      </c>
      <c r="AC140">
        <v>826.04707522440833</v>
      </c>
      <c r="AD140">
        <v>833.12957927830939</v>
      </c>
      <c r="AE140">
        <v>841.61954737026497</v>
      </c>
      <c r="AF140">
        <v>848.11730213925898</v>
      </c>
      <c r="AG140">
        <v>855.28054116829639</v>
      </c>
      <c r="AH140">
        <v>861.81864430233361</v>
      </c>
      <c r="AI140">
        <v>868.02597120227927</v>
      </c>
      <c r="AJ140">
        <v>874.33172864364565</v>
      </c>
      <c r="AK140">
        <v>879.90214411163731</v>
      </c>
      <c r="AL140">
        <v>885.54141906912866</v>
      </c>
      <c r="AM140">
        <v>890.73423889471667</v>
      </c>
      <c r="AN140">
        <v>895.87373341357181</v>
      </c>
      <c r="AO140">
        <v>900.95715193969238</v>
      </c>
      <c r="AP140">
        <v>905.88123984765286</v>
      </c>
      <c r="AQ140">
        <v>910.79107831084946</v>
      </c>
      <c r="AR140">
        <v>915.45061525362189</v>
      </c>
      <c r="AS140">
        <v>919.94662275749909</v>
      </c>
      <c r="AT140">
        <v>924.19160865527533</v>
      </c>
      <c r="AU140">
        <v>928.21129739266485</v>
      </c>
      <c r="AV140">
        <v>932.06543799323447</v>
      </c>
      <c r="AW140">
        <v>935.75130327865907</v>
      </c>
      <c r="AX140">
        <v>939.34022409340946</v>
      </c>
      <c r="AY140">
        <v>942.81710873580516</v>
      </c>
    </row>
    <row r="141" spans="1:51" x14ac:dyDescent="0.2">
      <c r="A141" t="s">
        <v>140</v>
      </c>
      <c r="B141" t="s">
        <v>4</v>
      </c>
      <c r="C141">
        <v>428.52515463285619</v>
      </c>
      <c r="D141">
        <v>357.72536136051809</v>
      </c>
      <c r="E141">
        <v>1145.7372422075434</v>
      </c>
      <c r="F141">
        <v>353.13449353257244</v>
      </c>
      <c r="G141">
        <v>817.66753597771708</v>
      </c>
      <c r="H141">
        <v>876.88380799088043</v>
      </c>
      <c r="I141">
        <v>992.85372284882021</v>
      </c>
      <c r="J141">
        <v>1186.1619793523018</v>
      </c>
      <c r="K141">
        <v>1052.3461121064463</v>
      </c>
      <c r="L141">
        <v>1263.3478248361407</v>
      </c>
      <c r="M141">
        <v>1217.3307738168808</v>
      </c>
      <c r="N141">
        <v>1269.3448157157948</v>
      </c>
      <c r="O141">
        <v>1280.5003162454007</v>
      </c>
      <c r="P141">
        <v>1258.6155512060693</v>
      </c>
      <c r="Q141">
        <v>1326.8203146265762</v>
      </c>
      <c r="R141">
        <v>1335.6933152755137</v>
      </c>
      <c r="S141">
        <v>1409.1620890466058</v>
      </c>
      <c r="T141">
        <v>1458.3145927303558</v>
      </c>
      <c r="U141">
        <v>1512.6052559944092</v>
      </c>
      <c r="V141">
        <v>1569.9092450810069</v>
      </c>
      <c r="W141">
        <v>1600.0048815460591</v>
      </c>
      <c r="X141">
        <v>1636.9156123618575</v>
      </c>
      <c r="Y141">
        <v>1654.5337068312729</v>
      </c>
      <c r="Z141">
        <v>1675.8315913440008</v>
      </c>
      <c r="AA141">
        <v>1696.0533212500359</v>
      </c>
      <c r="AB141">
        <v>1716.0691837153818</v>
      </c>
      <c r="AC141">
        <v>1742.7485695848284</v>
      </c>
      <c r="AD141">
        <v>1768.0903087011075</v>
      </c>
      <c r="AE141">
        <v>1797.7686373626609</v>
      </c>
      <c r="AF141">
        <v>1826.1567767142949</v>
      </c>
      <c r="AG141">
        <v>1853.7819529404837</v>
      </c>
      <c r="AH141">
        <v>1879.9854624271738</v>
      </c>
      <c r="AI141">
        <v>1902.8356690491512</v>
      </c>
      <c r="AJ141">
        <v>1924.0248062640294</v>
      </c>
      <c r="AK141">
        <v>1942.3641376886485</v>
      </c>
      <c r="AL141">
        <v>1959.4660474351135</v>
      </c>
      <c r="AM141">
        <v>1975.6970234552759</v>
      </c>
      <c r="AN141">
        <v>1991.6700139884113</v>
      </c>
      <c r="AO141">
        <v>2008.148642038034</v>
      </c>
      <c r="AP141">
        <v>2024.8450317741476</v>
      </c>
      <c r="AQ141">
        <v>2041.9290267619381</v>
      </c>
      <c r="AR141">
        <v>2058.8132451815677</v>
      </c>
      <c r="AS141">
        <v>2075.1697607596439</v>
      </c>
      <c r="AT141">
        <v>2090.6790568868814</v>
      </c>
      <c r="AU141">
        <v>2105.0898365507223</v>
      </c>
      <c r="AV141">
        <v>2118.4982338212667</v>
      </c>
      <c r="AW141">
        <v>2130.971948100268</v>
      </c>
      <c r="AX141">
        <v>2142.7842878896404</v>
      </c>
      <c r="AY141">
        <v>2154.1450552471961</v>
      </c>
    </row>
    <row r="143" spans="1:51" x14ac:dyDescent="0.2">
      <c r="C143">
        <f>SUM(C5:C141)</f>
        <v>8596.3391489834721</v>
      </c>
      <c r="D143">
        <f t="shared" ref="D143:AY143" si="0">SUM(D5:D141)</f>
        <v>22243.920359970649</v>
      </c>
      <c r="E143">
        <f t="shared" si="0"/>
        <v>67857.035252351023</v>
      </c>
      <c r="F143">
        <f t="shared" si="0"/>
        <v>25328.222064573289</v>
      </c>
      <c r="G143">
        <f t="shared" si="0"/>
        <v>54140.228547656632</v>
      </c>
      <c r="H143">
        <f t="shared" si="0"/>
        <v>55869.119070781751</v>
      </c>
      <c r="I143">
        <f t="shared" si="0"/>
        <v>66616.669755349896</v>
      </c>
      <c r="J143">
        <f t="shared" si="0"/>
        <v>74758.628509346177</v>
      </c>
      <c r="K143">
        <f t="shared" si="0"/>
        <v>66644.912787154448</v>
      </c>
      <c r="L143">
        <f t="shared" si="0"/>
        <v>77314.955783187761</v>
      </c>
      <c r="M143">
        <f t="shared" si="0"/>
        <v>73658.832993062926</v>
      </c>
      <c r="N143">
        <f t="shared" si="0"/>
        <v>76651.755410619822</v>
      </c>
      <c r="O143">
        <f t="shared" si="0"/>
        <v>75707.636751195692</v>
      </c>
      <c r="P143">
        <f t="shared" si="0"/>
        <v>74162.580183322847</v>
      </c>
      <c r="Q143">
        <f t="shared" si="0"/>
        <v>77316.570271586635</v>
      </c>
      <c r="R143">
        <f t="shared" si="0"/>
        <v>77643.917367945629</v>
      </c>
      <c r="S143">
        <f t="shared" si="0"/>
        <v>81836.394595477963</v>
      </c>
      <c r="T143">
        <f t="shared" si="0"/>
        <v>84382.817639169036</v>
      </c>
      <c r="U143">
        <f t="shared" si="0"/>
        <v>87463.025515334084</v>
      </c>
      <c r="V143">
        <f t="shared" si="0"/>
        <v>90310.546307111115</v>
      </c>
      <c r="W143">
        <f t="shared" si="0"/>
        <v>91625.315546224738</v>
      </c>
      <c r="X143">
        <f t="shared" si="0"/>
        <v>93153.963168011804</v>
      </c>
      <c r="Y143">
        <f t="shared" si="0"/>
        <v>93542.08344284512</v>
      </c>
      <c r="Z143">
        <f t="shared" si="0"/>
        <v>94254.260170896348</v>
      </c>
      <c r="AA143">
        <f t="shared" si="0"/>
        <v>94927.107277617863</v>
      </c>
      <c r="AB143">
        <f t="shared" si="0"/>
        <v>95745.442463065017</v>
      </c>
      <c r="AC143">
        <f t="shared" si="0"/>
        <v>96977.291800974432</v>
      </c>
      <c r="AD143">
        <f t="shared" si="0"/>
        <v>98187.856900684579</v>
      </c>
      <c r="AE143">
        <f t="shared" si="0"/>
        <v>99661.081343089259</v>
      </c>
      <c r="AF143">
        <f t="shared" si="0"/>
        <v>101038.50137495867</v>
      </c>
      <c r="AG143">
        <f t="shared" si="0"/>
        <v>102371.47521733637</v>
      </c>
      <c r="AH143">
        <f t="shared" si="0"/>
        <v>103591.20728135676</v>
      </c>
      <c r="AI143">
        <f t="shared" si="0"/>
        <v>104614.87793966518</v>
      </c>
      <c r="AJ143">
        <f t="shared" si="0"/>
        <v>105533.94955862786</v>
      </c>
      <c r="AK143">
        <f t="shared" si="0"/>
        <v>106290.98039720937</v>
      </c>
      <c r="AL143">
        <f t="shared" si="0"/>
        <v>106990.44243570528</v>
      </c>
      <c r="AM143">
        <f t="shared" si="0"/>
        <v>107653.83040036268</v>
      </c>
      <c r="AN143">
        <f t="shared" si="0"/>
        <v>108328.24497403292</v>
      </c>
      <c r="AO143">
        <f t="shared" si="0"/>
        <v>109053.2764729671</v>
      </c>
      <c r="AP143">
        <f t="shared" si="0"/>
        <v>109812.12607850439</v>
      </c>
      <c r="AQ143">
        <f t="shared" si="0"/>
        <v>110607.67417301006</v>
      </c>
      <c r="AR143">
        <f t="shared" si="0"/>
        <v>111398.01577156947</v>
      </c>
      <c r="AS143">
        <f t="shared" si="0"/>
        <v>112159.75687642203</v>
      </c>
      <c r="AT143">
        <f t="shared" si="0"/>
        <v>112869.56360598607</v>
      </c>
      <c r="AU143">
        <f t="shared" si="0"/>
        <v>113514.08761949737</v>
      </c>
      <c r="AV143">
        <f t="shared" si="0"/>
        <v>114100.72071858784</v>
      </c>
      <c r="AW143">
        <f t="shared" si="0"/>
        <v>114637.29724589561</v>
      </c>
      <c r="AX143">
        <f t="shared" si="0"/>
        <v>115143.35586133474</v>
      </c>
      <c r="AY143">
        <f t="shared" si="0"/>
        <v>115632.99014951655</v>
      </c>
    </row>
  </sheetData>
  <phoneticPr fontId="1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BB143"/>
  <sheetViews>
    <sheetView topLeftCell="C110" workbookViewId="0">
      <selection activeCell="E1" sqref="E1:BB138"/>
    </sheetView>
  </sheetViews>
  <sheetFormatPr defaultRowHeight="12.75" x14ac:dyDescent="0.2"/>
  <cols>
    <col min="3" max="3" width="25.28515625" bestFit="1" customWidth="1"/>
    <col min="6" max="6" width="13.28515625" bestFit="1" customWidth="1"/>
  </cols>
  <sheetData>
    <row r="1" spans="3:54" x14ac:dyDescent="0.2">
      <c r="F1">
        <v>0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</row>
    <row r="2" spans="3:54" x14ac:dyDescent="0.2">
      <c r="C2" t="s">
        <v>3</v>
      </c>
      <c r="D2" t="s">
        <v>156</v>
      </c>
      <c r="E2" t="s">
        <v>141</v>
      </c>
      <c r="F2">
        <v>64.986854394084105</v>
      </c>
      <c r="G2">
        <v>124.7097829284094</v>
      </c>
      <c r="H2">
        <v>237.19749720281899</v>
      </c>
      <c r="I2">
        <v>199.16752870199869</v>
      </c>
      <c r="J2">
        <v>271.68685897406789</v>
      </c>
      <c r="K2">
        <v>273.72944707351172</v>
      </c>
      <c r="L2">
        <v>327.02030231864387</v>
      </c>
      <c r="M2">
        <v>361.90920009491958</v>
      </c>
      <c r="N2">
        <v>386.09030472423211</v>
      </c>
      <c r="O2">
        <v>432.38879653094159</v>
      </c>
      <c r="P2">
        <v>451.4549404464239</v>
      </c>
      <c r="Q2">
        <v>482.40561543267341</v>
      </c>
      <c r="R2">
        <v>495.32276118163406</v>
      </c>
      <c r="S2">
        <v>506.38673300473931</v>
      </c>
      <c r="T2">
        <v>517.32034523308573</v>
      </c>
      <c r="U2">
        <v>522.78194917804592</v>
      </c>
      <c r="V2">
        <v>534.56803447134564</v>
      </c>
      <c r="W2">
        <v>543.62697644069658</v>
      </c>
      <c r="X2">
        <v>556.60788021637109</v>
      </c>
      <c r="Y2">
        <v>569.6571780199265</v>
      </c>
      <c r="Z2">
        <v>581.93598813879544</v>
      </c>
      <c r="AA2">
        <v>594.28319517311047</v>
      </c>
      <c r="AB2">
        <v>603.78419993672628</v>
      </c>
      <c r="AC2">
        <v>612.52008515395858</v>
      </c>
      <c r="AD2">
        <v>619.12423989128331</v>
      </c>
      <c r="AE2">
        <v>624.65285466879811</v>
      </c>
      <c r="AF2">
        <v>629.5289090234445</v>
      </c>
      <c r="AG2">
        <v>633.80219593053209</v>
      </c>
      <c r="AH2">
        <v>638.37353124084848</v>
      </c>
      <c r="AI2">
        <v>642.93407122092538</v>
      </c>
      <c r="AJ2">
        <v>647.86059627715088</v>
      </c>
      <c r="AK2">
        <v>652.8880050768305</v>
      </c>
      <c r="AL2">
        <v>657.82696406375339</v>
      </c>
      <c r="AM2">
        <v>662.55469616449102</v>
      </c>
      <c r="AN2">
        <v>666.77158154629046</v>
      </c>
      <c r="AO2">
        <v>670.50489460383801</v>
      </c>
      <c r="AP2">
        <v>673.68746868587516</v>
      </c>
      <c r="AQ2">
        <v>676.44817703475951</v>
      </c>
      <c r="AR2">
        <v>678.92555631770983</v>
      </c>
      <c r="AS2">
        <v>681.24060058345719</v>
      </c>
      <c r="AT2">
        <v>683.53313565645237</v>
      </c>
      <c r="AU2">
        <v>685.83686273791818</v>
      </c>
      <c r="AV2">
        <v>688.17650149931717</v>
      </c>
      <c r="AW2">
        <v>690.5101869947739</v>
      </c>
      <c r="AX2">
        <v>692.78282069168654</v>
      </c>
      <c r="AY2">
        <v>694.94341115519217</v>
      </c>
      <c r="AZ2">
        <v>696.9441709795617</v>
      </c>
      <c r="BA2">
        <v>698.77304453789998</v>
      </c>
      <c r="BB2">
        <v>700.43193579111482</v>
      </c>
    </row>
    <row r="3" spans="3:54" x14ac:dyDescent="0.2">
      <c r="C3" t="s">
        <v>5</v>
      </c>
      <c r="D3" t="s">
        <v>157</v>
      </c>
      <c r="E3" t="s">
        <v>141</v>
      </c>
      <c r="F3">
        <v>96.183765344829084</v>
      </c>
      <c r="G3">
        <v>101.29619760687264</v>
      </c>
      <c r="H3">
        <v>284.4655785985442</v>
      </c>
      <c r="I3">
        <v>81.043935882788531</v>
      </c>
      <c r="J3">
        <v>187.70558879313049</v>
      </c>
      <c r="K3">
        <v>189.03868968787324</v>
      </c>
      <c r="L3">
        <v>209.93068665977862</v>
      </c>
      <c r="M3">
        <v>245.04078498661431</v>
      </c>
      <c r="N3">
        <v>207.46985773942725</v>
      </c>
      <c r="O3">
        <v>256.33117135498043</v>
      </c>
      <c r="P3">
        <v>243.74493818021077</v>
      </c>
      <c r="Q3">
        <v>257.88177900370965</v>
      </c>
      <c r="R3">
        <v>261.34458520435123</v>
      </c>
      <c r="S3">
        <v>258.22210920597212</v>
      </c>
      <c r="T3">
        <v>275.50255007731062</v>
      </c>
      <c r="U3">
        <v>277.0625445353574</v>
      </c>
      <c r="V3">
        <v>292.99684668455353</v>
      </c>
      <c r="W3">
        <v>301.51351715846886</v>
      </c>
      <c r="X3">
        <v>311.18470097847728</v>
      </c>
      <c r="Y3">
        <v>321.49935421841349</v>
      </c>
      <c r="Z3">
        <v>326.07047798734339</v>
      </c>
      <c r="AA3">
        <v>333.21219655184882</v>
      </c>
      <c r="AB3">
        <v>336.49366244488829</v>
      </c>
      <c r="AC3">
        <v>341.33571698114463</v>
      </c>
      <c r="AD3">
        <v>346.02530290087543</v>
      </c>
      <c r="AE3">
        <v>350.59496491761769</v>
      </c>
      <c r="AF3">
        <v>356.41288169644804</v>
      </c>
      <c r="AG3">
        <v>361.52174461368008</v>
      </c>
      <c r="AH3">
        <v>367.36689214141921</v>
      </c>
      <c r="AI3">
        <v>372.68146161359829</v>
      </c>
      <c r="AJ3">
        <v>377.78650403163067</v>
      </c>
      <c r="AK3">
        <v>382.62204675346374</v>
      </c>
      <c r="AL3">
        <v>386.83389695718267</v>
      </c>
      <c r="AM3">
        <v>390.86438946168107</v>
      </c>
      <c r="AN3">
        <v>394.41416324686844</v>
      </c>
      <c r="AO3">
        <v>397.83357375049991</v>
      </c>
      <c r="AP3">
        <v>401.13073897739554</v>
      </c>
      <c r="AQ3">
        <v>404.38697665438337</v>
      </c>
      <c r="AR3">
        <v>407.72167913314394</v>
      </c>
      <c r="AS3">
        <v>411.03342740796637</v>
      </c>
      <c r="AT3">
        <v>414.3621025163738</v>
      </c>
      <c r="AU3">
        <v>417.58884830300343</v>
      </c>
      <c r="AV3">
        <v>420.6774894415949</v>
      </c>
      <c r="AW3">
        <v>423.591864895355</v>
      </c>
      <c r="AX3">
        <v>426.30509806571723</v>
      </c>
      <c r="AY3">
        <v>428.85576583752606</v>
      </c>
      <c r="AZ3">
        <v>431.25768424221405</v>
      </c>
      <c r="BA3">
        <v>433.56113396953009</v>
      </c>
      <c r="BB3">
        <v>435.79327038739939</v>
      </c>
    </row>
    <row r="4" spans="3:54" x14ac:dyDescent="0.2">
      <c r="C4" t="s">
        <v>6</v>
      </c>
      <c r="D4" t="s">
        <v>142</v>
      </c>
      <c r="E4" t="s">
        <v>141</v>
      </c>
      <c r="F4">
        <v>0.25656642691084847</v>
      </c>
      <c r="G4">
        <v>0.80955973129615832</v>
      </c>
      <c r="H4">
        <v>9.3787794517396694</v>
      </c>
      <c r="I4">
        <v>8.1109714137235276</v>
      </c>
      <c r="J4">
        <v>14.113676756754804</v>
      </c>
      <c r="K4">
        <v>13.150624449614932</v>
      </c>
      <c r="L4">
        <v>12.554616801836767</v>
      </c>
      <c r="M4">
        <v>13.101443900770663</v>
      </c>
      <c r="N4">
        <v>12.213687283536089</v>
      </c>
      <c r="O4">
        <v>13.881779067024437</v>
      </c>
      <c r="P4">
        <v>13.822548628188546</v>
      </c>
      <c r="Q4">
        <v>15.19769453216565</v>
      </c>
      <c r="R4">
        <v>16.350875413136986</v>
      </c>
      <c r="S4">
        <v>17.193634039060971</v>
      </c>
      <c r="T4">
        <v>18.218468662116901</v>
      </c>
      <c r="U4">
        <v>18.426642242453749</v>
      </c>
      <c r="V4">
        <v>18.872889327733354</v>
      </c>
      <c r="W4">
        <v>18.966275855585117</v>
      </c>
      <c r="X4">
        <v>19.132587401238517</v>
      </c>
      <c r="Y4">
        <v>19.395793141700086</v>
      </c>
      <c r="Z4">
        <v>19.639594715818056</v>
      </c>
      <c r="AA4">
        <v>20.097943102110985</v>
      </c>
      <c r="AB4">
        <v>20.525065509087913</v>
      </c>
      <c r="AC4">
        <v>21.038952244297679</v>
      </c>
      <c r="AD4">
        <v>21.525847136554532</v>
      </c>
      <c r="AE4">
        <v>21.965479412682324</v>
      </c>
      <c r="AF4">
        <v>22.375318740194754</v>
      </c>
      <c r="AG4">
        <v>22.695912908479468</v>
      </c>
      <c r="AH4">
        <v>22.983188521418008</v>
      </c>
      <c r="AI4">
        <v>23.217165136640951</v>
      </c>
      <c r="AJ4">
        <v>23.435460778643009</v>
      </c>
      <c r="AK4">
        <v>23.655868541591559</v>
      </c>
      <c r="AL4">
        <v>23.883997381619221</v>
      </c>
      <c r="AM4">
        <v>24.137667394917962</v>
      </c>
      <c r="AN4">
        <v>24.40267497309495</v>
      </c>
      <c r="AO4">
        <v>24.678077242345211</v>
      </c>
      <c r="AP4">
        <v>24.948356585230702</v>
      </c>
      <c r="AQ4">
        <v>25.203313895700557</v>
      </c>
      <c r="AR4">
        <v>25.438180185402757</v>
      </c>
      <c r="AS4">
        <v>25.648400460965412</v>
      </c>
      <c r="AT4">
        <v>25.839230158139699</v>
      </c>
      <c r="AU4">
        <v>26.014288707738562</v>
      </c>
      <c r="AV4">
        <v>26.180728299114637</v>
      </c>
      <c r="AW4">
        <v>26.343890463266241</v>
      </c>
      <c r="AX4">
        <v>26.506781880269557</v>
      </c>
      <c r="AY4">
        <v>26.671203813317071</v>
      </c>
      <c r="AZ4">
        <v>26.835720343975854</v>
      </c>
      <c r="BA4">
        <v>26.998594954034395</v>
      </c>
      <c r="BB4">
        <v>27.157002054685645</v>
      </c>
    </row>
    <row r="5" spans="3:54" x14ac:dyDescent="0.2">
      <c r="C5" t="s">
        <v>7</v>
      </c>
      <c r="D5" t="s">
        <v>143</v>
      </c>
      <c r="E5" t="s">
        <v>141</v>
      </c>
      <c r="F5">
        <v>-11.346331206865678</v>
      </c>
      <c r="G5">
        <v>-3.0705982103257452</v>
      </c>
      <c r="H5">
        <v>98.59197065294191</v>
      </c>
      <c r="I5">
        <v>39.797855592312899</v>
      </c>
      <c r="J5">
        <v>99.696984862243966</v>
      </c>
      <c r="K5">
        <v>78.86064506981586</v>
      </c>
      <c r="L5">
        <v>89.036367231507725</v>
      </c>
      <c r="M5">
        <v>103.72052137958322</v>
      </c>
      <c r="N5">
        <v>89.092347249391096</v>
      </c>
      <c r="O5">
        <v>108.99603272962</v>
      </c>
      <c r="P5">
        <v>100.40184758104618</v>
      </c>
      <c r="Q5">
        <v>109.8259049634719</v>
      </c>
      <c r="R5">
        <v>111.58568470680085</v>
      </c>
      <c r="S5">
        <v>111.31640659143986</v>
      </c>
      <c r="T5">
        <v>117.73244928119512</v>
      </c>
      <c r="U5">
        <v>116.79187792095806</v>
      </c>
      <c r="V5">
        <v>122.77409935529191</v>
      </c>
      <c r="W5">
        <v>124.70367790696284</v>
      </c>
      <c r="X5">
        <v>128.02232688932392</v>
      </c>
      <c r="Y5">
        <v>131.39250456653767</v>
      </c>
      <c r="Z5">
        <v>132.83507229665494</v>
      </c>
      <c r="AA5">
        <v>135.70021675123942</v>
      </c>
      <c r="AB5">
        <v>136.85906180837873</v>
      </c>
      <c r="AC5">
        <v>138.91388593780971</v>
      </c>
      <c r="AD5">
        <v>140.68791169852565</v>
      </c>
      <c r="AE5">
        <v>142.45058856981009</v>
      </c>
      <c r="AF5">
        <v>144.60805014517396</v>
      </c>
      <c r="AG5">
        <v>146.34533134426945</v>
      </c>
      <c r="AH5">
        <v>148.36263275441505</v>
      </c>
      <c r="AI5">
        <v>150.07884343301967</v>
      </c>
      <c r="AJ5">
        <v>151.77391495324966</v>
      </c>
      <c r="AK5">
        <v>153.39716954136469</v>
      </c>
      <c r="AL5">
        <v>154.8514819821456</v>
      </c>
      <c r="AM5">
        <v>156.31785049939506</v>
      </c>
      <c r="AN5">
        <v>157.63362047298182</v>
      </c>
      <c r="AO5">
        <v>158.93603331228314</v>
      </c>
      <c r="AP5">
        <v>160.17518957554458</v>
      </c>
      <c r="AQ5">
        <v>161.37790280682469</v>
      </c>
      <c r="AR5">
        <v>162.57921628538125</v>
      </c>
      <c r="AS5">
        <v>163.74190716916351</v>
      </c>
      <c r="AT5">
        <v>164.89937928889412</v>
      </c>
      <c r="AU5">
        <v>166.01227589097917</v>
      </c>
      <c r="AV5">
        <v>167.08393152055652</v>
      </c>
      <c r="AW5">
        <v>168.10445776116904</v>
      </c>
      <c r="AX5">
        <v>169.06684684507132</v>
      </c>
      <c r="AY5">
        <v>169.98469599984318</v>
      </c>
      <c r="AZ5">
        <v>170.8570534381428</v>
      </c>
      <c r="BA5">
        <v>171.69893342717248</v>
      </c>
      <c r="BB5">
        <v>172.51379853975411</v>
      </c>
    </row>
    <row r="6" spans="3:54" x14ac:dyDescent="0.2">
      <c r="C6" t="s">
        <v>8</v>
      </c>
      <c r="D6" t="s">
        <v>144</v>
      </c>
      <c r="E6" t="s">
        <v>141</v>
      </c>
      <c r="F6">
        <v>-8.9619260573075792</v>
      </c>
      <c r="G6">
        <v>-1.830127099735636</v>
      </c>
      <c r="H6">
        <v>-2.0411266825252348</v>
      </c>
      <c r="I6">
        <v>-2.5258215374591861</v>
      </c>
      <c r="J6">
        <v>-1.6231102696396855</v>
      </c>
      <c r="K6">
        <v>-3.2979017112743976</v>
      </c>
      <c r="L6">
        <v>-1.6859181931631457</v>
      </c>
      <c r="M6">
        <v>-2.5991681198286956</v>
      </c>
      <c r="N6">
        <v>-2.3922774309205823</v>
      </c>
      <c r="O6">
        <v>-2.3368889952570897</v>
      </c>
      <c r="P6">
        <v>-2.5967987583536316</v>
      </c>
      <c r="Q6">
        <v>-2.0884413530509645</v>
      </c>
      <c r="R6">
        <v>-2.3143293709208947</v>
      </c>
      <c r="S6">
        <v>-2.0302543175824233</v>
      </c>
      <c r="T6">
        <v>-2.02464468699511</v>
      </c>
      <c r="U6">
        <v>-1.9719784704401098</v>
      </c>
      <c r="V6">
        <v>-1.8355068265934502</v>
      </c>
      <c r="W6">
        <v>-1.8881111595805751</v>
      </c>
      <c r="X6">
        <v>-1.7928255467182459</v>
      </c>
      <c r="Y6">
        <v>-1.8239005234898522</v>
      </c>
      <c r="Z6">
        <v>-1.7922664316669934</v>
      </c>
      <c r="AA6">
        <v>-1.7665128532193577</v>
      </c>
      <c r="AB6">
        <v>-1.7558637691423584</v>
      </c>
      <c r="AC6">
        <v>-1.6970962745970151</v>
      </c>
      <c r="AD6">
        <v>-1.6680740228750985</v>
      </c>
      <c r="AE6">
        <v>-1.609207350986799</v>
      </c>
      <c r="AF6">
        <v>-1.5671171228029983</v>
      </c>
      <c r="AG6">
        <v>-1.5290563151423466</v>
      </c>
      <c r="AH6">
        <v>-1.4929898779114352</v>
      </c>
      <c r="AI6">
        <v>-1.4723586465101204</v>
      </c>
      <c r="AJ6">
        <v>-1.4477837443759185</v>
      </c>
      <c r="AK6">
        <v>-1.4314754416792457</v>
      </c>
      <c r="AL6">
        <v>-1.4118627182067449</v>
      </c>
      <c r="AM6">
        <v>-1.3911695172242091</v>
      </c>
      <c r="AN6">
        <v>-1.3697532201932867</v>
      </c>
      <c r="AO6">
        <v>-1.3446786433031863</v>
      </c>
      <c r="AP6">
        <v>-1.320730136283037</v>
      </c>
      <c r="AQ6">
        <v>-1.2955325085066189</v>
      </c>
      <c r="AR6">
        <v>-1.2721045518282463</v>
      </c>
      <c r="AS6">
        <v>-1.2502993053389215</v>
      </c>
      <c r="AT6">
        <v>-1.2302419057084597</v>
      </c>
      <c r="AU6">
        <v>-1.2126482096607791</v>
      </c>
      <c r="AV6">
        <v>-1.1962619664944862</v>
      </c>
      <c r="AW6">
        <v>-1.1813131341539371</v>
      </c>
      <c r="AX6">
        <v>-1.16675403531178</v>
      </c>
      <c r="AY6">
        <v>-1.1523012140315245</v>
      </c>
      <c r="AZ6">
        <v>-1.1377416274613057</v>
      </c>
      <c r="BA6">
        <v>-1.1228736206111858</v>
      </c>
      <c r="BB6">
        <v>-1.1080760145734714</v>
      </c>
    </row>
    <row r="7" spans="3:54" x14ac:dyDescent="0.2">
      <c r="C7" t="s">
        <v>9</v>
      </c>
      <c r="D7" t="s">
        <v>145</v>
      </c>
      <c r="E7" t="s">
        <v>141</v>
      </c>
      <c r="F7">
        <v>0.46404691238659912</v>
      </c>
      <c r="G7">
        <v>-0.36164723002333743</v>
      </c>
      <c r="H7">
        <v>1.1548237513326349</v>
      </c>
      <c r="I7">
        <v>0.12300519615235511</v>
      </c>
      <c r="J7">
        <v>0.61093612617846305</v>
      </c>
      <c r="K7">
        <v>0.47676543864614218</v>
      </c>
      <c r="L7">
        <v>0.44665559000792621</v>
      </c>
      <c r="M7">
        <v>0.63229728078399128</v>
      </c>
      <c r="N7">
        <v>0.35450563411538816</v>
      </c>
      <c r="O7">
        <v>0.6266175794907074</v>
      </c>
      <c r="P7">
        <v>0.57681436292554844</v>
      </c>
      <c r="Q7">
        <v>0.70018702428171475</v>
      </c>
      <c r="R7">
        <v>0.7791492756536148</v>
      </c>
      <c r="S7">
        <v>0.77640805737321417</v>
      </c>
      <c r="T7">
        <v>0.87194192473346788</v>
      </c>
      <c r="U7">
        <v>0.84313071029960485</v>
      </c>
      <c r="V7">
        <v>0.88208337302039264</v>
      </c>
      <c r="W7">
        <v>0.87554388345619127</v>
      </c>
      <c r="X7">
        <v>0.87756226592281972</v>
      </c>
      <c r="Y7">
        <v>0.90172874338095532</v>
      </c>
      <c r="Z7">
        <v>0.90688647571296821</v>
      </c>
      <c r="AA7">
        <v>0.94281814746149006</v>
      </c>
      <c r="AB7">
        <v>0.96471317294329262</v>
      </c>
      <c r="AC7">
        <v>0.99732432182472885</v>
      </c>
      <c r="AD7">
        <v>1.027381866324411</v>
      </c>
      <c r="AE7">
        <v>1.0502123214233305</v>
      </c>
      <c r="AF7">
        <v>1.0743636900183631</v>
      </c>
      <c r="AG7">
        <v>1.0883386610207459</v>
      </c>
      <c r="AH7">
        <v>1.1029612266804942</v>
      </c>
      <c r="AI7">
        <v>1.1135856920386187</v>
      </c>
      <c r="AJ7">
        <v>1.1241325861538958</v>
      </c>
      <c r="AK7">
        <v>1.1364495506505021</v>
      </c>
      <c r="AL7">
        <v>1.1489630962826591</v>
      </c>
      <c r="AM7">
        <v>1.164319754496459</v>
      </c>
      <c r="AN7">
        <v>1.1797460628619092</v>
      </c>
      <c r="AO7">
        <v>1.1958195772988791</v>
      </c>
      <c r="AP7">
        <v>1.2112034441744139</v>
      </c>
      <c r="AQ7">
        <v>1.225149225569248</v>
      </c>
      <c r="AR7">
        <v>1.2378899155815619</v>
      </c>
      <c r="AS7">
        <v>1.2488639169312343</v>
      </c>
      <c r="AT7">
        <v>1.2588770625736256</v>
      </c>
      <c r="AU7">
        <v>1.2680403566756269</v>
      </c>
      <c r="AV7">
        <v>1.2768960257603059</v>
      </c>
      <c r="AW7">
        <v>1.2858049158306986</v>
      </c>
      <c r="AX7">
        <v>1.2948192361931266</v>
      </c>
      <c r="AY7">
        <v>1.3040883128601286</v>
      </c>
      <c r="AZ7">
        <v>1.313378568475859</v>
      </c>
      <c r="BA7">
        <v>1.3225712790860356</v>
      </c>
      <c r="BB7">
        <v>1.3314409523306101</v>
      </c>
    </row>
    <row r="8" spans="3:54" x14ac:dyDescent="0.2">
      <c r="C8" t="s">
        <v>10</v>
      </c>
      <c r="D8" t="s">
        <v>146</v>
      </c>
      <c r="E8" t="s">
        <v>141</v>
      </c>
      <c r="F8">
        <v>-86.018607044304147</v>
      </c>
      <c r="G8">
        <v>235.02900388752695</v>
      </c>
      <c r="H8">
        <v>879.06333983667059</v>
      </c>
      <c r="I8">
        <v>508.50219085487447</v>
      </c>
      <c r="J8">
        <v>791.58246129976942</v>
      </c>
      <c r="K8">
        <v>741.65203925029948</v>
      </c>
      <c r="L8">
        <v>868.62670354684838</v>
      </c>
      <c r="M8">
        <v>930.39421008404406</v>
      </c>
      <c r="N8">
        <v>837.32899520277499</v>
      </c>
      <c r="O8">
        <v>932.9239832569175</v>
      </c>
      <c r="P8">
        <v>877.2051728255841</v>
      </c>
      <c r="Q8">
        <v>909.68061320159154</v>
      </c>
      <c r="R8">
        <v>888.59591593864059</v>
      </c>
      <c r="S8">
        <v>868.2415132480445</v>
      </c>
      <c r="T8">
        <v>890.12355668207613</v>
      </c>
      <c r="U8">
        <v>883.95724803658868</v>
      </c>
      <c r="V8">
        <v>920.14331348325425</v>
      </c>
      <c r="W8">
        <v>935.78108330349119</v>
      </c>
      <c r="X8">
        <v>959.4745094951536</v>
      </c>
      <c r="Y8">
        <v>978.71957302782414</v>
      </c>
      <c r="Z8">
        <v>983.96047722896162</v>
      </c>
      <c r="AA8">
        <v>992.21129869195317</v>
      </c>
      <c r="AB8">
        <v>989.12955794914251</v>
      </c>
      <c r="AC8">
        <v>990.93208513690433</v>
      </c>
      <c r="AD8">
        <v>992.23243719998823</v>
      </c>
      <c r="AE8">
        <v>995.78287617403191</v>
      </c>
      <c r="AF8">
        <v>1003.2724604724948</v>
      </c>
      <c r="AG8">
        <v>1010.309007949544</v>
      </c>
      <c r="AH8">
        <v>1019.9284229801597</v>
      </c>
      <c r="AI8">
        <v>1028.3084575785788</v>
      </c>
      <c r="AJ8">
        <v>1036.4947744060569</v>
      </c>
      <c r="AK8">
        <v>1043.6652850130938</v>
      </c>
      <c r="AL8">
        <v>1049.2261352157293</v>
      </c>
      <c r="AM8">
        <v>1054.0819500077259</v>
      </c>
      <c r="AN8">
        <v>1057.5805216641713</v>
      </c>
      <c r="AO8">
        <v>1060.7899561989084</v>
      </c>
      <c r="AP8">
        <v>1063.7775501167405</v>
      </c>
      <c r="AQ8">
        <v>1067.0244668515679</v>
      </c>
      <c r="AR8">
        <v>1070.8565478833148</v>
      </c>
      <c r="AS8">
        <v>1075.0911570393037</v>
      </c>
      <c r="AT8">
        <v>1079.7603263328942</v>
      </c>
      <c r="AU8">
        <v>1084.4311495845941</v>
      </c>
      <c r="AV8">
        <v>1088.9048449558486</v>
      </c>
      <c r="AW8">
        <v>1092.9558533626227</v>
      </c>
      <c r="AX8">
        <v>1096.4796355896763</v>
      </c>
      <c r="AY8">
        <v>1099.5629481462088</v>
      </c>
      <c r="AZ8">
        <v>1102.2845390152725</v>
      </c>
      <c r="BA8">
        <v>1104.8351110084247</v>
      </c>
      <c r="BB8">
        <v>1107.333197318085</v>
      </c>
    </row>
    <row r="9" spans="3:54" x14ac:dyDescent="0.2">
      <c r="C9" t="s">
        <v>11</v>
      </c>
      <c r="D9" t="s">
        <v>147</v>
      </c>
      <c r="E9" t="s">
        <v>141</v>
      </c>
      <c r="F9">
        <v>-2.4016211636199776</v>
      </c>
      <c r="G9">
        <v>0.25859474408311817</v>
      </c>
      <c r="H9">
        <v>2.2206010934042624</v>
      </c>
      <c r="I9">
        <v>0.86795472128308859</v>
      </c>
      <c r="J9">
        <v>1.5768327616397662</v>
      </c>
      <c r="K9">
        <v>1.6915299125531582</v>
      </c>
      <c r="L9">
        <v>2.5427959698005189</v>
      </c>
      <c r="M9">
        <v>2.9246410413091004</v>
      </c>
      <c r="N9">
        <v>2.8941031066759346</v>
      </c>
      <c r="O9">
        <v>3.3871729830342447</v>
      </c>
      <c r="P9">
        <v>3.4664085835273402</v>
      </c>
      <c r="Q9">
        <v>3.7845480979581096</v>
      </c>
      <c r="R9">
        <v>3.8873482466022096</v>
      </c>
      <c r="S9">
        <v>4.0224806820792436</v>
      </c>
      <c r="T9">
        <v>4.2671142948709075</v>
      </c>
      <c r="U9">
        <v>4.4454279940767032</v>
      </c>
      <c r="V9">
        <v>4.7366531580701254</v>
      </c>
      <c r="W9">
        <v>4.9545527768474411</v>
      </c>
      <c r="X9">
        <v>5.1940288926021081</v>
      </c>
      <c r="Y9">
        <v>5.4044947923502233</v>
      </c>
      <c r="Z9">
        <v>5.5693746879379615</v>
      </c>
      <c r="AA9">
        <v>5.7298236211741846</v>
      </c>
      <c r="AB9">
        <v>5.8495324049670794</v>
      </c>
      <c r="AC9">
        <v>5.9782940595565606</v>
      </c>
      <c r="AD9">
        <v>6.0997789511709515</v>
      </c>
      <c r="AE9">
        <v>6.2263465644931966</v>
      </c>
      <c r="AF9">
        <v>6.3607808421060952</v>
      </c>
      <c r="AG9">
        <v>6.4924344862582686</v>
      </c>
      <c r="AH9">
        <v>6.6289624394832449</v>
      </c>
      <c r="AI9">
        <v>6.758335059090701</v>
      </c>
      <c r="AJ9">
        <v>6.8832602275531363</v>
      </c>
      <c r="AK9">
        <v>7.0000151235445633</v>
      </c>
      <c r="AL9">
        <v>7.1073839248493353</v>
      </c>
      <c r="AM9">
        <v>7.2078526028424283</v>
      </c>
      <c r="AN9">
        <v>7.3002718529378905</v>
      </c>
      <c r="AO9">
        <v>7.3884555196234594</v>
      </c>
      <c r="AP9">
        <v>7.4731065212220917</v>
      </c>
      <c r="AQ9">
        <v>7.5562521573312713</v>
      </c>
      <c r="AR9">
        <v>7.6389187385947324</v>
      </c>
      <c r="AS9">
        <v>7.7206926793891197</v>
      </c>
      <c r="AT9">
        <v>7.8015173073921131</v>
      </c>
      <c r="AU9">
        <v>7.8799715098399066</v>
      </c>
      <c r="AV9">
        <v>7.955372512496151</v>
      </c>
      <c r="AW9">
        <v>8.0269592686764462</v>
      </c>
      <c r="AX9">
        <v>8.0944850590274839</v>
      </c>
      <c r="AY9">
        <v>8.1582904493572972</v>
      </c>
      <c r="AZ9">
        <v>8.218786993437039</v>
      </c>
      <c r="BA9">
        <v>8.2767341354069472</v>
      </c>
      <c r="BB9">
        <v>8.3326682542711694</v>
      </c>
    </row>
    <row r="10" spans="3:54" x14ac:dyDescent="0.2">
      <c r="C10" t="s">
        <v>12</v>
      </c>
      <c r="D10" t="s">
        <v>158</v>
      </c>
      <c r="E10" t="s">
        <v>141</v>
      </c>
      <c r="F10">
        <v>53.406422005894861</v>
      </c>
      <c r="G10">
        <v>-4.9370582908684515</v>
      </c>
      <c r="H10">
        <v>57.603204101630809</v>
      </c>
      <c r="I10">
        <v>3.5554555748830694</v>
      </c>
      <c r="J10">
        <v>40.263734775930864</v>
      </c>
      <c r="K10">
        <v>37.894901227741457</v>
      </c>
      <c r="L10">
        <v>33.508881488043151</v>
      </c>
      <c r="M10">
        <v>49.147726835843287</v>
      </c>
      <c r="N10">
        <v>34.505465590458002</v>
      </c>
      <c r="O10">
        <v>47.999381647179376</v>
      </c>
      <c r="P10">
        <v>39.887151013161706</v>
      </c>
      <c r="Q10">
        <v>40.333737330040215</v>
      </c>
      <c r="R10">
        <v>40.326051097644424</v>
      </c>
      <c r="S10">
        <v>36.280558096774186</v>
      </c>
      <c r="T10">
        <v>40.08172228393147</v>
      </c>
      <c r="U10">
        <v>38.107527869611495</v>
      </c>
      <c r="V10">
        <v>41.125900455879012</v>
      </c>
      <c r="W10">
        <v>42.19923408501279</v>
      </c>
      <c r="X10">
        <v>43.228817251640528</v>
      </c>
      <c r="Y10">
        <v>44.968668349158726</v>
      </c>
      <c r="Z10">
        <v>44.611349219572588</v>
      </c>
      <c r="AA10">
        <v>45.337613864043767</v>
      </c>
      <c r="AB10">
        <v>44.819730132991779</v>
      </c>
      <c r="AC10">
        <v>44.730257236059622</v>
      </c>
      <c r="AD10">
        <v>44.703530732475279</v>
      </c>
      <c r="AE10">
        <v>44.578313434124411</v>
      </c>
      <c r="AF10">
        <v>45.007741997441066</v>
      </c>
      <c r="AG10">
        <v>45.259072662163312</v>
      </c>
      <c r="AH10">
        <v>45.841254526408456</v>
      </c>
      <c r="AI10">
        <v>46.343919300677257</v>
      </c>
      <c r="AJ10">
        <v>46.812458722948854</v>
      </c>
      <c r="AK10">
        <v>47.257151656754779</v>
      </c>
      <c r="AL10">
        <v>47.510214618973592</v>
      </c>
      <c r="AM10">
        <v>47.73673560192902</v>
      </c>
      <c r="AN10">
        <v>47.833505683993494</v>
      </c>
      <c r="AO10">
        <v>47.916524370155273</v>
      </c>
      <c r="AP10">
        <v>48.001961475703062</v>
      </c>
      <c r="AQ10">
        <v>48.107196078185126</v>
      </c>
      <c r="AR10">
        <v>48.280527312148777</v>
      </c>
      <c r="AS10">
        <v>48.482642671599621</v>
      </c>
      <c r="AT10">
        <v>48.727084419280885</v>
      </c>
      <c r="AU10">
        <v>48.97404293765635</v>
      </c>
      <c r="AV10">
        <v>49.207218528781951</v>
      </c>
      <c r="AW10">
        <v>49.414624762821717</v>
      </c>
      <c r="AX10">
        <v>49.582493156057687</v>
      </c>
      <c r="AY10">
        <v>49.721962226691808</v>
      </c>
      <c r="AZ10">
        <v>49.835212288409579</v>
      </c>
      <c r="BA10">
        <v>49.937625593057753</v>
      </c>
      <c r="BB10">
        <v>50.038706150352503</v>
      </c>
    </row>
    <row r="11" spans="3:54" x14ac:dyDescent="0.2">
      <c r="C11" t="s">
        <v>13</v>
      </c>
      <c r="D11" t="s">
        <v>159</v>
      </c>
      <c r="E11" t="s">
        <v>141</v>
      </c>
      <c r="F11">
        <v>1.2305904197117106</v>
      </c>
      <c r="G11">
        <v>-0.67264426643874564</v>
      </c>
      <c r="H11">
        <v>1.5143873253578162</v>
      </c>
      <c r="I11">
        <v>-2.2900316215479295</v>
      </c>
      <c r="J11">
        <v>0.22211031759410554</v>
      </c>
      <c r="K11">
        <v>0.11988392968544576</v>
      </c>
      <c r="L11">
        <v>0.63155550246765579</v>
      </c>
      <c r="M11">
        <v>1.5264345986800858</v>
      </c>
      <c r="N11">
        <v>1.2326447185909117</v>
      </c>
      <c r="O11">
        <v>2.4049702957051644</v>
      </c>
      <c r="P11">
        <v>2.2388984369485336</v>
      </c>
      <c r="Q11">
        <v>2.6125063019496593</v>
      </c>
      <c r="R11">
        <v>2.7009019571676842</v>
      </c>
      <c r="S11">
        <v>2.6582916993408205</v>
      </c>
      <c r="T11">
        <v>2.9188624117664661</v>
      </c>
      <c r="U11">
        <v>2.8591266890159623</v>
      </c>
      <c r="V11">
        <v>3.0957547672747676</v>
      </c>
      <c r="W11">
        <v>3.2169671627399392</v>
      </c>
      <c r="X11">
        <v>3.4212649686845116</v>
      </c>
      <c r="Y11">
        <v>3.6669712220087725</v>
      </c>
      <c r="Z11">
        <v>3.8334724981843418</v>
      </c>
      <c r="AA11">
        <v>4.0512558626889632</v>
      </c>
      <c r="AB11">
        <v>4.1774450792291145</v>
      </c>
      <c r="AC11">
        <v>4.3090091236674901</v>
      </c>
      <c r="AD11">
        <v>4.406636950703378</v>
      </c>
      <c r="AE11">
        <v>4.4851427753541655</v>
      </c>
      <c r="AF11">
        <v>4.5783197458249933</v>
      </c>
      <c r="AG11">
        <v>4.660537235386685</v>
      </c>
      <c r="AH11">
        <v>4.7659748362025516</v>
      </c>
      <c r="AI11">
        <v>4.8717781447211239</v>
      </c>
      <c r="AJ11">
        <v>4.9846478314541072</v>
      </c>
      <c r="AK11">
        <v>5.0990356022159817</v>
      </c>
      <c r="AL11">
        <v>5.20512254619827</v>
      </c>
      <c r="AM11">
        <v>5.3072787200116238</v>
      </c>
      <c r="AN11">
        <v>5.3968844223250665</v>
      </c>
      <c r="AO11">
        <v>5.4791344413011736</v>
      </c>
      <c r="AP11">
        <v>5.5533251514718636</v>
      </c>
      <c r="AQ11">
        <v>5.621999895372376</v>
      </c>
      <c r="AR11">
        <v>5.6888954166021346</v>
      </c>
      <c r="AS11">
        <v>5.7542994349817196</v>
      </c>
      <c r="AT11">
        <v>5.8210199468447401</v>
      </c>
      <c r="AU11">
        <v>5.8881386781492351</v>
      </c>
      <c r="AV11">
        <v>5.9555289538176908</v>
      </c>
      <c r="AW11">
        <v>6.021993993911825</v>
      </c>
      <c r="AX11">
        <v>6.0859731560424564</v>
      </c>
      <c r="AY11">
        <v>6.1468593092634238</v>
      </c>
      <c r="AZ11">
        <v>6.20377205103087</v>
      </c>
      <c r="BA11">
        <v>6.2570088334287624</v>
      </c>
      <c r="BB11">
        <v>6.3069479032712055</v>
      </c>
    </row>
    <row r="12" spans="3:54" x14ac:dyDescent="0.2">
      <c r="C12" t="s">
        <v>14</v>
      </c>
      <c r="D12" t="s">
        <v>150</v>
      </c>
      <c r="E12" t="s">
        <v>141</v>
      </c>
      <c r="F12">
        <v>14.486140050763135</v>
      </c>
      <c r="G12">
        <v>-12.934211058256233</v>
      </c>
      <c r="H12">
        <v>63.733074593150299</v>
      </c>
      <c r="I12">
        <v>24.4379440278286</v>
      </c>
      <c r="J12">
        <v>55.111184525294561</v>
      </c>
      <c r="K12">
        <v>56.610134175710378</v>
      </c>
      <c r="L12">
        <v>54.213067096743764</v>
      </c>
      <c r="M12">
        <v>68.169858357841562</v>
      </c>
      <c r="N12">
        <v>51.13639907153452</v>
      </c>
      <c r="O12">
        <v>58.701865231232532</v>
      </c>
      <c r="P12">
        <v>50.273486802463289</v>
      </c>
      <c r="Q12">
        <v>48.854970721437624</v>
      </c>
      <c r="R12">
        <v>49.092799056995169</v>
      </c>
      <c r="S12">
        <v>45.959628375817815</v>
      </c>
      <c r="T12">
        <v>51.328102064245833</v>
      </c>
      <c r="U12">
        <v>52.696377757464269</v>
      </c>
      <c r="V12">
        <v>58.545376976072312</v>
      </c>
      <c r="W12">
        <v>62.769880106129122</v>
      </c>
      <c r="X12">
        <v>65.943985749917189</v>
      </c>
      <c r="Y12">
        <v>69.020966650411822</v>
      </c>
      <c r="Z12">
        <v>69.323824616054054</v>
      </c>
      <c r="AA12">
        <v>69.973836582713801</v>
      </c>
      <c r="AB12">
        <v>69.407038239022569</v>
      </c>
      <c r="AC12">
        <v>69.325910334978076</v>
      </c>
      <c r="AD12">
        <v>69.791606324294989</v>
      </c>
      <c r="AE12">
        <v>70.594710071045029</v>
      </c>
      <c r="AF12">
        <v>72.259350409074031</v>
      </c>
      <c r="AG12">
        <v>73.944735690259577</v>
      </c>
      <c r="AH12">
        <v>75.889593824332408</v>
      </c>
      <c r="AI12">
        <v>77.623134588964206</v>
      </c>
      <c r="AJ12">
        <v>79.075815571407702</v>
      </c>
      <c r="AK12">
        <v>80.274542121567293</v>
      </c>
      <c r="AL12">
        <v>81.102414672922791</v>
      </c>
      <c r="AM12">
        <v>81.778429230871239</v>
      </c>
      <c r="AN12">
        <v>82.293511271848374</v>
      </c>
      <c r="AO12">
        <v>82.808516485111213</v>
      </c>
      <c r="AP12">
        <v>83.39111481831911</v>
      </c>
      <c r="AQ12">
        <v>84.069991820024327</v>
      </c>
      <c r="AR12">
        <v>84.88285876603058</v>
      </c>
      <c r="AS12">
        <v>85.765396909554966</v>
      </c>
      <c r="AT12">
        <v>86.687700310031389</v>
      </c>
      <c r="AU12">
        <v>87.576193627589703</v>
      </c>
      <c r="AV12">
        <v>88.385294194502279</v>
      </c>
      <c r="AW12">
        <v>89.093478201389885</v>
      </c>
      <c r="AX12">
        <v>89.693614241850796</v>
      </c>
      <c r="AY12">
        <v>90.214790516750796</v>
      </c>
      <c r="AZ12">
        <v>90.684410449098522</v>
      </c>
      <c r="BA12">
        <v>91.139053092900951</v>
      </c>
      <c r="BB12">
        <v>91.603381978155369</v>
      </c>
    </row>
    <row r="13" spans="3:54" x14ac:dyDescent="0.2">
      <c r="C13" t="s">
        <v>15</v>
      </c>
      <c r="D13" t="s">
        <v>151</v>
      </c>
      <c r="E13" t="s">
        <v>141</v>
      </c>
      <c r="F13">
        <v>-2.1515070489281687</v>
      </c>
      <c r="G13">
        <v>-6.3241307880405486</v>
      </c>
      <c r="H13">
        <v>-0.7696400404730751</v>
      </c>
      <c r="I13">
        <v>-7.655521478940849</v>
      </c>
      <c r="J13">
        <v>-5.8216313762728298</v>
      </c>
      <c r="K13">
        <v>-6.3992544370560323</v>
      </c>
      <c r="L13">
        <v>-7.6371484332855273</v>
      </c>
      <c r="M13">
        <v>-7.3086791843532222</v>
      </c>
      <c r="N13">
        <v>-9.2898580943532583</v>
      </c>
      <c r="O13">
        <v>-8.140706807786092</v>
      </c>
      <c r="P13">
        <v>-8.4456581951028724</v>
      </c>
      <c r="Q13">
        <v>-7.9303904436543977</v>
      </c>
      <c r="R13">
        <v>-7.3387122085868599</v>
      </c>
      <c r="S13">
        <v>-7.2029531233858926</v>
      </c>
      <c r="T13">
        <v>-6.5427152654464438</v>
      </c>
      <c r="U13">
        <v>-6.6562756718953278</v>
      </c>
      <c r="V13">
        <v>-6.5839463065340276</v>
      </c>
      <c r="W13">
        <v>-6.8083704466284329</v>
      </c>
      <c r="X13">
        <v>-7.0738824596737224</v>
      </c>
      <c r="Y13">
        <v>-7.1934658023074229</v>
      </c>
      <c r="Z13">
        <v>-7.3760969396147047</v>
      </c>
      <c r="AA13">
        <v>-7.3274422859551329</v>
      </c>
      <c r="AB13">
        <v>-7.2752837675280793</v>
      </c>
      <c r="AC13">
        <v>-7.1274554228892963</v>
      </c>
      <c r="AD13">
        <v>-6.9627688786986868</v>
      </c>
      <c r="AE13">
        <v>-6.8444399372994882</v>
      </c>
      <c r="AF13">
        <v>-6.7355384928777555</v>
      </c>
      <c r="AG13">
        <v>-6.705557428662698</v>
      </c>
      <c r="AH13">
        <v>-6.6990006119329699</v>
      </c>
      <c r="AI13">
        <v>-6.7298760036966074</v>
      </c>
      <c r="AJ13">
        <v>-6.7722603370294232</v>
      </c>
      <c r="AK13">
        <v>-6.8030166927222497</v>
      </c>
      <c r="AL13">
        <v>-6.8236303709594113</v>
      </c>
      <c r="AM13">
        <v>-6.8142579744168525</v>
      </c>
      <c r="AN13">
        <v>-6.7873542301827294</v>
      </c>
      <c r="AO13">
        <v>-6.7429422815561502</v>
      </c>
      <c r="AP13">
        <v>-6.6920353035022497</v>
      </c>
      <c r="AQ13">
        <v>-6.6455041677754378</v>
      </c>
      <c r="AR13">
        <v>-6.6073734637574857</v>
      </c>
      <c r="AS13">
        <v>-6.5843792169180944</v>
      </c>
      <c r="AT13">
        <v>-6.5734520680097299</v>
      </c>
      <c r="AU13">
        <v>-6.5724060576171643</v>
      </c>
      <c r="AV13">
        <v>-6.5756352423208249</v>
      </c>
      <c r="AW13">
        <v>-6.5776427162944753</v>
      </c>
      <c r="AX13">
        <v>-6.5753887891661114</v>
      </c>
      <c r="AY13">
        <v>-6.5664366503142375</v>
      </c>
      <c r="AZ13">
        <v>-6.55175302258173</v>
      </c>
      <c r="BA13">
        <v>-6.5329292728390236</v>
      </c>
      <c r="BB13">
        <v>-6.512683789245874</v>
      </c>
    </row>
    <row r="14" spans="3:54" x14ac:dyDescent="0.2">
      <c r="C14" t="s">
        <v>16</v>
      </c>
      <c r="D14" t="s">
        <v>152</v>
      </c>
      <c r="E14" t="s">
        <v>141</v>
      </c>
      <c r="F14">
        <v>-10.791136898827475</v>
      </c>
      <c r="G14">
        <v>115.705157808195</v>
      </c>
      <c r="H14">
        <v>485.45681537663597</v>
      </c>
      <c r="I14">
        <v>218.57747645634319</v>
      </c>
      <c r="J14">
        <v>356.53814137575557</v>
      </c>
      <c r="K14">
        <v>372.68575930171949</v>
      </c>
      <c r="L14">
        <v>429.80817367065453</v>
      </c>
      <c r="M14">
        <v>489.73956510546236</v>
      </c>
      <c r="N14">
        <v>431.50411986045515</v>
      </c>
      <c r="O14">
        <v>501.55389951693655</v>
      </c>
      <c r="P14">
        <v>486.03647859090614</v>
      </c>
      <c r="Q14">
        <v>509.94732061255479</v>
      </c>
      <c r="R14">
        <v>516.31537583087731</v>
      </c>
      <c r="S14">
        <v>513.59092232380806</v>
      </c>
      <c r="T14">
        <v>542.59946648478285</v>
      </c>
      <c r="U14">
        <v>550.64584132453274</v>
      </c>
      <c r="V14">
        <v>580.55159744803348</v>
      </c>
      <c r="W14">
        <v>599.2098405844913</v>
      </c>
      <c r="X14">
        <v>618.71873467882745</v>
      </c>
      <c r="Y14">
        <v>637.95784855136617</v>
      </c>
      <c r="Z14">
        <v>647.64693480823462</v>
      </c>
      <c r="AA14">
        <v>660.14983532613405</v>
      </c>
      <c r="AB14">
        <v>666.57836698592257</v>
      </c>
      <c r="AC14">
        <v>675.44484700728276</v>
      </c>
      <c r="AD14">
        <v>684.54885617816069</v>
      </c>
      <c r="AE14">
        <v>694.01849863751738</v>
      </c>
      <c r="AF14">
        <v>705.69003432865975</v>
      </c>
      <c r="AG14">
        <v>716.49782699132857</v>
      </c>
      <c r="AH14">
        <v>728.35045292228767</v>
      </c>
      <c r="AI14">
        <v>739.22812957804763</v>
      </c>
      <c r="AJ14">
        <v>749.51356859133659</v>
      </c>
      <c r="AK14">
        <v>759.08746778872546</v>
      </c>
      <c r="AL14">
        <v>767.46774103542202</v>
      </c>
      <c r="AM14">
        <v>775.36364189485835</v>
      </c>
      <c r="AN14">
        <v>782.41613723728381</v>
      </c>
      <c r="AO14">
        <v>789.21864200726816</v>
      </c>
      <c r="AP14">
        <v>795.84857545695206</v>
      </c>
      <c r="AQ14">
        <v>802.46866551766277</v>
      </c>
      <c r="AR14">
        <v>809.26105883633932</v>
      </c>
      <c r="AS14">
        <v>816.05380053266856</v>
      </c>
      <c r="AT14">
        <v>822.85894187279098</v>
      </c>
      <c r="AU14">
        <v>829.4499471640155</v>
      </c>
      <c r="AV14">
        <v>835.73188011228035</v>
      </c>
      <c r="AW14">
        <v>841.62986764195364</v>
      </c>
      <c r="AX14">
        <v>847.107119009847</v>
      </c>
      <c r="AY14">
        <v>852.24154588534259</v>
      </c>
      <c r="AZ14">
        <v>857.08481371888411</v>
      </c>
      <c r="BA14">
        <v>861.74147728791968</v>
      </c>
      <c r="BB14">
        <v>866.27368160435594</v>
      </c>
    </row>
    <row r="15" spans="3:54" x14ac:dyDescent="0.2">
      <c r="C15" t="s">
        <v>17</v>
      </c>
      <c r="D15" t="s">
        <v>153</v>
      </c>
      <c r="E15" t="s">
        <v>141</v>
      </c>
      <c r="F15">
        <v>45.913440344365497</v>
      </c>
      <c r="G15">
        <v>-17.884061993686181</v>
      </c>
      <c r="H15">
        <v>78.572986193825074</v>
      </c>
      <c r="I15">
        <v>16.934880564370786</v>
      </c>
      <c r="J15">
        <v>76.596319388564666</v>
      </c>
      <c r="K15">
        <v>67.091922918827365</v>
      </c>
      <c r="L15">
        <v>65.986878232200823</v>
      </c>
      <c r="M15">
        <v>90.373613113427467</v>
      </c>
      <c r="N15">
        <v>74.760022144785552</v>
      </c>
      <c r="O15">
        <v>95.284347014426956</v>
      </c>
      <c r="P15">
        <v>85.915135182462251</v>
      </c>
      <c r="Q15">
        <v>90.614853975162987</v>
      </c>
      <c r="R15">
        <v>93.311026471047072</v>
      </c>
      <c r="S15">
        <v>90.750972968620772</v>
      </c>
      <c r="T15">
        <v>97.999282065655052</v>
      </c>
      <c r="U15">
        <v>97.527902202630372</v>
      </c>
      <c r="V15">
        <v>104.44166333909882</v>
      </c>
      <c r="W15">
        <v>108.67698024500297</v>
      </c>
      <c r="X15">
        <v>113.32949239529465</v>
      </c>
      <c r="Y15">
        <v>118.73083882103674</v>
      </c>
      <c r="Z15">
        <v>121.21599507554274</v>
      </c>
      <c r="AA15">
        <v>124.87455298251905</v>
      </c>
      <c r="AB15">
        <v>126.45404159629727</v>
      </c>
      <c r="AC15">
        <v>128.43544712771143</v>
      </c>
      <c r="AD15">
        <v>130.29898783399136</v>
      </c>
      <c r="AE15">
        <v>132.0550635983578</v>
      </c>
      <c r="AF15">
        <v>134.57285929061101</v>
      </c>
      <c r="AG15">
        <v>136.8802456669527</v>
      </c>
      <c r="AH15">
        <v>139.65404522744882</v>
      </c>
      <c r="AI15">
        <v>142.2703556578544</v>
      </c>
      <c r="AJ15">
        <v>144.79587421797049</v>
      </c>
      <c r="AK15">
        <v>147.19942790595289</v>
      </c>
      <c r="AL15">
        <v>149.26237350208064</v>
      </c>
      <c r="AM15">
        <v>151.20394682450987</v>
      </c>
      <c r="AN15">
        <v>152.8834033040946</v>
      </c>
      <c r="AO15">
        <v>154.46994458287415</v>
      </c>
      <c r="AP15">
        <v>155.98532431399005</v>
      </c>
      <c r="AQ15">
        <v>157.47098447503706</v>
      </c>
      <c r="AR15">
        <v>159.00273988611835</v>
      </c>
      <c r="AS15">
        <v>160.54064084920006</v>
      </c>
      <c r="AT15">
        <v>162.11113285523928</v>
      </c>
      <c r="AU15">
        <v>163.65902973632853</v>
      </c>
      <c r="AV15">
        <v>165.15866137424587</v>
      </c>
      <c r="AW15">
        <v>166.58404765020205</v>
      </c>
      <c r="AX15">
        <v>167.90966664391391</v>
      </c>
      <c r="AY15">
        <v>169.14623855030217</v>
      </c>
      <c r="AZ15">
        <v>170.29694368791849</v>
      </c>
      <c r="BA15">
        <v>171.38732551441069</v>
      </c>
      <c r="BB15">
        <v>172.4361975212237</v>
      </c>
    </row>
    <row r="16" spans="3:54" x14ac:dyDescent="0.2">
      <c r="C16" t="s">
        <v>18</v>
      </c>
      <c r="D16" t="s">
        <v>154</v>
      </c>
      <c r="E16" t="s">
        <v>141</v>
      </c>
      <c r="F16">
        <v>1.2504012500621318</v>
      </c>
      <c r="G16">
        <v>13.94412542541318</v>
      </c>
      <c r="H16">
        <v>95.643716003274662</v>
      </c>
      <c r="I16">
        <v>24.986720492688956</v>
      </c>
      <c r="J16">
        <v>79.593446676876056</v>
      </c>
      <c r="K16">
        <v>57.633119968528931</v>
      </c>
      <c r="L16">
        <v>71.745588978893508</v>
      </c>
      <c r="M16">
        <v>76.459671847054736</v>
      </c>
      <c r="N16">
        <v>61.052567411913891</v>
      </c>
      <c r="O16">
        <v>78.937988651995198</v>
      </c>
      <c r="P16">
        <v>70.450896744312246</v>
      </c>
      <c r="Q16">
        <v>81.37259207599817</v>
      </c>
      <c r="R16">
        <v>82.673610786706561</v>
      </c>
      <c r="S16">
        <v>84.912071647050681</v>
      </c>
      <c r="T16">
        <v>92.029458375175949</v>
      </c>
      <c r="U16">
        <v>92.050129348144083</v>
      </c>
      <c r="V16">
        <v>97.820628762063563</v>
      </c>
      <c r="W16">
        <v>98.573443295583857</v>
      </c>
      <c r="X16">
        <v>101.02213271057316</v>
      </c>
      <c r="Y16">
        <v>103.08788702437516</v>
      </c>
      <c r="Z16">
        <v>103.93991818087535</v>
      </c>
      <c r="AA16">
        <v>106.38936503117773</v>
      </c>
      <c r="AB16">
        <v>107.56416071274863</v>
      </c>
      <c r="AC16">
        <v>109.97376201969702</v>
      </c>
      <c r="AD16">
        <v>112.08208647142924</v>
      </c>
      <c r="AE16">
        <v>114.25977666755969</v>
      </c>
      <c r="AF16">
        <v>116.61042996441005</v>
      </c>
      <c r="AG16">
        <v>118.43371868916462</v>
      </c>
      <c r="AH16">
        <v>120.37957897888933</v>
      </c>
      <c r="AI16">
        <v>121.8955506913253</v>
      </c>
      <c r="AJ16">
        <v>123.35722688551742</v>
      </c>
      <c r="AK16">
        <v>124.71464765773661</v>
      </c>
      <c r="AL16">
        <v>125.97068348384281</v>
      </c>
      <c r="AM16">
        <v>127.30680748503903</v>
      </c>
      <c r="AN16">
        <v>128.58365589238741</v>
      </c>
      <c r="AO16">
        <v>129.9274835305292</v>
      </c>
      <c r="AP16">
        <v>131.24869952987589</v>
      </c>
      <c r="AQ16">
        <v>132.55018692512411</v>
      </c>
      <c r="AR16">
        <v>133.82217500132188</v>
      </c>
      <c r="AS16">
        <v>135.0134851293837</v>
      </c>
      <c r="AT16">
        <v>136.14951610757618</v>
      </c>
      <c r="AU16">
        <v>137.20019350782616</v>
      </c>
      <c r="AV16">
        <v>138.18996294904366</v>
      </c>
      <c r="AW16">
        <v>139.12668658883044</v>
      </c>
      <c r="AX16">
        <v>140.0225807378051</v>
      </c>
      <c r="AY16">
        <v>140.89862847651204</v>
      </c>
      <c r="AZ16">
        <v>141.7553414954333</v>
      </c>
      <c r="BA16">
        <v>142.60210100918636</v>
      </c>
      <c r="BB16">
        <v>143.43254564923726</v>
      </c>
    </row>
    <row r="17" spans="3:54" x14ac:dyDescent="0.2">
      <c r="C17" t="s">
        <v>19</v>
      </c>
      <c r="D17" t="s">
        <v>155</v>
      </c>
      <c r="E17" t="s">
        <v>141</v>
      </c>
      <c r="F17">
        <v>7.9722354216487465</v>
      </c>
      <c r="G17">
        <v>85.023074738643103</v>
      </c>
      <c r="H17">
        <v>370.01291395657393</v>
      </c>
      <c r="I17">
        <v>180.89326518047275</v>
      </c>
      <c r="J17">
        <v>258.74721188601353</v>
      </c>
      <c r="K17">
        <v>298.28210882771617</v>
      </c>
      <c r="L17">
        <v>303.33523025425251</v>
      </c>
      <c r="M17">
        <v>347.7732474625023</v>
      </c>
      <c r="N17">
        <v>285.21780473174056</v>
      </c>
      <c r="O17">
        <v>324.94164302339613</v>
      </c>
      <c r="P17">
        <v>311.63144002847093</v>
      </c>
      <c r="Q17">
        <v>317.99724006210477</v>
      </c>
      <c r="R17">
        <v>327.0237193594063</v>
      </c>
      <c r="S17">
        <v>322.56801508343375</v>
      </c>
      <c r="T17">
        <v>347.50037616166895</v>
      </c>
      <c r="U17">
        <v>355.91838124226985</v>
      </c>
      <c r="V17">
        <v>377.76107598110076</v>
      </c>
      <c r="W17">
        <v>392.72427885568356</v>
      </c>
      <c r="X17">
        <v>404.02456688075273</v>
      </c>
      <c r="Y17">
        <v>416.10616201287678</v>
      </c>
      <c r="Z17">
        <v>419.54367271155428</v>
      </c>
      <c r="AA17">
        <v>425.4232630501358</v>
      </c>
      <c r="AB17">
        <v>427.9214383883027</v>
      </c>
      <c r="AC17">
        <v>432.52489432834534</v>
      </c>
      <c r="AD17">
        <v>438.87672085732299</v>
      </c>
      <c r="AE17">
        <v>445.68774427604694</v>
      </c>
      <c r="AF17">
        <v>454.66527424567022</v>
      </c>
      <c r="AG17">
        <v>462.90374310177668</v>
      </c>
      <c r="AH17">
        <v>471.50601960455464</v>
      </c>
      <c r="AI17">
        <v>479.11368506120795</v>
      </c>
      <c r="AJ17">
        <v>485.7384386432546</v>
      </c>
      <c r="AK17">
        <v>491.67524130956099</v>
      </c>
      <c r="AL17">
        <v>496.57705395095024</v>
      </c>
      <c r="AM17">
        <v>501.1955972139242</v>
      </c>
      <c r="AN17">
        <v>505.39828828544438</v>
      </c>
      <c r="AO17">
        <v>509.6240707202677</v>
      </c>
      <c r="AP17">
        <v>513.99274151590441</v>
      </c>
      <c r="AQ17">
        <v>518.51088313020716</v>
      </c>
      <c r="AR17">
        <v>523.26687184422815</v>
      </c>
      <c r="AS17">
        <v>528.03333418066768</v>
      </c>
      <c r="AT17">
        <v>532.74756330724654</v>
      </c>
      <c r="AU17">
        <v>537.21781125761424</v>
      </c>
      <c r="AV17">
        <v>541.35533409917093</v>
      </c>
      <c r="AW17">
        <v>545.14416939512353</v>
      </c>
      <c r="AX17">
        <v>548.59207434307609</v>
      </c>
      <c r="AY17">
        <v>551.80595467096634</v>
      </c>
      <c r="AZ17">
        <v>554.86138107057866</v>
      </c>
      <c r="BA17">
        <v>557.85191061589967</v>
      </c>
      <c r="BB17">
        <v>560.8273480471737</v>
      </c>
    </row>
    <row r="18" spans="3:54" x14ac:dyDescent="0.2">
      <c r="C18" t="s">
        <v>20</v>
      </c>
      <c r="D18" t="s">
        <v>148</v>
      </c>
      <c r="E18" t="s">
        <v>141</v>
      </c>
      <c r="F18">
        <v>-14.450331221910952</v>
      </c>
      <c r="G18">
        <v>-4.8492468641690065</v>
      </c>
      <c r="H18">
        <v>3.138059318832449</v>
      </c>
      <c r="I18">
        <v>4.9707900801703895</v>
      </c>
      <c r="J18">
        <v>5.8113471291414553</v>
      </c>
      <c r="K18">
        <v>1.6886061693870005</v>
      </c>
      <c r="L18">
        <v>2.5369884970692458</v>
      </c>
      <c r="M18">
        <v>1.1164818429311092</v>
      </c>
      <c r="N18">
        <v>0.26812220986508983</v>
      </c>
      <c r="O18">
        <v>2.3476345871926187E-2</v>
      </c>
      <c r="P18">
        <v>-0.53436178377113264</v>
      </c>
      <c r="Q18">
        <v>0.38637337613837675</v>
      </c>
      <c r="R18">
        <v>0.38070425716340656</v>
      </c>
      <c r="S18">
        <v>0.72910164885782569</v>
      </c>
      <c r="T18">
        <v>0.72907407622431164</v>
      </c>
      <c r="U18">
        <v>0.5543411545250474</v>
      </c>
      <c r="V18">
        <v>0.50463570643693234</v>
      </c>
      <c r="W18">
        <v>0.11915895038493053</v>
      </c>
      <c r="X18">
        <v>-0.10526370750595941</v>
      </c>
      <c r="Y18">
        <v>-0.43958059328640003</v>
      </c>
      <c r="Z18">
        <v>-0.67631990804096431</v>
      </c>
      <c r="AA18">
        <v>-0.82373293116927526</v>
      </c>
      <c r="AB18">
        <v>-0.94923741784078297</v>
      </c>
      <c r="AC18">
        <v>-0.95593767011380537</v>
      </c>
      <c r="AD18">
        <v>-0.97095094662946402</v>
      </c>
      <c r="AE18">
        <v>-0.95225668459378721</v>
      </c>
      <c r="AF18">
        <v>-0.96764847507182428</v>
      </c>
      <c r="AG18">
        <v>-1.0291238687078388</v>
      </c>
      <c r="AH18">
        <v>-1.1214396089513006</v>
      </c>
      <c r="AI18">
        <v>-1.2569456034921211</v>
      </c>
      <c r="AJ18">
        <v>-1.3932880648978871</v>
      </c>
      <c r="AK18">
        <v>-1.5288423937319946</v>
      </c>
      <c r="AL18">
        <v>-1.6417765006936613</v>
      </c>
      <c r="AM18">
        <v>-1.7275246701142364</v>
      </c>
      <c r="AN18">
        <v>-1.7916968568708778</v>
      </c>
      <c r="AO18">
        <v>-1.8357015288540386</v>
      </c>
      <c r="AP18">
        <v>-1.8739384225783668</v>
      </c>
      <c r="AQ18">
        <v>-1.9107484363213221</v>
      </c>
      <c r="AR18">
        <v>-1.9537149678725347</v>
      </c>
      <c r="AS18">
        <v>-2.0052019360930511</v>
      </c>
      <c r="AT18">
        <v>-2.064031589002973</v>
      </c>
      <c r="AU18">
        <v>-2.1289989215383183</v>
      </c>
      <c r="AV18">
        <v>-2.1951723523404127</v>
      </c>
      <c r="AW18">
        <v>-2.2595660730603484</v>
      </c>
      <c r="AX18">
        <v>-2.3186356113208029</v>
      </c>
      <c r="AY18">
        <v>-2.3706528943120073</v>
      </c>
      <c r="AZ18">
        <v>-2.4156137867772665</v>
      </c>
      <c r="BA18">
        <v>-2.454412296238186</v>
      </c>
      <c r="BB18">
        <v>-2.4894210768163112</v>
      </c>
    </row>
    <row r="19" spans="3:54" x14ac:dyDescent="0.2">
      <c r="C19" t="s">
        <v>21</v>
      </c>
      <c r="D19" t="s">
        <v>149</v>
      </c>
      <c r="E19" t="s">
        <v>141</v>
      </c>
      <c r="F19">
        <v>41.817082534068973</v>
      </c>
      <c r="G19">
        <v>-0.32545960673198332</v>
      </c>
      <c r="H19">
        <v>104.83561692413969</v>
      </c>
      <c r="I19">
        <v>51.123323607766089</v>
      </c>
      <c r="J19">
        <v>103.83479164913257</v>
      </c>
      <c r="K19">
        <v>111.9486010217113</v>
      </c>
      <c r="L19">
        <v>111.43085528533511</v>
      </c>
      <c r="M19">
        <v>140.4432979630341</v>
      </c>
      <c r="N19">
        <v>123.24353517792844</v>
      </c>
      <c r="O19">
        <v>143.36157161869883</v>
      </c>
      <c r="P19">
        <v>137.58587050647006</v>
      </c>
      <c r="Q19">
        <v>141.0945056685118</v>
      </c>
      <c r="R19">
        <v>145.2718222740796</v>
      </c>
      <c r="S19">
        <v>142.10040063191235</v>
      </c>
      <c r="T19">
        <v>150.03295838090446</v>
      </c>
      <c r="U19">
        <v>150.55368265395347</v>
      </c>
      <c r="V19">
        <v>157.61762392680234</v>
      </c>
      <c r="W19">
        <v>162.71515480287511</v>
      </c>
      <c r="X19">
        <v>167.26080378186748</v>
      </c>
      <c r="Y19">
        <v>172.86692794540022</v>
      </c>
      <c r="Z19">
        <v>175.20348901979938</v>
      </c>
      <c r="AA19">
        <v>178.61278550462151</v>
      </c>
      <c r="AB19">
        <v>180.16701052301647</v>
      </c>
      <c r="AC19">
        <v>182.04617540179865</v>
      </c>
      <c r="AD19">
        <v>184.11612743488871</v>
      </c>
      <c r="AE19">
        <v>186.04557874929699</v>
      </c>
      <c r="AF19">
        <v>188.79836974750833</v>
      </c>
      <c r="AG19">
        <v>191.32124783099781</v>
      </c>
      <c r="AH19">
        <v>194.21936156553929</v>
      </c>
      <c r="AI19">
        <v>196.95227148614379</v>
      </c>
      <c r="AJ19">
        <v>199.51021005706716</v>
      </c>
      <c r="AK19">
        <v>201.94584229327535</v>
      </c>
      <c r="AL19">
        <v>204.02187630687629</v>
      </c>
      <c r="AM19">
        <v>205.9765836752882</v>
      </c>
      <c r="AN19">
        <v>207.68711090712773</v>
      </c>
      <c r="AO19">
        <v>209.30649630766328</v>
      </c>
      <c r="AP19">
        <v>210.87829127512575</v>
      </c>
      <c r="AQ19">
        <v>212.42808403612392</v>
      </c>
      <c r="AR19">
        <v>214.03550993707975</v>
      </c>
      <c r="AS19">
        <v>215.65215481112196</v>
      </c>
      <c r="AT19">
        <v>217.29416427251829</v>
      </c>
      <c r="AU19">
        <v>218.90475374595417</v>
      </c>
      <c r="AV19">
        <v>220.45082241195252</v>
      </c>
      <c r="AW19">
        <v>221.91090215369883</v>
      </c>
      <c r="AX19">
        <v>223.26199157782656</v>
      </c>
      <c r="AY19">
        <v>224.5208976274381</v>
      </c>
      <c r="AZ19">
        <v>225.69654983065894</v>
      </c>
      <c r="BA19">
        <v>226.81651146911577</v>
      </c>
      <c r="BB19">
        <v>227.90117200793091</v>
      </c>
    </row>
    <row r="20" spans="3:54" x14ac:dyDescent="0.2">
      <c r="C20" t="s">
        <v>22</v>
      </c>
      <c r="D20" t="s">
        <v>160</v>
      </c>
      <c r="E20" t="s">
        <v>141</v>
      </c>
      <c r="F20">
        <v>-7.773418783265635</v>
      </c>
      <c r="G20">
        <v>84.553057463998172</v>
      </c>
      <c r="H20">
        <v>175.92094771843048</v>
      </c>
      <c r="I20">
        <v>91.89719250331288</v>
      </c>
      <c r="J20">
        <v>93.112629366783452</v>
      </c>
      <c r="K20">
        <v>101.42681263076683</v>
      </c>
      <c r="L20">
        <v>117.31879060007432</v>
      </c>
      <c r="M20">
        <v>125.33604593316664</v>
      </c>
      <c r="N20">
        <v>107.56846186576907</v>
      </c>
      <c r="O20">
        <v>118.90979998550436</v>
      </c>
      <c r="P20">
        <v>116.40217793558193</v>
      </c>
      <c r="Q20">
        <v>118.83352052223455</v>
      </c>
      <c r="R20">
        <v>117.25277101147556</v>
      </c>
      <c r="S20">
        <v>114.24780621906693</v>
      </c>
      <c r="T20">
        <v>119.35722868837209</v>
      </c>
      <c r="U20">
        <v>121.73883298036409</v>
      </c>
      <c r="V20">
        <v>128.52760383332924</v>
      </c>
      <c r="W20">
        <v>133.13126261650862</v>
      </c>
      <c r="X20">
        <v>137.25656011397018</v>
      </c>
      <c r="Y20">
        <v>140.82433310221364</v>
      </c>
      <c r="Z20">
        <v>141.88989888140338</v>
      </c>
      <c r="AA20">
        <v>143.08466998030872</v>
      </c>
      <c r="AB20">
        <v>143.09386874357443</v>
      </c>
      <c r="AC20">
        <v>143.76388806691764</v>
      </c>
      <c r="AD20">
        <v>144.86363989462222</v>
      </c>
      <c r="AE20">
        <v>146.31344514502095</v>
      </c>
      <c r="AF20">
        <v>148.40147065359255</v>
      </c>
      <c r="AG20">
        <v>150.4298354274602</v>
      </c>
      <c r="AH20">
        <v>152.67249989007291</v>
      </c>
      <c r="AI20">
        <v>154.69751282614936</v>
      </c>
      <c r="AJ20">
        <v>156.52260833618041</v>
      </c>
      <c r="AK20">
        <v>158.12645632861998</v>
      </c>
      <c r="AL20">
        <v>159.41422387554778</v>
      </c>
      <c r="AM20">
        <v>160.5440328284316</v>
      </c>
      <c r="AN20">
        <v>161.48128234536898</v>
      </c>
      <c r="AO20">
        <v>162.37601836170725</v>
      </c>
      <c r="AP20">
        <v>163.28626009378135</v>
      </c>
      <c r="AQ20">
        <v>164.26588244548765</v>
      </c>
      <c r="AR20">
        <v>165.35696251944168</v>
      </c>
      <c r="AS20">
        <v>166.5108138716663</v>
      </c>
      <c r="AT20">
        <v>167.70063668309416</v>
      </c>
      <c r="AU20">
        <v>168.85251716776082</v>
      </c>
      <c r="AV20">
        <v>169.92296230829746</v>
      </c>
      <c r="AW20">
        <v>170.88701753879855</v>
      </c>
      <c r="AX20">
        <v>171.7395094292828</v>
      </c>
      <c r="AY20">
        <v>172.50765861683311</v>
      </c>
      <c r="AZ20">
        <v>173.21762174994248</v>
      </c>
      <c r="BA20">
        <v>173.90374634404341</v>
      </c>
      <c r="BB20">
        <v>174.5874944957219</v>
      </c>
    </row>
    <row r="21" spans="3:54" x14ac:dyDescent="0.2">
      <c r="C21" t="s">
        <v>23</v>
      </c>
      <c r="D21" t="s">
        <v>161</v>
      </c>
      <c r="E21" t="s">
        <v>141</v>
      </c>
      <c r="F21">
        <v>31.079295804906096</v>
      </c>
      <c r="G21">
        <v>125.41490848715273</v>
      </c>
      <c r="H21">
        <v>172.41278063685721</v>
      </c>
      <c r="I21">
        <v>122.56748894877747</v>
      </c>
      <c r="J21">
        <v>144.81890219706003</v>
      </c>
      <c r="K21">
        <v>143.13567387254756</v>
      </c>
      <c r="L21">
        <v>163.41969476850119</v>
      </c>
      <c r="M21">
        <v>162.53754841311871</v>
      </c>
      <c r="N21">
        <v>156.3019900624198</v>
      </c>
      <c r="O21">
        <v>165.76492893141682</v>
      </c>
      <c r="P21">
        <v>163.78199504992284</v>
      </c>
      <c r="Q21">
        <v>168.71550917989214</v>
      </c>
      <c r="R21">
        <v>166.14106453988921</v>
      </c>
      <c r="S21">
        <v>165.93909685760798</v>
      </c>
      <c r="T21">
        <v>168.50084271961521</v>
      </c>
      <c r="U21">
        <v>169.68027118195982</v>
      </c>
      <c r="V21">
        <v>174.20045626342826</v>
      </c>
      <c r="W21">
        <v>176.598536825217</v>
      </c>
      <c r="X21">
        <v>180.08378854606036</v>
      </c>
      <c r="Y21">
        <v>182.63591962816622</v>
      </c>
      <c r="Z21">
        <v>184.18336637157969</v>
      </c>
      <c r="AA21">
        <v>185.69034785936333</v>
      </c>
      <c r="AB21">
        <v>186.23790358086455</v>
      </c>
      <c r="AC21">
        <v>187.28603540163775</v>
      </c>
      <c r="AD21">
        <v>188.20380136378529</v>
      </c>
      <c r="AE21">
        <v>189.40577892411454</v>
      </c>
      <c r="AF21">
        <v>190.83987421081804</v>
      </c>
      <c r="AG21">
        <v>192.24963718478392</v>
      </c>
      <c r="AH21">
        <v>193.84859553342375</v>
      </c>
      <c r="AI21">
        <v>195.30474490660393</v>
      </c>
      <c r="AJ21">
        <v>196.74389195874377</v>
      </c>
      <c r="AK21">
        <v>198.04551809058714</v>
      </c>
      <c r="AL21">
        <v>199.19604637822169</v>
      </c>
      <c r="AM21">
        <v>200.24209481817147</v>
      </c>
      <c r="AN21">
        <v>201.13885341456384</v>
      </c>
      <c r="AO21">
        <v>201.98432889882366</v>
      </c>
      <c r="AP21">
        <v>202.78395639739958</v>
      </c>
      <c r="AQ21">
        <v>203.59750055373516</v>
      </c>
      <c r="AR21">
        <v>204.44753410809756</v>
      </c>
      <c r="AS21">
        <v>205.32444228660026</v>
      </c>
      <c r="AT21">
        <v>206.22540561083406</v>
      </c>
      <c r="AU21">
        <v>207.10893407893195</v>
      </c>
      <c r="AV21">
        <v>207.95680303806941</v>
      </c>
      <c r="AW21">
        <v>208.74593577417551</v>
      </c>
      <c r="AX21">
        <v>209.47029431203458</v>
      </c>
      <c r="AY21">
        <v>210.1380293908401</v>
      </c>
      <c r="AZ21">
        <v>210.7589238020085</v>
      </c>
      <c r="BA21">
        <v>211.35151503511929</v>
      </c>
      <c r="BB21">
        <v>211.92692896573715</v>
      </c>
    </row>
    <row r="22" spans="3:54" x14ac:dyDescent="0.2">
      <c r="C22" t="s">
        <v>24</v>
      </c>
      <c r="D22" t="s">
        <v>180</v>
      </c>
      <c r="E22" t="s">
        <v>162</v>
      </c>
      <c r="F22">
        <v>27.3830012845618</v>
      </c>
      <c r="G22">
        <v>-18.050817763574859</v>
      </c>
      <c r="H22">
        <v>242.09066129909763</v>
      </c>
      <c r="I22">
        <v>105.57855698499358</v>
      </c>
      <c r="J22">
        <v>217.09529410126683</v>
      </c>
      <c r="K22">
        <v>296.68741184648934</v>
      </c>
      <c r="L22">
        <v>302.70607790675098</v>
      </c>
      <c r="M22">
        <v>407.69417149642987</v>
      </c>
      <c r="N22">
        <v>377.4088537015117</v>
      </c>
      <c r="O22">
        <v>446.77389598638666</v>
      </c>
      <c r="P22">
        <v>451.46332906462942</v>
      </c>
      <c r="Q22">
        <v>467.0060816613896</v>
      </c>
      <c r="R22">
        <v>491.62556143475314</v>
      </c>
      <c r="S22">
        <v>491.05823980804865</v>
      </c>
      <c r="T22">
        <v>523.58784833564778</v>
      </c>
      <c r="U22">
        <v>537.87253778176614</v>
      </c>
      <c r="V22">
        <v>568.88643327983254</v>
      </c>
      <c r="W22">
        <v>597.91608210114396</v>
      </c>
      <c r="X22">
        <v>623.85916524595427</v>
      </c>
      <c r="Y22">
        <v>653.74997065052025</v>
      </c>
      <c r="Z22">
        <v>673.53642338018074</v>
      </c>
      <c r="AA22">
        <v>694.90775269779556</v>
      </c>
      <c r="AB22">
        <v>710.50344914204072</v>
      </c>
      <c r="AC22">
        <v>725.35009571625437</v>
      </c>
      <c r="AD22">
        <v>740.40995749621629</v>
      </c>
      <c r="AE22">
        <v>754.3856361156146</v>
      </c>
      <c r="AF22">
        <v>770.5842050170437</v>
      </c>
      <c r="AG22">
        <v>786.28727942350474</v>
      </c>
      <c r="AH22">
        <v>803.03457731788603</v>
      </c>
      <c r="AI22">
        <v>819.52188534695199</v>
      </c>
      <c r="AJ22">
        <v>835.33318887609619</v>
      </c>
      <c r="AK22">
        <v>850.61001440200141</v>
      </c>
      <c r="AL22">
        <v>864.48407005429851</v>
      </c>
      <c r="AM22">
        <v>877.53592758931893</v>
      </c>
      <c r="AN22">
        <v>889.45809554648963</v>
      </c>
      <c r="AO22">
        <v>900.6597047897659</v>
      </c>
      <c r="AP22">
        <v>911.39851159410046</v>
      </c>
      <c r="AQ22">
        <v>921.80173748721484</v>
      </c>
      <c r="AR22">
        <v>932.18790390114862</v>
      </c>
      <c r="AS22">
        <v>942.47806808870951</v>
      </c>
      <c r="AT22">
        <v>952.72905029135825</v>
      </c>
      <c r="AU22">
        <v>962.79016915032821</v>
      </c>
      <c r="AV22">
        <v>972.52913499116016</v>
      </c>
      <c r="AW22">
        <v>981.85818006176373</v>
      </c>
      <c r="AX22">
        <v>990.67693647674207</v>
      </c>
      <c r="AY22">
        <v>999.01168316994153</v>
      </c>
      <c r="AZ22">
        <v>1006.8864757299178</v>
      </c>
      <c r="BA22">
        <v>1014.3876262078288</v>
      </c>
      <c r="BB22">
        <v>1021.5990060535019</v>
      </c>
    </row>
    <row r="23" spans="3:54" x14ac:dyDescent="0.2">
      <c r="C23" t="s">
        <v>25</v>
      </c>
      <c r="D23" t="s">
        <v>181</v>
      </c>
      <c r="E23" t="s">
        <v>162</v>
      </c>
      <c r="F23">
        <v>-18.195685705965531</v>
      </c>
      <c r="G23">
        <v>-55.341177192554248</v>
      </c>
      <c r="H23">
        <v>45.897797347323511</v>
      </c>
      <c r="I23">
        <v>13.916925456163739</v>
      </c>
      <c r="J23">
        <v>44.494242305829133</v>
      </c>
      <c r="K23">
        <v>61.026830867172706</v>
      </c>
      <c r="L23">
        <v>52.672348519689102</v>
      </c>
      <c r="M23">
        <v>91.757228556182312</v>
      </c>
      <c r="N23">
        <v>77.96666294717464</v>
      </c>
      <c r="O23">
        <v>97.579522331951637</v>
      </c>
      <c r="P23">
        <v>95.587338370877873</v>
      </c>
      <c r="Q23">
        <v>98.461937231298521</v>
      </c>
      <c r="R23">
        <v>106.73312276656549</v>
      </c>
      <c r="S23">
        <v>104.53468598995867</v>
      </c>
      <c r="T23">
        <v>114.41363321865899</v>
      </c>
      <c r="U23">
        <v>117.69699233275361</v>
      </c>
      <c r="V23">
        <v>126.91257948867384</v>
      </c>
      <c r="W23">
        <v>135.6350736338986</v>
      </c>
      <c r="X23">
        <v>142.80168415409688</v>
      </c>
      <c r="Y23">
        <v>151.60405616976399</v>
      </c>
      <c r="Z23">
        <v>156.79045660465749</v>
      </c>
      <c r="AA23">
        <v>162.74467645514127</v>
      </c>
      <c r="AB23">
        <v>166.81271615616967</v>
      </c>
      <c r="AC23">
        <v>170.66174466138364</v>
      </c>
      <c r="AD23">
        <v>174.76496576918493</v>
      </c>
      <c r="AE23">
        <v>178.51143565881301</v>
      </c>
      <c r="AF23">
        <v>183.12945299538208</v>
      </c>
      <c r="AG23">
        <v>187.57702515144592</v>
      </c>
      <c r="AH23">
        <v>192.389101583208</v>
      </c>
      <c r="AI23">
        <v>197.12656585485604</v>
      </c>
      <c r="AJ23">
        <v>201.61914037974532</v>
      </c>
      <c r="AK23">
        <v>205.95944326310504</v>
      </c>
      <c r="AL23">
        <v>209.83264537371392</v>
      </c>
      <c r="AM23">
        <v>213.4669359094251</v>
      </c>
      <c r="AN23">
        <v>216.75911063276121</v>
      </c>
      <c r="AO23">
        <v>219.8482696696243</v>
      </c>
      <c r="AP23">
        <v>222.82623547555576</v>
      </c>
      <c r="AQ23">
        <v>225.72140409536954</v>
      </c>
      <c r="AR23">
        <v>228.64150524308207</v>
      </c>
      <c r="AS23">
        <v>231.54833960412253</v>
      </c>
      <c r="AT23">
        <v>234.45748003295327</v>
      </c>
      <c r="AU23">
        <v>237.31551390625276</v>
      </c>
      <c r="AV23">
        <v>240.07560927245714</v>
      </c>
      <c r="AW23">
        <v>242.71158429432282</v>
      </c>
      <c r="AX23">
        <v>245.19033300189534</v>
      </c>
      <c r="AY23">
        <v>247.52428063303356</v>
      </c>
      <c r="AZ23">
        <v>249.72295086081076</v>
      </c>
      <c r="BA23">
        <v>251.81600276433272</v>
      </c>
      <c r="BB23">
        <v>253.83150644841706</v>
      </c>
    </row>
    <row r="24" spans="3:54" x14ac:dyDescent="0.2">
      <c r="C24" t="s">
        <v>26</v>
      </c>
      <c r="D24" t="s">
        <v>182</v>
      </c>
      <c r="E24" t="s">
        <v>162</v>
      </c>
      <c r="F24">
        <v>23.785248802357863</v>
      </c>
      <c r="G24">
        <v>-0.11181165470699851</v>
      </c>
      <c r="H24">
        <v>14.216796866299324</v>
      </c>
      <c r="I24">
        <v>8.5216174371878868</v>
      </c>
      <c r="J24">
        <v>12.708832051558954</v>
      </c>
      <c r="K24">
        <v>24.269942136988856</v>
      </c>
      <c r="L24">
        <v>21.631289952610729</v>
      </c>
      <c r="M24">
        <v>29.169867689992287</v>
      </c>
      <c r="N24">
        <v>27.447041372566186</v>
      </c>
      <c r="O24">
        <v>30.556251923695452</v>
      </c>
      <c r="P24">
        <v>32.085255631150233</v>
      </c>
      <c r="Q24">
        <v>31.756476893598794</v>
      </c>
      <c r="R24">
        <v>34.397231019445499</v>
      </c>
      <c r="S24">
        <v>34.784870742379979</v>
      </c>
      <c r="T24">
        <v>37.666492402148663</v>
      </c>
      <c r="U24">
        <v>39.737728701969075</v>
      </c>
      <c r="V24">
        <v>42.200956225137354</v>
      </c>
      <c r="W24">
        <v>45.030227215448512</v>
      </c>
      <c r="X24">
        <v>47.065139999246789</v>
      </c>
      <c r="Y24">
        <v>49.422431526252822</v>
      </c>
      <c r="Z24">
        <v>50.959790469521309</v>
      </c>
      <c r="AA24">
        <v>52.448728101683805</v>
      </c>
      <c r="AB24">
        <v>53.70692848838361</v>
      </c>
      <c r="AC24">
        <v>54.82562002321869</v>
      </c>
      <c r="AD24">
        <v>56.130623689384691</v>
      </c>
      <c r="AE24">
        <v>57.387200450398041</v>
      </c>
      <c r="AF24">
        <v>58.849295459103729</v>
      </c>
      <c r="AG24">
        <v>60.319052206420643</v>
      </c>
      <c r="AH24">
        <v>61.806439802584684</v>
      </c>
      <c r="AI24">
        <v>63.26359851035847</v>
      </c>
      <c r="AJ24">
        <v>64.596541374543165</v>
      </c>
      <c r="AK24">
        <v>65.851449545216539</v>
      </c>
      <c r="AL24">
        <v>66.972369212424084</v>
      </c>
      <c r="AM24">
        <v>68.012566680870279</v>
      </c>
      <c r="AN24">
        <v>68.982504109584639</v>
      </c>
      <c r="AO24">
        <v>69.907091095272534</v>
      </c>
      <c r="AP24">
        <v>70.821431939026269</v>
      </c>
      <c r="AQ24">
        <v>71.725067578621108</v>
      </c>
      <c r="AR24">
        <v>72.635664254965647</v>
      </c>
      <c r="AS24">
        <v>73.540516519911492</v>
      </c>
      <c r="AT24">
        <v>74.43222496265841</v>
      </c>
      <c r="AU24">
        <v>75.298177189247198</v>
      </c>
      <c r="AV24">
        <v>76.123885719556355</v>
      </c>
      <c r="AW24">
        <v>76.905650572018445</v>
      </c>
      <c r="AX24">
        <v>77.639242689303103</v>
      </c>
      <c r="AY24">
        <v>78.330686734285024</v>
      </c>
      <c r="AZ24">
        <v>78.986957830039515</v>
      </c>
      <c r="BA24">
        <v>79.616736866708138</v>
      </c>
      <c r="BB24">
        <v>80.228311589170289</v>
      </c>
    </row>
    <row r="25" spans="3:54" x14ac:dyDescent="0.2">
      <c r="C25" t="s">
        <v>27</v>
      </c>
      <c r="D25" t="s">
        <v>183</v>
      </c>
      <c r="E25" t="s">
        <v>162</v>
      </c>
      <c r="F25">
        <v>-45.000912486619242</v>
      </c>
      <c r="G25">
        <v>-57.271183407656203</v>
      </c>
      <c r="H25">
        <v>58.476291688900034</v>
      </c>
      <c r="I25">
        <v>51.511057380198011</v>
      </c>
      <c r="J25">
        <v>89.934558687179958</v>
      </c>
      <c r="K25">
        <v>49.218133339051363</v>
      </c>
      <c r="L25">
        <v>37.333872456811974</v>
      </c>
      <c r="M25">
        <v>62.664330262874543</v>
      </c>
      <c r="N25">
        <v>43.917264264795655</v>
      </c>
      <c r="O25">
        <v>60.972760038466106</v>
      </c>
      <c r="P25">
        <v>49.55967546381433</v>
      </c>
      <c r="Q25">
        <v>59.29790456189064</v>
      </c>
      <c r="R25">
        <v>64.229718244341683</v>
      </c>
      <c r="S25">
        <v>61.616544881699042</v>
      </c>
      <c r="T25">
        <v>65.750677415191021</v>
      </c>
      <c r="U25">
        <v>60.391255732634207</v>
      </c>
      <c r="V25">
        <v>62.211268783046528</v>
      </c>
      <c r="W25">
        <v>60.479257069240809</v>
      </c>
      <c r="X25">
        <v>60.039428864366556</v>
      </c>
      <c r="Y25">
        <v>61.270767563124743</v>
      </c>
      <c r="Z25">
        <v>61.092778012469417</v>
      </c>
      <c r="AA25">
        <v>63.379018686602912</v>
      </c>
      <c r="AB25">
        <v>64.154493247620124</v>
      </c>
      <c r="AC25">
        <v>65.653357613232259</v>
      </c>
      <c r="AD25">
        <v>66.724260587992916</v>
      </c>
      <c r="AE25">
        <v>67.278099501880618</v>
      </c>
      <c r="AF25">
        <v>68.027192866499675</v>
      </c>
      <c r="AG25">
        <v>68.0739314217128</v>
      </c>
      <c r="AH25">
        <v>68.350904130588503</v>
      </c>
      <c r="AI25">
        <v>68.422673141764733</v>
      </c>
      <c r="AJ25">
        <v>68.622859752984596</v>
      </c>
      <c r="AK25">
        <v>69.019171245860733</v>
      </c>
      <c r="AL25">
        <v>69.450675772520924</v>
      </c>
      <c r="AM25">
        <v>70.098527458015369</v>
      </c>
      <c r="AN25">
        <v>70.711314174365384</v>
      </c>
      <c r="AO25">
        <v>71.346419876048643</v>
      </c>
      <c r="AP25">
        <v>71.896914905163712</v>
      </c>
      <c r="AQ25">
        <v>72.33218276986041</v>
      </c>
      <c r="AR25">
        <v>72.693664972200665</v>
      </c>
      <c r="AS25">
        <v>72.956560225399414</v>
      </c>
      <c r="AT25">
        <v>73.198972226107585</v>
      </c>
      <c r="AU25">
        <v>73.426290427331466</v>
      </c>
      <c r="AV25">
        <v>73.675006072472684</v>
      </c>
      <c r="AW25">
        <v>73.957778603834683</v>
      </c>
      <c r="AX25">
        <v>74.264384786129966</v>
      </c>
      <c r="AY25">
        <v>74.595446296801512</v>
      </c>
      <c r="AZ25">
        <v>74.925792992954158</v>
      </c>
      <c r="BA25">
        <v>75.246577954502243</v>
      </c>
      <c r="BB25">
        <v>75.543431252483316</v>
      </c>
    </row>
    <row r="26" spans="3:54" x14ac:dyDescent="0.2">
      <c r="C26" t="s">
        <v>28</v>
      </c>
      <c r="D26" t="s">
        <v>184</v>
      </c>
      <c r="E26" t="s">
        <v>162</v>
      </c>
      <c r="F26">
        <v>-121.16848519699698</v>
      </c>
      <c r="G26">
        <v>13.114797872689714</v>
      </c>
      <c r="H26">
        <v>160.33068624883998</v>
      </c>
      <c r="I26">
        <v>125.85407062482059</v>
      </c>
      <c r="J26">
        <v>133.06572249489543</v>
      </c>
      <c r="K26">
        <v>92.71808341011041</v>
      </c>
      <c r="L26">
        <v>114.35268699598191</v>
      </c>
      <c r="M26">
        <v>128.71863653880581</v>
      </c>
      <c r="N26">
        <v>123.21631081451486</v>
      </c>
      <c r="O26">
        <v>136.65679601876067</v>
      </c>
      <c r="P26">
        <v>133.80525272125627</v>
      </c>
      <c r="Q26">
        <v>144.70656436891221</v>
      </c>
      <c r="R26">
        <v>142.29893091032545</v>
      </c>
      <c r="S26">
        <v>136.51970233953628</v>
      </c>
      <c r="T26">
        <v>132.32936608797263</v>
      </c>
      <c r="U26">
        <v>125.07008782400614</v>
      </c>
      <c r="V26">
        <v>124.34141040020367</v>
      </c>
      <c r="W26">
        <v>122.00332938718365</v>
      </c>
      <c r="X26">
        <v>122.84814203535633</v>
      </c>
      <c r="Y26">
        <v>124.35972006155694</v>
      </c>
      <c r="Z26">
        <v>125.51016844119481</v>
      </c>
      <c r="AA26">
        <v>127.27937105470356</v>
      </c>
      <c r="AB26">
        <v>127.24423459665469</v>
      </c>
      <c r="AC26">
        <v>127.21619118161809</v>
      </c>
      <c r="AD26">
        <v>126.22774592590673</v>
      </c>
      <c r="AE26">
        <v>124.93864930921436</v>
      </c>
      <c r="AF26">
        <v>123.62475594874076</v>
      </c>
      <c r="AG26">
        <v>122.11107441814286</v>
      </c>
      <c r="AH26">
        <v>121.06853667878036</v>
      </c>
      <c r="AI26">
        <v>120.21345073470329</v>
      </c>
      <c r="AJ26">
        <v>119.83079741636816</v>
      </c>
      <c r="AK26">
        <v>119.74845889435335</v>
      </c>
      <c r="AL26">
        <v>119.81221384484927</v>
      </c>
      <c r="AM26">
        <v>119.95072949804019</v>
      </c>
      <c r="AN26">
        <v>119.91337453803121</v>
      </c>
      <c r="AO26">
        <v>119.70931658248233</v>
      </c>
      <c r="AP26">
        <v>119.27131043135377</v>
      </c>
      <c r="AQ26">
        <v>118.67958195943078</v>
      </c>
      <c r="AR26">
        <v>118.03207483038393</v>
      </c>
      <c r="AS26">
        <v>117.40243384626177</v>
      </c>
      <c r="AT26">
        <v>116.88417554055084</v>
      </c>
      <c r="AU26">
        <v>116.48604982844036</v>
      </c>
      <c r="AV26">
        <v>116.21375396132299</v>
      </c>
      <c r="AW26">
        <v>116.02812169302997</v>
      </c>
      <c r="AX26">
        <v>115.88282956537084</v>
      </c>
      <c r="AY26">
        <v>115.74043193110414</v>
      </c>
      <c r="AZ26">
        <v>115.56524407159606</v>
      </c>
      <c r="BA26">
        <v>115.34815365073057</v>
      </c>
      <c r="BB26">
        <v>115.08747812490959</v>
      </c>
    </row>
    <row r="27" spans="3:54" x14ac:dyDescent="0.2">
      <c r="C27" t="s">
        <v>29</v>
      </c>
      <c r="D27" t="s">
        <v>194</v>
      </c>
      <c r="E27" t="s">
        <v>162</v>
      </c>
      <c r="F27">
        <v>19.079979157966637</v>
      </c>
      <c r="G27">
        <v>-5.1715276612248484</v>
      </c>
      <c r="H27">
        <v>10.550534093271857</v>
      </c>
      <c r="I27">
        <v>16.377516597654882</v>
      </c>
      <c r="J27">
        <v>16.659835510849966</v>
      </c>
      <c r="K27">
        <v>28.586574766762922</v>
      </c>
      <c r="L27">
        <v>20.563153683877943</v>
      </c>
      <c r="M27">
        <v>29.874704692356321</v>
      </c>
      <c r="N27">
        <v>27.362929571778249</v>
      </c>
      <c r="O27">
        <v>29.324252305183919</v>
      </c>
      <c r="P27">
        <v>30.733562612116422</v>
      </c>
      <c r="Q27">
        <v>29.197011105445345</v>
      </c>
      <c r="R27">
        <v>32.067389798294329</v>
      </c>
      <c r="S27">
        <v>31.395729821114553</v>
      </c>
      <c r="T27">
        <v>33.506200316397425</v>
      </c>
      <c r="U27">
        <v>34.774366617005136</v>
      </c>
      <c r="V27">
        <v>36.284345293705258</v>
      </c>
      <c r="W27">
        <v>38.573096429481936</v>
      </c>
      <c r="X27">
        <v>39.771304968979962</v>
      </c>
      <c r="Y27">
        <v>41.566329822122789</v>
      </c>
      <c r="Z27">
        <v>42.496318056488704</v>
      </c>
      <c r="AA27">
        <v>43.448749132058339</v>
      </c>
      <c r="AB27">
        <v>44.266922462309701</v>
      </c>
      <c r="AC27">
        <v>44.884602034206736</v>
      </c>
      <c r="AD27">
        <v>45.767612642012253</v>
      </c>
      <c r="AE27">
        <v>46.542262188738796</v>
      </c>
      <c r="AF27">
        <v>47.531791781583678</v>
      </c>
      <c r="AG27">
        <v>48.51402244514852</v>
      </c>
      <c r="AH27">
        <v>49.50008645280991</v>
      </c>
      <c r="AI27">
        <v>50.490272190988897</v>
      </c>
      <c r="AJ27">
        <v>51.368465098590718</v>
      </c>
      <c r="AK27">
        <v>52.215557855826738</v>
      </c>
      <c r="AL27">
        <v>52.956555720415125</v>
      </c>
      <c r="AM27">
        <v>53.643813246164349</v>
      </c>
      <c r="AN27">
        <v>54.281691366941651</v>
      </c>
      <c r="AO27">
        <v>54.879873851056921</v>
      </c>
      <c r="AP27">
        <v>55.476353818188777</v>
      </c>
      <c r="AQ27">
        <v>56.062238075295014</v>
      </c>
      <c r="AR27">
        <v>56.65999741996319</v>
      </c>
      <c r="AS27">
        <v>57.258020749236394</v>
      </c>
      <c r="AT27">
        <v>57.851025194177872</v>
      </c>
      <c r="AU27">
        <v>58.430440021215105</v>
      </c>
      <c r="AV27">
        <v>58.981517058559284</v>
      </c>
      <c r="AW27">
        <v>59.502703510598799</v>
      </c>
      <c r="AX27">
        <v>59.988582494185458</v>
      </c>
      <c r="AY27">
        <v>60.444346567848847</v>
      </c>
      <c r="AZ27">
        <v>60.875450551965699</v>
      </c>
      <c r="BA27">
        <v>61.28832450115231</v>
      </c>
      <c r="BB27">
        <v>61.690008840349741</v>
      </c>
    </row>
    <row r="28" spans="3:54" x14ac:dyDescent="0.2">
      <c r="C28" t="s">
        <v>30</v>
      </c>
      <c r="D28" t="s">
        <v>195</v>
      </c>
      <c r="E28" t="s">
        <v>162</v>
      </c>
      <c r="F28">
        <v>-103.69914670686022</v>
      </c>
      <c r="G28">
        <v>81.129733912958997</v>
      </c>
      <c r="H28">
        <v>63.435475040914532</v>
      </c>
      <c r="I28">
        <v>90.624887375015433</v>
      </c>
      <c r="J28">
        <v>57.472541505533279</v>
      </c>
      <c r="K28">
        <v>108.55447171900927</v>
      </c>
      <c r="L28">
        <v>95.905967805870475</v>
      </c>
      <c r="M28">
        <v>119.47680050224766</v>
      </c>
      <c r="N28">
        <v>106.68719272974344</v>
      </c>
      <c r="O28">
        <v>114.26469193917224</v>
      </c>
      <c r="P28">
        <v>126.81805288880031</v>
      </c>
      <c r="Q28">
        <v>133.80338486955947</v>
      </c>
      <c r="R28">
        <v>151.62329628388261</v>
      </c>
      <c r="S28">
        <v>163.02188338514759</v>
      </c>
      <c r="T28">
        <v>184.05873946231034</v>
      </c>
      <c r="U28">
        <v>204.9599991541028</v>
      </c>
      <c r="V28">
        <v>226.10850044435571</v>
      </c>
      <c r="W28">
        <v>247.79377630494827</v>
      </c>
      <c r="X28">
        <v>264.76563987767258</v>
      </c>
      <c r="Y28">
        <v>281.10090364529151</v>
      </c>
      <c r="Z28">
        <v>293.55136628509939</v>
      </c>
      <c r="AA28">
        <v>304.96447232538009</v>
      </c>
      <c r="AB28">
        <v>315.94882804083778</v>
      </c>
      <c r="AC28">
        <v>327.00951796832152</v>
      </c>
      <c r="AD28">
        <v>339.55937288615462</v>
      </c>
      <c r="AE28">
        <v>352.48564166817664</v>
      </c>
      <c r="AF28">
        <v>366.15657101132439</v>
      </c>
      <c r="AG28">
        <v>379.59957945425504</v>
      </c>
      <c r="AH28">
        <v>392.48164662621429</v>
      </c>
      <c r="AI28">
        <v>404.62332327061449</v>
      </c>
      <c r="AJ28">
        <v>415.70267739099751</v>
      </c>
      <c r="AK28">
        <v>426.01146908477165</v>
      </c>
      <c r="AL28">
        <v>435.52443413875181</v>
      </c>
      <c r="AM28">
        <v>444.53489846229797</v>
      </c>
      <c r="AN28">
        <v>453.20355425940147</v>
      </c>
      <c r="AO28">
        <v>461.65968481205618</v>
      </c>
      <c r="AP28">
        <v>470.05824910643702</v>
      </c>
      <c r="AQ28">
        <v>478.38606671380774</v>
      </c>
      <c r="AR28">
        <v>486.65953353656062</v>
      </c>
      <c r="AS28">
        <v>494.78026941551212</v>
      </c>
      <c r="AT28">
        <v>502.65399591515325</v>
      </c>
      <c r="AU28">
        <v>510.19374403122379</v>
      </c>
      <c r="AV28">
        <v>517.32859530234066</v>
      </c>
      <c r="AW28">
        <v>524.05952575470701</v>
      </c>
      <c r="AX28">
        <v>530.4120966240481</v>
      </c>
      <c r="AY28">
        <v>536.45715124494257</v>
      </c>
      <c r="AZ28">
        <v>542.26812509282377</v>
      </c>
      <c r="BA28">
        <v>547.90694544956966</v>
      </c>
      <c r="BB28">
        <v>553.41543010605915</v>
      </c>
    </row>
    <row r="29" spans="3:54" x14ac:dyDescent="0.2">
      <c r="C29" t="s">
        <v>31</v>
      </c>
      <c r="D29" t="s">
        <v>196</v>
      </c>
      <c r="E29" t="s">
        <v>162</v>
      </c>
      <c r="F29">
        <v>-11.182028614536494</v>
      </c>
      <c r="G29">
        <v>0.19498881914153585</v>
      </c>
      <c r="H29">
        <v>27.335167201664266</v>
      </c>
      <c r="I29">
        <v>35.418246372402898</v>
      </c>
      <c r="J29">
        <v>36.34753534742439</v>
      </c>
      <c r="K29">
        <v>36.455366974147076</v>
      </c>
      <c r="L29">
        <v>36.556087613827913</v>
      </c>
      <c r="M29">
        <v>42.872551325294538</v>
      </c>
      <c r="N29">
        <v>40.734287417861253</v>
      </c>
      <c r="O29">
        <v>43.802363857581675</v>
      </c>
      <c r="P29">
        <v>45.21176460211408</v>
      </c>
      <c r="Q29">
        <v>48.619943459940473</v>
      </c>
      <c r="R29">
        <v>51.775762098723575</v>
      </c>
      <c r="S29">
        <v>52.893050228518241</v>
      </c>
      <c r="T29">
        <v>54.904789263792821</v>
      </c>
      <c r="U29">
        <v>55.794127441154174</v>
      </c>
      <c r="V29">
        <v>57.456048281219161</v>
      </c>
      <c r="W29">
        <v>58.946795066199336</v>
      </c>
      <c r="X29">
        <v>60.442944287091876</v>
      </c>
      <c r="Y29">
        <v>62.306773258079851</v>
      </c>
      <c r="Z29">
        <v>63.911991850308773</v>
      </c>
      <c r="AA29">
        <v>65.740775425445747</v>
      </c>
      <c r="AB29">
        <v>67.336236127110112</v>
      </c>
      <c r="AC29">
        <v>68.903115869061594</v>
      </c>
      <c r="AD29">
        <v>70.412841071577944</v>
      </c>
      <c r="AE29">
        <v>71.778992719233202</v>
      </c>
      <c r="AF29">
        <v>73.125886780959405</v>
      </c>
      <c r="AG29">
        <v>74.330377340585912</v>
      </c>
      <c r="AH29">
        <v>75.505887512971825</v>
      </c>
      <c r="AI29">
        <v>76.632478709151229</v>
      </c>
      <c r="AJ29">
        <v>77.740975624818148</v>
      </c>
      <c r="AK29">
        <v>78.863480492303566</v>
      </c>
      <c r="AL29">
        <v>79.969575352904357</v>
      </c>
      <c r="AM29">
        <v>81.076618001634372</v>
      </c>
      <c r="AN29">
        <v>82.1454015928595</v>
      </c>
      <c r="AO29">
        <v>83.169725993380268</v>
      </c>
      <c r="AP29">
        <v>84.138535126996615</v>
      </c>
      <c r="AQ29">
        <v>85.047145670523975</v>
      </c>
      <c r="AR29">
        <v>85.90960632327419</v>
      </c>
      <c r="AS29">
        <v>86.729744733563265</v>
      </c>
      <c r="AT29">
        <v>87.522419594743624</v>
      </c>
      <c r="AU29">
        <v>88.292445402347312</v>
      </c>
      <c r="AV29">
        <v>89.043708292333321</v>
      </c>
      <c r="AW29">
        <v>89.777691332631719</v>
      </c>
      <c r="AX29">
        <v>90.491284684800377</v>
      </c>
      <c r="AY29">
        <v>91.183710621061323</v>
      </c>
      <c r="AZ29">
        <v>91.851660829402988</v>
      </c>
      <c r="BA29">
        <v>92.494030661648935</v>
      </c>
      <c r="BB29">
        <v>93.109955472428638</v>
      </c>
    </row>
    <row r="30" spans="3:54" x14ac:dyDescent="0.2">
      <c r="C30" t="s">
        <v>32</v>
      </c>
      <c r="D30" t="s">
        <v>197</v>
      </c>
      <c r="E30" t="s">
        <v>162</v>
      </c>
      <c r="F30">
        <v>7.5556979594643527</v>
      </c>
      <c r="G30">
        <v>11.125933566086097</v>
      </c>
      <c r="H30">
        <v>3.1483597535978194</v>
      </c>
      <c r="I30">
        <v>6.2219639551215487</v>
      </c>
      <c r="J30">
        <v>4.6673553617524917</v>
      </c>
      <c r="K30">
        <v>13.504028807018598</v>
      </c>
      <c r="L30">
        <v>13.632666942421457</v>
      </c>
      <c r="M30">
        <v>17.530036739613362</v>
      </c>
      <c r="N30">
        <v>17.935851651560302</v>
      </c>
      <c r="O30">
        <v>18.829875917826769</v>
      </c>
      <c r="P30">
        <v>19.653854854541464</v>
      </c>
      <c r="Q30">
        <v>19.333291960195794</v>
      </c>
      <c r="R30">
        <v>20.74838017189062</v>
      </c>
      <c r="S30">
        <v>21.679101712785346</v>
      </c>
      <c r="T30">
        <v>23.400503406018661</v>
      </c>
      <c r="U30">
        <v>24.982390230173817</v>
      </c>
      <c r="V30">
        <v>26.382093424958921</v>
      </c>
      <c r="W30">
        <v>28.01773930289124</v>
      </c>
      <c r="X30">
        <v>29.321492574988341</v>
      </c>
      <c r="Y30">
        <v>30.8032774095741</v>
      </c>
      <c r="Z30">
        <v>32.094443362893394</v>
      </c>
      <c r="AA30">
        <v>33.352038304586792</v>
      </c>
      <c r="AB30">
        <v>34.570655068357034</v>
      </c>
      <c r="AC30">
        <v>35.661047719195921</v>
      </c>
      <c r="AD30">
        <v>36.769144751353394</v>
      </c>
      <c r="AE30">
        <v>37.798428663260985</v>
      </c>
      <c r="AF30">
        <v>38.848292851145246</v>
      </c>
      <c r="AG30">
        <v>39.888600141162009</v>
      </c>
      <c r="AH30">
        <v>40.913358689665458</v>
      </c>
      <c r="AI30">
        <v>41.931175195604773</v>
      </c>
      <c r="AJ30">
        <v>42.898796641149829</v>
      </c>
      <c r="AK30">
        <v>43.834473204797781</v>
      </c>
      <c r="AL30">
        <v>44.71710225359368</v>
      </c>
      <c r="AM30">
        <v>45.557260539052251</v>
      </c>
      <c r="AN30">
        <v>46.360410168648357</v>
      </c>
      <c r="AO30">
        <v>47.127657469916329</v>
      </c>
      <c r="AP30">
        <v>47.871195814124818</v>
      </c>
      <c r="AQ30">
        <v>48.588701641055167</v>
      </c>
      <c r="AR30">
        <v>49.286726681350707</v>
      </c>
      <c r="AS30">
        <v>49.964656616942833</v>
      </c>
      <c r="AT30">
        <v>50.62268996762392</v>
      </c>
      <c r="AU30">
        <v>51.261380579901832</v>
      </c>
      <c r="AV30">
        <v>51.87792745617709</v>
      </c>
      <c r="AW30">
        <v>52.472348529327348</v>
      </c>
      <c r="AX30">
        <v>53.042709832796497</v>
      </c>
      <c r="AY30">
        <v>53.589279793157345</v>
      </c>
      <c r="AZ30">
        <v>54.112961799580972</v>
      </c>
      <c r="BA30">
        <v>54.615248225840993</v>
      </c>
      <c r="BB30">
        <v>55.098711682808798</v>
      </c>
    </row>
    <row r="31" spans="3:54" x14ac:dyDescent="0.2">
      <c r="C31" t="s">
        <v>33</v>
      </c>
      <c r="D31" t="s">
        <v>173</v>
      </c>
      <c r="E31" t="s">
        <v>162</v>
      </c>
      <c r="F31">
        <v>-105.47101636578724</v>
      </c>
      <c r="G31">
        <v>-86.342667837587314</v>
      </c>
      <c r="H31">
        <v>-34.30143490142887</v>
      </c>
      <c r="I31">
        <v>-19.24830334512497</v>
      </c>
      <c r="J31">
        <v>27.818675829506624</v>
      </c>
      <c r="K31">
        <v>-8.4052588687076213</v>
      </c>
      <c r="L31">
        <v>14.944260593355478</v>
      </c>
      <c r="M31">
        <v>22.658353573619753</v>
      </c>
      <c r="N31">
        <v>18.29788942288009</v>
      </c>
      <c r="O31">
        <v>24.307746029380809</v>
      </c>
      <c r="P31">
        <v>14.305687705454696</v>
      </c>
      <c r="Q31">
        <v>24.386544664934082</v>
      </c>
      <c r="R31">
        <v>25.003966518682905</v>
      </c>
      <c r="S31">
        <v>29.681285744385061</v>
      </c>
      <c r="T31">
        <v>35.943463419250087</v>
      </c>
      <c r="U31">
        <v>39.96045004671992</v>
      </c>
      <c r="V31">
        <v>48.990156105103075</v>
      </c>
      <c r="W31">
        <v>53.924289807993873</v>
      </c>
      <c r="X31">
        <v>60.114217519544333</v>
      </c>
      <c r="Y31">
        <v>64.097846136509233</v>
      </c>
      <c r="Z31">
        <v>66.751207841375916</v>
      </c>
      <c r="AA31">
        <v>69.418278752927804</v>
      </c>
      <c r="AB31">
        <v>70.751676374994133</v>
      </c>
      <c r="AC31">
        <v>73.088819518822532</v>
      </c>
      <c r="AD31">
        <v>75.397813107671652</v>
      </c>
      <c r="AE31">
        <v>78.489069701988186</v>
      </c>
      <c r="AF31">
        <v>82.040515518777795</v>
      </c>
      <c r="AG31">
        <v>85.545527392148344</v>
      </c>
      <c r="AH31">
        <v>89.165225065266966</v>
      </c>
      <c r="AI31">
        <v>92.300775432265624</v>
      </c>
      <c r="AJ31">
        <v>95.181804614303189</v>
      </c>
      <c r="AK31">
        <v>97.647834405742927</v>
      </c>
      <c r="AL31">
        <v>99.803050156073482</v>
      </c>
      <c r="AM31">
        <v>101.80310805369287</v>
      </c>
      <c r="AN31">
        <v>103.65235419217427</v>
      </c>
      <c r="AO31">
        <v>105.52765959853396</v>
      </c>
      <c r="AP31">
        <v>107.4107764059997</v>
      </c>
      <c r="AQ31">
        <v>109.36026878279893</v>
      </c>
      <c r="AR31">
        <v>111.35880341946137</v>
      </c>
      <c r="AS31">
        <v>113.35820722079124</v>
      </c>
      <c r="AT31">
        <v>115.33122955909036</v>
      </c>
      <c r="AU31">
        <v>117.20695498447162</v>
      </c>
      <c r="AV31">
        <v>118.96590650477293</v>
      </c>
      <c r="AW31">
        <v>120.58572144443379</v>
      </c>
      <c r="AX31">
        <v>122.07697825023355</v>
      </c>
      <c r="AY31">
        <v>123.46914310913404</v>
      </c>
      <c r="AZ31">
        <v>124.7913564695624</v>
      </c>
      <c r="BA31">
        <v>126.08023044208223</v>
      </c>
      <c r="BB31">
        <v>127.3534477313066</v>
      </c>
    </row>
    <row r="32" spans="3:54" x14ac:dyDescent="0.2">
      <c r="C32" t="s">
        <v>34</v>
      </c>
      <c r="D32" t="s">
        <v>174</v>
      </c>
      <c r="E32" t="s">
        <v>162</v>
      </c>
      <c r="F32">
        <v>13.455982901970977</v>
      </c>
      <c r="G32">
        <v>-85.456769324698115</v>
      </c>
      <c r="H32">
        <v>22.874612954062325</v>
      </c>
      <c r="I32">
        <v>-7.3660608158360468</v>
      </c>
      <c r="J32">
        <v>-5.2045155823454037</v>
      </c>
      <c r="K32">
        <v>10.29708698388337</v>
      </c>
      <c r="L32">
        <v>-8.9771471088381318</v>
      </c>
      <c r="M32">
        <v>20.366870031174468</v>
      </c>
      <c r="N32">
        <v>8.8558945932581956</v>
      </c>
      <c r="O32">
        <v>18.192069229737644</v>
      </c>
      <c r="P32">
        <v>21.58551982513756</v>
      </c>
      <c r="Q32">
        <v>22.280768060186865</v>
      </c>
      <c r="R32">
        <v>32.744922379882489</v>
      </c>
      <c r="S32">
        <v>32.247509630696051</v>
      </c>
      <c r="T32">
        <v>40.246956335714565</v>
      </c>
      <c r="U32">
        <v>43.639487116942369</v>
      </c>
      <c r="V32">
        <v>48.846399693190612</v>
      </c>
      <c r="W32">
        <v>54.930698254221369</v>
      </c>
      <c r="X32">
        <v>58.513930293711894</v>
      </c>
      <c r="Y32">
        <v>64.136349448334968</v>
      </c>
      <c r="Z32">
        <v>67.395862190374984</v>
      </c>
      <c r="AA32">
        <v>71.352701921022799</v>
      </c>
      <c r="AB32">
        <v>74.632269674189899</v>
      </c>
      <c r="AC32">
        <v>77.521820433424679</v>
      </c>
      <c r="AD32">
        <v>80.91306236228472</v>
      </c>
      <c r="AE32">
        <v>83.825739627560736</v>
      </c>
      <c r="AF32">
        <v>87.252257756904157</v>
      </c>
      <c r="AG32">
        <v>90.444512862485169</v>
      </c>
      <c r="AH32">
        <v>93.658430429966032</v>
      </c>
      <c r="AI32">
        <v>96.803569889281349</v>
      </c>
      <c r="AJ32">
        <v>99.665356651583295</v>
      </c>
      <c r="AK32">
        <v>102.47247882289936</v>
      </c>
      <c r="AL32">
        <v>105.00865075338488</v>
      </c>
      <c r="AM32">
        <v>107.45693712669689</v>
      </c>
      <c r="AN32">
        <v>109.774136125414</v>
      </c>
      <c r="AO32">
        <v>111.99315320637331</v>
      </c>
      <c r="AP32">
        <v>114.17616157555916</v>
      </c>
      <c r="AQ32">
        <v>116.28225390811238</v>
      </c>
      <c r="AR32">
        <v>118.3696009119239</v>
      </c>
      <c r="AS32">
        <v>120.40063373293711</v>
      </c>
      <c r="AT32">
        <v>122.38331624444007</v>
      </c>
      <c r="AU32">
        <v>124.30474191174845</v>
      </c>
      <c r="AV32">
        <v>126.14412564702796</v>
      </c>
      <c r="AW32">
        <v>127.90680014233681</v>
      </c>
      <c r="AX32">
        <v>129.57974850542766</v>
      </c>
      <c r="AY32">
        <v>131.17618494803565</v>
      </c>
      <c r="AZ32">
        <v>132.70208992522214</v>
      </c>
      <c r="BA32">
        <v>134.16896544131959</v>
      </c>
      <c r="BB32">
        <v>135.58904825614417</v>
      </c>
    </row>
    <row r="33" spans="3:54" x14ac:dyDescent="0.2">
      <c r="C33" t="s">
        <v>35</v>
      </c>
      <c r="D33" t="s">
        <v>175</v>
      </c>
      <c r="E33" t="s">
        <v>162</v>
      </c>
      <c r="F33">
        <v>1187.1557665310625</v>
      </c>
      <c r="G33">
        <v>173.37564319491634</v>
      </c>
      <c r="H33">
        <v>1104.8910942051493</v>
      </c>
      <c r="I33">
        <v>679.08286477029753</v>
      </c>
      <c r="J33">
        <v>644.48231533761611</v>
      </c>
      <c r="K33">
        <v>1224.7215263964767</v>
      </c>
      <c r="L33">
        <v>944.76304500791412</v>
      </c>
      <c r="M33">
        <v>1387.0110533297088</v>
      </c>
      <c r="N33">
        <v>1225.2954496313021</v>
      </c>
      <c r="O33">
        <v>1374.4514690550252</v>
      </c>
      <c r="P33">
        <v>1456.4569256000229</v>
      </c>
      <c r="Q33">
        <v>1397.068024028028</v>
      </c>
      <c r="R33">
        <v>1520.6907597579514</v>
      </c>
      <c r="S33">
        <v>1473.2182380076968</v>
      </c>
      <c r="T33">
        <v>1576.4618792067217</v>
      </c>
      <c r="U33">
        <v>1625.4587374965963</v>
      </c>
      <c r="V33">
        <v>1693.6018500637847</v>
      </c>
      <c r="W33">
        <v>1791.6842220851008</v>
      </c>
      <c r="X33">
        <v>1843.0851189964492</v>
      </c>
      <c r="Y33">
        <v>1927.5723416091364</v>
      </c>
      <c r="Z33">
        <v>1970.2575930790683</v>
      </c>
      <c r="AA33">
        <v>2017.7238501233076</v>
      </c>
      <c r="AB33">
        <v>2055.862576408831</v>
      </c>
      <c r="AC33">
        <v>2084.6384513273729</v>
      </c>
      <c r="AD33">
        <v>2123.6052212104846</v>
      </c>
      <c r="AE33">
        <v>2155.2566542642376</v>
      </c>
      <c r="AF33">
        <v>2196.7008323526129</v>
      </c>
      <c r="AG33">
        <v>2237.1210978242075</v>
      </c>
      <c r="AH33">
        <v>2279.1464822325215</v>
      </c>
      <c r="AI33">
        <v>2322.1962523380066</v>
      </c>
      <c r="AJ33">
        <v>2361.093753735292</v>
      </c>
      <c r="AK33">
        <v>2399.3288685773837</v>
      </c>
      <c r="AL33">
        <v>2432.7413396011411</v>
      </c>
      <c r="AM33">
        <v>2463.7922180529577</v>
      </c>
      <c r="AN33">
        <v>2492.1712964722901</v>
      </c>
      <c r="AO33">
        <v>2518.4530854276695</v>
      </c>
      <c r="AP33">
        <v>2544.3583398717983</v>
      </c>
      <c r="AQ33">
        <v>2569.5459498267883</v>
      </c>
      <c r="AR33">
        <v>2595.2370939536604</v>
      </c>
      <c r="AS33">
        <v>2620.9257402364178</v>
      </c>
      <c r="AT33">
        <v>2646.5433610919454</v>
      </c>
      <c r="AU33">
        <v>2671.7282494213073</v>
      </c>
      <c r="AV33">
        <v>2695.8483736084618</v>
      </c>
      <c r="AW33">
        <v>2718.8189868652398</v>
      </c>
      <c r="AX33">
        <v>2740.3111567734622</v>
      </c>
      <c r="AY33">
        <v>2760.4983314092897</v>
      </c>
      <c r="AZ33">
        <v>2779.5332210895135</v>
      </c>
      <c r="BA33">
        <v>2797.6651378692804</v>
      </c>
      <c r="BB33">
        <v>2815.1965529868885</v>
      </c>
    </row>
    <row r="34" spans="3:54" x14ac:dyDescent="0.2">
      <c r="C34" t="s">
        <v>36</v>
      </c>
      <c r="D34" t="s">
        <v>176</v>
      </c>
      <c r="E34" t="s">
        <v>162</v>
      </c>
      <c r="F34">
        <v>0.33466678264690708</v>
      </c>
      <c r="G34">
        <v>-6.7963464773047306</v>
      </c>
      <c r="H34">
        <v>10.011465698893208</v>
      </c>
      <c r="I34">
        <v>5.792080381806886</v>
      </c>
      <c r="J34">
        <v>10.628062793599756</v>
      </c>
      <c r="K34">
        <v>12.806194176024427</v>
      </c>
      <c r="L34">
        <v>14.748707744615345</v>
      </c>
      <c r="M34">
        <v>19.953988041964369</v>
      </c>
      <c r="N34">
        <v>18.584330840167741</v>
      </c>
      <c r="O34">
        <v>21.025991003693676</v>
      </c>
      <c r="P34">
        <v>21.125421802051122</v>
      </c>
      <c r="Q34">
        <v>22.018975326120987</v>
      </c>
      <c r="R34">
        <v>23.148580569805691</v>
      </c>
      <c r="S34">
        <v>23.326968134596967</v>
      </c>
      <c r="T34">
        <v>24.973541964018242</v>
      </c>
      <c r="U34">
        <v>26.026015893255948</v>
      </c>
      <c r="V34">
        <v>27.865378806426058</v>
      </c>
      <c r="W34">
        <v>29.569252613131866</v>
      </c>
      <c r="X34">
        <v>31.083343998938833</v>
      </c>
      <c r="Y34">
        <v>32.626395303716407</v>
      </c>
      <c r="Z34">
        <v>33.643931835310951</v>
      </c>
      <c r="AA34">
        <v>34.63320910710992</v>
      </c>
      <c r="AB34">
        <v>35.331965973520539</v>
      </c>
      <c r="AC34">
        <v>36.01337256660068</v>
      </c>
      <c r="AD34">
        <v>36.744419162833289</v>
      </c>
      <c r="AE34">
        <v>37.494624243402733</v>
      </c>
      <c r="AF34">
        <v>38.383644203817383</v>
      </c>
      <c r="AG34">
        <v>39.278016449186246</v>
      </c>
      <c r="AH34">
        <v>40.217539417123078</v>
      </c>
      <c r="AI34">
        <v>41.12575661434402</v>
      </c>
      <c r="AJ34">
        <v>41.976707388219204</v>
      </c>
      <c r="AK34">
        <v>42.771240101400636</v>
      </c>
      <c r="AL34">
        <v>43.479403017985668</v>
      </c>
      <c r="AM34">
        <v>44.13336350693681</v>
      </c>
      <c r="AN34">
        <v>44.729867879226404</v>
      </c>
      <c r="AO34">
        <v>45.295115915966235</v>
      </c>
      <c r="AP34">
        <v>45.845530579708921</v>
      </c>
      <c r="AQ34">
        <v>46.390317110987134</v>
      </c>
      <c r="AR34">
        <v>46.942446802631771</v>
      </c>
      <c r="AS34">
        <v>47.495938257851293</v>
      </c>
      <c r="AT34">
        <v>48.048465606752018</v>
      </c>
      <c r="AU34">
        <v>48.588462208307398</v>
      </c>
      <c r="AV34">
        <v>49.106380332007014</v>
      </c>
      <c r="AW34">
        <v>49.596232232255886</v>
      </c>
      <c r="AX34">
        <v>50.05403642597345</v>
      </c>
      <c r="AY34">
        <v>50.482922438008281</v>
      </c>
      <c r="AZ34">
        <v>50.887030008172921</v>
      </c>
      <c r="BA34">
        <v>51.273169928204929</v>
      </c>
      <c r="BB34">
        <v>51.647180006302939</v>
      </c>
    </row>
    <row r="35" spans="3:54" x14ac:dyDescent="0.2">
      <c r="C35" t="s">
        <v>37</v>
      </c>
      <c r="D35" t="s">
        <v>177</v>
      </c>
      <c r="E35" t="s">
        <v>162</v>
      </c>
      <c r="F35">
        <v>-31.622172104295753</v>
      </c>
      <c r="G35">
        <v>-155.35393311043947</v>
      </c>
      <c r="H35">
        <v>-121.93636091775558</v>
      </c>
      <c r="I35">
        <v>-34.30063068052624</v>
      </c>
      <c r="J35">
        <v>57.852322356158375</v>
      </c>
      <c r="K35">
        <v>34.80656413928849</v>
      </c>
      <c r="L35">
        <v>35.895789726003237</v>
      </c>
      <c r="M35">
        <v>34.443341530546718</v>
      </c>
      <c r="N35">
        <v>27.866403682953234</v>
      </c>
      <c r="O35">
        <v>20.123044087398952</v>
      </c>
      <c r="P35">
        <v>-6.9518176094148107E-2</v>
      </c>
      <c r="Q35">
        <v>-0.39064491354671738</v>
      </c>
      <c r="R35">
        <v>-1.1394345223615518</v>
      </c>
      <c r="S35">
        <v>4.1745651897177387</v>
      </c>
      <c r="T35">
        <v>10.642142219069241</v>
      </c>
      <c r="U35">
        <v>16.046085412563521</v>
      </c>
      <c r="V35">
        <v>25.189149482854912</v>
      </c>
      <c r="W35">
        <v>31.196381606784612</v>
      </c>
      <c r="X35">
        <v>36.921659049134149</v>
      </c>
      <c r="Y35">
        <v>39.371223927806746</v>
      </c>
      <c r="Z35">
        <v>39.567006540183982</v>
      </c>
      <c r="AA35">
        <v>38.863656884903016</v>
      </c>
      <c r="AB35">
        <v>37.036343441714443</v>
      </c>
      <c r="AC35">
        <v>36.282452821315019</v>
      </c>
      <c r="AD35">
        <v>36.335765127093346</v>
      </c>
      <c r="AE35">
        <v>37.986334586205558</v>
      </c>
      <c r="AF35">
        <v>40.811508790392537</v>
      </c>
      <c r="AG35">
        <v>44.091298390903681</v>
      </c>
      <c r="AH35">
        <v>47.469310190194918</v>
      </c>
      <c r="AI35">
        <v>50.193747487839964</v>
      </c>
      <c r="AJ35">
        <v>52.263254342819678</v>
      </c>
      <c r="AK35">
        <v>53.562779288617179</v>
      </c>
      <c r="AL35">
        <v>54.30294562148719</v>
      </c>
      <c r="AM35">
        <v>54.771889034476587</v>
      </c>
      <c r="AN35">
        <v>55.159381688421092</v>
      </c>
      <c r="AO35">
        <v>55.720406147631572</v>
      </c>
      <c r="AP35">
        <v>56.507731469628112</v>
      </c>
      <c r="AQ35">
        <v>57.567917538122259</v>
      </c>
      <c r="AR35">
        <v>58.84351239170649</v>
      </c>
      <c r="AS35">
        <v>60.23129931340398</v>
      </c>
      <c r="AT35">
        <v>61.630902935741119</v>
      </c>
      <c r="AU35">
        <v>62.921600394808074</v>
      </c>
      <c r="AV35">
        <v>64.041469035255858</v>
      </c>
      <c r="AW35">
        <v>64.956981341446848</v>
      </c>
      <c r="AX35">
        <v>65.689526265977079</v>
      </c>
      <c r="AY35">
        <v>66.296105603647973</v>
      </c>
      <c r="AZ35">
        <v>66.844602426228604</v>
      </c>
      <c r="BA35">
        <v>67.404255016197993</v>
      </c>
      <c r="BB35">
        <v>68.016406793742505</v>
      </c>
    </row>
    <row r="36" spans="3:54" x14ac:dyDescent="0.2">
      <c r="C36" t="s">
        <v>38</v>
      </c>
      <c r="D36" t="s">
        <v>178</v>
      </c>
      <c r="E36" t="s">
        <v>162</v>
      </c>
      <c r="F36">
        <v>19.84618404577698</v>
      </c>
      <c r="G36">
        <v>-4.1691785111262707</v>
      </c>
      <c r="H36">
        <v>19.272922954898768</v>
      </c>
      <c r="I36">
        <v>5.654576788536275</v>
      </c>
      <c r="J36">
        <v>11.739490400075855</v>
      </c>
      <c r="K36">
        <v>15.947139285249841</v>
      </c>
      <c r="L36">
        <v>15.255796536067329</v>
      </c>
      <c r="M36">
        <v>21.979551580765929</v>
      </c>
      <c r="N36">
        <v>17.901004904697555</v>
      </c>
      <c r="O36">
        <v>21.485997832608913</v>
      </c>
      <c r="P36">
        <v>20.835400730035666</v>
      </c>
      <c r="Q36">
        <v>21.111088108372613</v>
      </c>
      <c r="R36">
        <v>22.549955493357615</v>
      </c>
      <c r="S36">
        <v>22.155148467081471</v>
      </c>
      <c r="T36">
        <v>24.444497059913232</v>
      </c>
      <c r="U36">
        <v>25.330984463063789</v>
      </c>
      <c r="V36">
        <v>27.291733011343076</v>
      </c>
      <c r="W36">
        <v>28.956427100227408</v>
      </c>
      <c r="X36">
        <v>30.17007186550715</v>
      </c>
      <c r="Y36">
        <v>31.614102748165408</v>
      </c>
      <c r="Z36">
        <v>32.262896745663312</v>
      </c>
      <c r="AA36">
        <v>33.085273028672255</v>
      </c>
      <c r="AB36">
        <v>33.582861822044357</v>
      </c>
      <c r="AC36">
        <v>34.130087599766881</v>
      </c>
      <c r="AD36">
        <v>34.809415236666808</v>
      </c>
      <c r="AE36">
        <v>35.472300560529426</v>
      </c>
      <c r="AF36">
        <v>36.339860878640167</v>
      </c>
      <c r="AG36">
        <v>37.169400058964911</v>
      </c>
      <c r="AH36">
        <v>38.052163072204678</v>
      </c>
      <c r="AI36">
        <v>38.885599882185531</v>
      </c>
      <c r="AJ36">
        <v>39.636853355548432</v>
      </c>
      <c r="AK36">
        <v>40.333928946661615</v>
      </c>
      <c r="AL36">
        <v>40.926688783163272</v>
      </c>
      <c r="AM36">
        <v>41.476924530355113</v>
      </c>
      <c r="AN36">
        <v>41.974581228818884</v>
      </c>
      <c r="AO36">
        <v>42.455096763565585</v>
      </c>
      <c r="AP36">
        <v>42.93756025974254</v>
      </c>
      <c r="AQ36">
        <v>43.423358231576699</v>
      </c>
      <c r="AR36">
        <v>43.926791566471124</v>
      </c>
      <c r="AS36">
        <v>44.431509300619936</v>
      </c>
      <c r="AT36">
        <v>44.933999609240033</v>
      </c>
      <c r="AU36">
        <v>45.419430839259746</v>
      </c>
      <c r="AV36">
        <v>45.877892297484863</v>
      </c>
      <c r="AW36">
        <v>46.306401985519543</v>
      </c>
      <c r="AX36">
        <v>46.702184402639716</v>
      </c>
      <c r="AY36">
        <v>47.072025247072233</v>
      </c>
      <c r="AZ36">
        <v>47.421126619555722</v>
      </c>
      <c r="BA36">
        <v>47.757263776211424</v>
      </c>
      <c r="BB36">
        <v>48.086135631080744</v>
      </c>
    </row>
    <row r="37" spans="3:54" x14ac:dyDescent="0.2">
      <c r="C37" t="s">
        <v>39</v>
      </c>
      <c r="D37" t="s">
        <v>179</v>
      </c>
      <c r="E37" t="s">
        <v>162</v>
      </c>
      <c r="F37">
        <v>3.4319205874454992</v>
      </c>
      <c r="G37">
        <v>-36.607918246332808</v>
      </c>
      <c r="H37">
        <v>37.512815123357974</v>
      </c>
      <c r="I37">
        <v>49.816301330942949</v>
      </c>
      <c r="J37">
        <v>33.678775980160886</v>
      </c>
      <c r="K37">
        <v>59.685220535144801</v>
      </c>
      <c r="L37">
        <v>58.388706539602289</v>
      </c>
      <c r="M37">
        <v>81.438197081466612</v>
      </c>
      <c r="N37">
        <v>80.204675680257949</v>
      </c>
      <c r="O37">
        <v>84.067264950001658</v>
      </c>
      <c r="P37">
        <v>92.455161799196205</v>
      </c>
      <c r="Q37">
        <v>93.306198548661499</v>
      </c>
      <c r="R37">
        <v>101.40756916368183</v>
      </c>
      <c r="S37">
        <v>102.43743777255972</v>
      </c>
      <c r="T37">
        <v>108.08939099592847</v>
      </c>
      <c r="U37">
        <v>113.49659592726131</v>
      </c>
      <c r="V37">
        <v>118.86634540353877</v>
      </c>
      <c r="W37">
        <v>126.09717151040886</v>
      </c>
      <c r="X37">
        <v>131.15017687508828</v>
      </c>
      <c r="Y37">
        <v>137.16937735612663</v>
      </c>
      <c r="Z37">
        <v>141.56226574349932</v>
      </c>
      <c r="AA37">
        <v>145.49218717898356</v>
      </c>
      <c r="AB37">
        <v>149.03860159750488</v>
      </c>
      <c r="AC37">
        <v>151.93475898146821</v>
      </c>
      <c r="AD37">
        <v>155.27273578797465</v>
      </c>
      <c r="AE37">
        <v>158.40673780223383</v>
      </c>
      <c r="AF37">
        <v>161.90151119008848</v>
      </c>
      <c r="AG37">
        <v>165.43718591227065</v>
      </c>
      <c r="AH37">
        <v>168.94598888694821</v>
      </c>
      <c r="AI37">
        <v>172.46460059675152</v>
      </c>
      <c r="AJ37">
        <v>175.72461702758318</v>
      </c>
      <c r="AK37">
        <v>178.8574611482826</v>
      </c>
      <c r="AL37">
        <v>181.72469156095963</v>
      </c>
      <c r="AM37">
        <v>184.39798903805229</v>
      </c>
      <c r="AN37">
        <v>186.9046187105202</v>
      </c>
      <c r="AO37">
        <v>189.25723508760117</v>
      </c>
      <c r="AP37">
        <v>191.54616212356493</v>
      </c>
      <c r="AQ37">
        <v>193.77100061800468</v>
      </c>
      <c r="AR37">
        <v>195.98517900518468</v>
      </c>
      <c r="AS37">
        <v>198.18123383321927</v>
      </c>
      <c r="AT37">
        <v>200.34783708601299</v>
      </c>
      <c r="AU37">
        <v>202.46854055423969</v>
      </c>
      <c r="AV37">
        <v>204.50735469380837</v>
      </c>
      <c r="AW37">
        <v>206.4535642793025</v>
      </c>
      <c r="AX37">
        <v>208.29203695758315</v>
      </c>
      <c r="AY37">
        <v>210.02926095133822</v>
      </c>
      <c r="AZ37">
        <v>211.67803528092838</v>
      </c>
      <c r="BA37">
        <v>213.25411609062917</v>
      </c>
      <c r="BB37">
        <v>214.77654947460698</v>
      </c>
    </row>
    <row r="38" spans="3:54" x14ac:dyDescent="0.2">
      <c r="C38" t="s">
        <v>40</v>
      </c>
      <c r="D38" t="s">
        <v>198</v>
      </c>
      <c r="E38" t="s">
        <v>162</v>
      </c>
      <c r="F38">
        <v>-10.662273316920722</v>
      </c>
      <c r="G38">
        <v>-111.32655993218613</v>
      </c>
      <c r="H38">
        <v>-31.010311902959213</v>
      </c>
      <c r="I38">
        <v>-0.96561825792080636</v>
      </c>
      <c r="J38">
        <v>71.450633307901839</v>
      </c>
      <c r="K38">
        <v>59.779865308297822</v>
      </c>
      <c r="L38">
        <v>71.078864142820322</v>
      </c>
      <c r="M38">
        <v>94.899884732235279</v>
      </c>
      <c r="N38">
        <v>89.379831328354115</v>
      </c>
      <c r="O38">
        <v>95.627942743721093</v>
      </c>
      <c r="P38">
        <v>82.66324722875774</v>
      </c>
      <c r="Q38">
        <v>85.876542367324703</v>
      </c>
      <c r="R38">
        <v>87.795423396477275</v>
      </c>
      <c r="S38">
        <v>88.987350509712485</v>
      </c>
      <c r="T38">
        <v>95.62141591084027</v>
      </c>
      <c r="U38">
        <v>98.880553983853588</v>
      </c>
      <c r="V38">
        <v>107.78097706664792</v>
      </c>
      <c r="W38">
        <v>114.12022767743116</v>
      </c>
      <c r="X38">
        <v>120.19224396840779</v>
      </c>
      <c r="Y38">
        <v>124.88716716651834</v>
      </c>
      <c r="Z38">
        <v>126.87536651302045</v>
      </c>
      <c r="AA38">
        <v>128.75644595488566</v>
      </c>
      <c r="AB38">
        <v>128.98936069766623</v>
      </c>
      <c r="AC38">
        <v>129.83668353786979</v>
      </c>
      <c r="AD38">
        <v>131.09094582077492</v>
      </c>
      <c r="AE38">
        <v>133.13193828855393</v>
      </c>
      <c r="AF38">
        <v>136.18038665663428</v>
      </c>
      <c r="AG38">
        <v>139.40113186165073</v>
      </c>
      <c r="AH38">
        <v>142.90315170419993</v>
      </c>
      <c r="AI38">
        <v>146.02083971044848</v>
      </c>
      <c r="AJ38">
        <v>148.74528731937795</v>
      </c>
      <c r="AK38">
        <v>150.99848361178377</v>
      </c>
      <c r="AL38">
        <v>152.76470523678586</v>
      </c>
      <c r="AM38">
        <v>154.28802234698506</v>
      </c>
      <c r="AN38">
        <v>155.60564752428689</v>
      </c>
      <c r="AO38">
        <v>156.93151880410358</v>
      </c>
      <c r="AP38">
        <v>158.32216402406348</v>
      </c>
      <c r="AQ38">
        <v>159.83246384212882</v>
      </c>
      <c r="AR38">
        <v>161.4809555193826</v>
      </c>
      <c r="AS38">
        <v>163.20013796869242</v>
      </c>
      <c r="AT38">
        <v>164.94742866502733</v>
      </c>
      <c r="AU38">
        <v>166.62930280951954</v>
      </c>
      <c r="AV38">
        <v>168.19255277859395</v>
      </c>
      <c r="AW38">
        <v>169.6017400863123</v>
      </c>
      <c r="AX38">
        <v>170.85179063021903</v>
      </c>
      <c r="AY38">
        <v>171.97664332319158</v>
      </c>
      <c r="AZ38">
        <v>173.01521614543202</v>
      </c>
      <c r="BA38">
        <v>174.01855363793817</v>
      </c>
      <c r="BB38">
        <v>175.02096607613535</v>
      </c>
    </row>
    <row r="39" spans="3:54" x14ac:dyDescent="0.2">
      <c r="C39" t="s">
        <v>41</v>
      </c>
      <c r="D39" t="s">
        <v>199</v>
      </c>
      <c r="E39" t="s">
        <v>162</v>
      </c>
      <c r="F39">
        <v>7.9010797670499295</v>
      </c>
      <c r="G39">
        <v>-12.125676470050651</v>
      </c>
      <c r="H39">
        <v>1.3839121245468466</v>
      </c>
      <c r="I39">
        <v>-1.2118241925912812</v>
      </c>
      <c r="J39">
        <v>2.9988429497858262</v>
      </c>
      <c r="K39">
        <v>11.723736619832172</v>
      </c>
      <c r="L39">
        <v>8.5460400122647489</v>
      </c>
      <c r="M39">
        <v>16.022739736935865</v>
      </c>
      <c r="N39">
        <v>14.852493399202327</v>
      </c>
      <c r="O39">
        <v>17.798285362396985</v>
      </c>
      <c r="P39">
        <v>18.914289306354405</v>
      </c>
      <c r="Q39">
        <v>18.530957124069136</v>
      </c>
      <c r="R39">
        <v>20.689524809436939</v>
      </c>
      <c r="S39">
        <v>20.474236252562537</v>
      </c>
      <c r="T39">
        <v>22.278245800669968</v>
      </c>
      <c r="U39">
        <v>23.172990573989633</v>
      </c>
      <c r="V39">
        <v>24.48728067321851</v>
      </c>
      <c r="W39">
        <v>26.188550983109725</v>
      </c>
      <c r="X39">
        <v>27.292859942968054</v>
      </c>
      <c r="Y39">
        <v>28.834451336964619</v>
      </c>
      <c r="Z39">
        <v>29.76261205879959</v>
      </c>
      <c r="AA39">
        <v>30.75687676313332</v>
      </c>
      <c r="AB39">
        <v>31.56140665379645</v>
      </c>
      <c r="AC39">
        <v>32.217329986896033</v>
      </c>
      <c r="AD39">
        <v>32.981817899844501</v>
      </c>
      <c r="AE39">
        <v>33.639714653493002</v>
      </c>
      <c r="AF39">
        <v>34.440501062571819</v>
      </c>
      <c r="AG39">
        <v>35.226693374880966</v>
      </c>
      <c r="AH39">
        <v>36.043166571892797</v>
      </c>
      <c r="AI39">
        <v>36.867895884900427</v>
      </c>
      <c r="AJ39">
        <v>37.63095980608464</v>
      </c>
      <c r="AK39">
        <v>38.37497044540779</v>
      </c>
      <c r="AL39">
        <v>39.039941951262342</v>
      </c>
      <c r="AM39">
        <v>39.662018459192318</v>
      </c>
      <c r="AN39">
        <v>40.235201879040929</v>
      </c>
      <c r="AO39">
        <v>40.770887146911654</v>
      </c>
      <c r="AP39">
        <v>41.292846238623696</v>
      </c>
      <c r="AQ39">
        <v>41.798290767019857</v>
      </c>
      <c r="AR39">
        <v>42.305759378068693</v>
      </c>
      <c r="AS39">
        <v>42.809036284366151</v>
      </c>
      <c r="AT39">
        <v>43.308553802129296</v>
      </c>
      <c r="AU39">
        <v>43.798895245685081</v>
      </c>
      <c r="AV39">
        <v>44.271078920162317</v>
      </c>
      <c r="AW39">
        <v>44.722912646143484</v>
      </c>
      <c r="AX39">
        <v>45.148904432753099</v>
      </c>
      <c r="AY39">
        <v>45.551001282409189</v>
      </c>
      <c r="AZ39">
        <v>45.931120502784445</v>
      </c>
      <c r="BA39">
        <v>46.293259193168318</v>
      </c>
      <c r="BB39">
        <v>46.642277934635587</v>
      </c>
    </row>
    <row r="40" spans="3:54" x14ac:dyDescent="0.2">
      <c r="C40" t="s">
        <v>42</v>
      </c>
      <c r="D40" t="s">
        <v>200</v>
      </c>
      <c r="E40" t="s">
        <v>162</v>
      </c>
      <c r="F40">
        <v>16.672770687085951</v>
      </c>
      <c r="G40">
        <v>11.469530309856387</v>
      </c>
      <c r="H40">
        <v>18.97161471320991</v>
      </c>
      <c r="I40">
        <v>10.768480232377888</v>
      </c>
      <c r="J40">
        <v>13.076559486282173</v>
      </c>
      <c r="K40">
        <v>15.876983140222103</v>
      </c>
      <c r="L40">
        <v>15.384518997345548</v>
      </c>
      <c r="M40">
        <v>17.903662471128886</v>
      </c>
      <c r="N40">
        <v>15.961366624532292</v>
      </c>
      <c r="O40">
        <v>17.377619581508259</v>
      </c>
      <c r="P40">
        <v>16.94779686997353</v>
      </c>
      <c r="Q40">
        <v>16.49690120155454</v>
      </c>
      <c r="R40">
        <v>16.542134773068437</v>
      </c>
      <c r="S40">
        <v>15.814835049140463</v>
      </c>
      <c r="T40">
        <v>16.363315440837187</v>
      </c>
      <c r="U40">
        <v>16.444845035866042</v>
      </c>
      <c r="V40">
        <v>17.067468022749566</v>
      </c>
      <c r="W40">
        <v>17.701456200808295</v>
      </c>
      <c r="X40">
        <v>18.184198161344344</v>
      </c>
      <c r="Y40">
        <v>18.783670013438588</v>
      </c>
      <c r="Z40">
        <v>18.999670835956564</v>
      </c>
      <c r="AA40">
        <v>19.225653637310444</v>
      </c>
      <c r="AB40">
        <v>19.266600527034285</v>
      </c>
      <c r="AC40">
        <v>19.286454086163801</v>
      </c>
      <c r="AD40">
        <v>19.355617921702592</v>
      </c>
      <c r="AE40">
        <v>19.42398553179504</v>
      </c>
      <c r="AF40">
        <v>19.605923167734208</v>
      </c>
      <c r="AG40">
        <v>19.806374575221977</v>
      </c>
      <c r="AH40">
        <v>20.060690785675629</v>
      </c>
      <c r="AI40">
        <v>20.320983567151067</v>
      </c>
      <c r="AJ40">
        <v>20.5598560494421</v>
      </c>
      <c r="AK40">
        <v>20.78051572296355</v>
      </c>
      <c r="AL40">
        <v>20.952098065871962</v>
      </c>
      <c r="AM40">
        <v>21.095551777197333</v>
      </c>
      <c r="AN40">
        <v>21.205990694824504</v>
      </c>
      <c r="AO40">
        <v>21.300360002565125</v>
      </c>
      <c r="AP40">
        <v>21.392583021027487</v>
      </c>
      <c r="AQ40">
        <v>21.488731401106421</v>
      </c>
      <c r="AR40">
        <v>21.600108559429888</v>
      </c>
      <c r="AS40">
        <v>21.722754875135273</v>
      </c>
      <c r="AT40">
        <v>21.85553639814793</v>
      </c>
      <c r="AU40">
        <v>21.990601916701319</v>
      </c>
      <c r="AV40">
        <v>22.120498358685932</v>
      </c>
      <c r="AW40">
        <v>22.240649222871028</v>
      </c>
      <c r="AX40">
        <v>22.347037375383682</v>
      </c>
      <c r="AY40">
        <v>22.440938020688492</v>
      </c>
      <c r="AZ40">
        <v>22.524309496558292</v>
      </c>
      <c r="BA40">
        <v>22.601221973945457</v>
      </c>
      <c r="BB40">
        <v>22.675564687017239</v>
      </c>
    </row>
    <row r="41" spans="3:54" x14ac:dyDescent="0.2">
      <c r="C41" t="s">
        <v>43</v>
      </c>
      <c r="D41" t="s">
        <v>201</v>
      </c>
      <c r="E41" t="s">
        <v>162</v>
      </c>
      <c r="F41">
        <v>244.36569232429935</v>
      </c>
      <c r="G41">
        <v>-32.851277194936898</v>
      </c>
      <c r="H41">
        <v>273.17002520213327</v>
      </c>
      <c r="I41">
        <v>169.61765923258574</v>
      </c>
      <c r="J41">
        <v>212.89303603889999</v>
      </c>
      <c r="K41">
        <v>334.60821362466049</v>
      </c>
      <c r="L41">
        <v>269.06664940432046</v>
      </c>
      <c r="M41">
        <v>356.9744934831495</v>
      </c>
      <c r="N41">
        <v>284.42046807655311</v>
      </c>
      <c r="O41">
        <v>300.64572354517458</v>
      </c>
      <c r="P41">
        <v>288.80107204751971</v>
      </c>
      <c r="Q41">
        <v>261.51617397100978</v>
      </c>
      <c r="R41">
        <v>277.88422202243714</v>
      </c>
      <c r="S41">
        <v>261.521778710945</v>
      </c>
      <c r="T41">
        <v>288.92291487133571</v>
      </c>
      <c r="U41">
        <v>303.93574266757167</v>
      </c>
      <c r="V41">
        <v>328.36655989886805</v>
      </c>
      <c r="W41">
        <v>355.31372608812211</v>
      </c>
      <c r="X41">
        <v>368.67857373547599</v>
      </c>
      <c r="Y41">
        <v>385.09239958992202</v>
      </c>
      <c r="Z41">
        <v>387.44930102695099</v>
      </c>
      <c r="AA41">
        <v>389.92013960076724</v>
      </c>
      <c r="AB41">
        <v>389.51800407825232</v>
      </c>
      <c r="AC41">
        <v>389.32373786378122</v>
      </c>
      <c r="AD41">
        <v>393.83862757214683</v>
      </c>
      <c r="AE41">
        <v>399.20505962040983</v>
      </c>
      <c r="AF41">
        <v>408.79253309063182</v>
      </c>
      <c r="AG41">
        <v>418.72164567341133</v>
      </c>
      <c r="AH41">
        <v>429.07850379699863</v>
      </c>
      <c r="AI41">
        <v>438.76941473668222</v>
      </c>
      <c r="AJ41">
        <v>446.51968980817497</v>
      </c>
      <c r="AK41">
        <v>453.13236860602706</v>
      </c>
      <c r="AL41">
        <v>457.88857119652175</v>
      </c>
      <c r="AM41">
        <v>461.82780015354371</v>
      </c>
      <c r="AN41">
        <v>465.17256177804308</v>
      </c>
      <c r="AO41">
        <v>468.44095786292922</v>
      </c>
      <c r="AP41">
        <v>472.17356416629906</v>
      </c>
      <c r="AQ41">
        <v>476.34556420602951</v>
      </c>
      <c r="AR41">
        <v>481.154646587451</v>
      </c>
      <c r="AS41">
        <v>486.2759219202689</v>
      </c>
      <c r="AT41">
        <v>491.48956860034565</v>
      </c>
      <c r="AU41">
        <v>496.49446165207985</v>
      </c>
      <c r="AV41">
        <v>501.02617812507049</v>
      </c>
      <c r="AW41">
        <v>505.02884858056495</v>
      </c>
      <c r="AX41">
        <v>508.47839711575574</v>
      </c>
      <c r="AY41">
        <v>511.53038749877913</v>
      </c>
      <c r="AZ41">
        <v>514.34220030376457</v>
      </c>
      <c r="BA41">
        <v>517.08061014233772</v>
      </c>
      <c r="BB41">
        <v>519.87299626908623</v>
      </c>
    </row>
    <row r="42" spans="3:54" x14ac:dyDescent="0.2">
      <c r="C42" t="s">
        <v>44</v>
      </c>
      <c r="D42" t="s">
        <v>185</v>
      </c>
      <c r="E42" t="s">
        <v>162</v>
      </c>
      <c r="F42">
        <v>8.4240721462539412</v>
      </c>
      <c r="G42">
        <v>-33.169544722207561</v>
      </c>
      <c r="H42">
        <v>2.6480869000627734</v>
      </c>
      <c r="I42">
        <v>-14.035696581007782</v>
      </c>
      <c r="J42">
        <v>6.1145012044900682</v>
      </c>
      <c r="K42">
        <v>6.0093905876863687</v>
      </c>
      <c r="L42">
        <v>2.9867251119775018</v>
      </c>
      <c r="M42">
        <v>19.297023547078471</v>
      </c>
      <c r="N42">
        <v>15.686361116185662</v>
      </c>
      <c r="O42">
        <v>25.897315631792164</v>
      </c>
      <c r="P42">
        <v>24.887092189449238</v>
      </c>
      <c r="Q42">
        <v>28.020162233461416</v>
      </c>
      <c r="R42">
        <v>32.06594654712702</v>
      </c>
      <c r="S42">
        <v>31.866504799351617</v>
      </c>
      <c r="T42">
        <v>35.625806611304178</v>
      </c>
      <c r="U42">
        <v>35.805405652281131</v>
      </c>
      <c r="V42">
        <v>38.566144346622814</v>
      </c>
      <c r="W42">
        <v>40.65694013568487</v>
      </c>
      <c r="X42">
        <v>42.566473386300686</v>
      </c>
      <c r="Y42">
        <v>45.30017081506012</v>
      </c>
      <c r="Z42">
        <v>46.939347410009532</v>
      </c>
      <c r="AA42">
        <v>49.227176347351133</v>
      </c>
      <c r="AB42">
        <v>50.750421251466662</v>
      </c>
      <c r="AC42">
        <v>52.234307552481596</v>
      </c>
      <c r="AD42">
        <v>53.615293900926687</v>
      </c>
      <c r="AE42">
        <v>54.722135011176071</v>
      </c>
      <c r="AF42">
        <v>56.040352416817875</v>
      </c>
      <c r="AG42">
        <v>57.186087150446113</v>
      </c>
      <c r="AH42">
        <v>58.477853014903445</v>
      </c>
      <c r="AI42">
        <v>59.746650842779005</v>
      </c>
      <c r="AJ42">
        <v>60.998475861293684</v>
      </c>
      <c r="AK42">
        <v>62.26481364673576</v>
      </c>
      <c r="AL42">
        <v>63.424737450459908</v>
      </c>
      <c r="AM42">
        <v>64.558970232338041</v>
      </c>
      <c r="AN42">
        <v>65.592555794323204</v>
      </c>
      <c r="AO42">
        <v>66.565135383975289</v>
      </c>
      <c r="AP42">
        <v>67.481015993965102</v>
      </c>
      <c r="AQ42">
        <v>68.34096490291806</v>
      </c>
      <c r="AR42">
        <v>69.182451224295221</v>
      </c>
      <c r="AS42">
        <v>69.995911080898495</v>
      </c>
      <c r="AT42">
        <v>70.804171128645535</v>
      </c>
      <c r="AU42">
        <v>71.600102719018452</v>
      </c>
      <c r="AV42">
        <v>72.380978815639239</v>
      </c>
      <c r="AW42">
        <v>73.143122714921859</v>
      </c>
      <c r="AX42">
        <v>73.874244942439304</v>
      </c>
      <c r="AY42">
        <v>74.574119512559406</v>
      </c>
      <c r="AZ42">
        <v>75.237185759340775</v>
      </c>
      <c r="BA42">
        <v>75.86667527888423</v>
      </c>
      <c r="BB42">
        <v>76.466239855110004</v>
      </c>
    </row>
    <row r="43" spans="3:54" x14ac:dyDescent="0.2">
      <c r="C43" t="s">
        <v>45</v>
      </c>
      <c r="D43" t="s">
        <v>186</v>
      </c>
      <c r="E43" t="s">
        <v>162</v>
      </c>
      <c r="F43">
        <v>-1.7427112173477088</v>
      </c>
      <c r="G43">
        <v>-0.69361405100571116</v>
      </c>
      <c r="H43">
        <v>-0.24820828836286382</v>
      </c>
      <c r="I43">
        <v>-5.1687876918090243E-2</v>
      </c>
      <c r="J43">
        <v>-0.61875416410029749</v>
      </c>
      <c r="K43">
        <v>1.0013244876848548</v>
      </c>
      <c r="L43">
        <v>1.653319062599625</v>
      </c>
      <c r="M43">
        <v>2.8843954544731245</v>
      </c>
      <c r="N43">
        <v>3.1333975158345702</v>
      </c>
      <c r="O43">
        <v>3.5877651206542405</v>
      </c>
      <c r="P43">
        <v>4.1148154048432</v>
      </c>
      <c r="Q43">
        <v>4.3891450354233088</v>
      </c>
      <c r="R43">
        <v>4.7875677911699093</v>
      </c>
      <c r="S43">
        <v>4.9660080857242814</v>
      </c>
      <c r="T43">
        <v>5.2879477766870462</v>
      </c>
      <c r="U43">
        <v>5.5981903383019409</v>
      </c>
      <c r="V43">
        <v>5.9095174346693584</v>
      </c>
      <c r="W43">
        <v>6.2742846731335415</v>
      </c>
      <c r="X43">
        <v>6.5857882370008278</v>
      </c>
      <c r="Y43">
        <v>6.9256004723228921</v>
      </c>
      <c r="Z43">
        <v>7.2046130162847817</v>
      </c>
      <c r="AA43">
        <v>7.45143864192341</v>
      </c>
      <c r="AB43">
        <v>7.664723187255694</v>
      </c>
      <c r="AC43">
        <v>7.8435275051267732</v>
      </c>
      <c r="AD43">
        <v>8.0241068310194894</v>
      </c>
      <c r="AE43">
        <v>8.1945373406857147</v>
      </c>
      <c r="AF43">
        <v>8.3764820028788733</v>
      </c>
      <c r="AG43">
        <v>8.5625823897696076</v>
      </c>
      <c r="AH43">
        <v>8.7513518982332918</v>
      </c>
      <c r="AI43">
        <v>8.9412078286883805</v>
      </c>
      <c r="AJ43">
        <v>9.1221502691458785</v>
      </c>
      <c r="AK43">
        <v>9.2958031508900572</v>
      </c>
      <c r="AL43">
        <v>9.4568385091570697</v>
      </c>
      <c r="AM43">
        <v>9.6070055248715853</v>
      </c>
      <c r="AN43">
        <v>9.7470898803992654</v>
      </c>
      <c r="AO43">
        <v>9.8782142086130236</v>
      </c>
      <c r="AP43">
        <v>10.00383866792623</v>
      </c>
      <c r="AQ43">
        <v>10.12500248281124</v>
      </c>
      <c r="AR43">
        <v>10.244223154261185</v>
      </c>
      <c r="AS43">
        <v>10.361969939849834</v>
      </c>
      <c r="AT43">
        <v>10.478310907619045</v>
      </c>
      <c r="AU43">
        <v>10.592694578184169</v>
      </c>
      <c r="AV43">
        <v>10.703710344337717</v>
      </c>
      <c r="AW43">
        <v>10.810480330120976</v>
      </c>
      <c r="AX43">
        <v>10.912025505540253</v>
      </c>
      <c r="AY43">
        <v>11.008198705127054</v>
      </c>
      <c r="AZ43">
        <v>11.099297370084058</v>
      </c>
      <c r="BA43">
        <v>11.185982466966944</v>
      </c>
      <c r="BB43">
        <v>11.269170971908457</v>
      </c>
    </row>
    <row r="44" spans="3:54" x14ac:dyDescent="0.2">
      <c r="C44" t="s">
        <v>46</v>
      </c>
      <c r="D44" t="s">
        <v>187</v>
      </c>
      <c r="E44" t="s">
        <v>162</v>
      </c>
      <c r="F44">
        <v>32.188980401879334</v>
      </c>
      <c r="G44">
        <v>-16.228648726375503</v>
      </c>
      <c r="H44">
        <v>47.394775242266789</v>
      </c>
      <c r="I44">
        <v>-15.895849326706969</v>
      </c>
      <c r="J44">
        <v>39.043553472607314</v>
      </c>
      <c r="K44">
        <v>48.044934100415041</v>
      </c>
      <c r="L44">
        <v>51.301632997411815</v>
      </c>
      <c r="M44">
        <v>70.233506111157752</v>
      </c>
      <c r="N44">
        <v>55.721491826767362</v>
      </c>
      <c r="O44">
        <v>74.051588065452705</v>
      </c>
      <c r="P44">
        <v>66.252829861583621</v>
      </c>
      <c r="Q44">
        <v>69.02048263727059</v>
      </c>
      <c r="R44">
        <v>71.786061495700793</v>
      </c>
      <c r="S44">
        <v>71.244423111756774</v>
      </c>
      <c r="T44">
        <v>79.449734019365962</v>
      </c>
      <c r="U44">
        <v>80.721408449599551</v>
      </c>
      <c r="V44">
        <v>87.650076979230647</v>
      </c>
      <c r="W44">
        <v>91.886614425717823</v>
      </c>
      <c r="X44">
        <v>95.717268948907957</v>
      </c>
      <c r="Y44">
        <v>99.699926002065453</v>
      </c>
      <c r="Z44">
        <v>100.93671621466116</v>
      </c>
      <c r="AA44">
        <v>103.2548952562375</v>
      </c>
      <c r="AB44">
        <v>104.13248462138165</v>
      </c>
      <c r="AC44">
        <v>105.67295538587942</v>
      </c>
      <c r="AD44">
        <v>107.43330188502122</v>
      </c>
      <c r="AE44">
        <v>109.26577110898931</v>
      </c>
      <c r="AF44">
        <v>111.79977162946787</v>
      </c>
      <c r="AG44">
        <v>114.09442490173505</v>
      </c>
      <c r="AH44">
        <v>116.64705767378059</v>
      </c>
      <c r="AI44">
        <v>118.91974614967687</v>
      </c>
      <c r="AJ44">
        <v>120.97569884690532</v>
      </c>
      <c r="AK44">
        <v>122.84134801429408</v>
      </c>
      <c r="AL44">
        <v>124.37860454804584</v>
      </c>
      <c r="AM44">
        <v>125.82443818509206</v>
      </c>
      <c r="AN44">
        <v>127.10006770529576</v>
      </c>
      <c r="AO44">
        <v>128.36785255796124</v>
      </c>
      <c r="AP44">
        <v>129.65069637198579</v>
      </c>
      <c r="AQ44">
        <v>130.96506319068948</v>
      </c>
      <c r="AR44">
        <v>132.34814229373214</v>
      </c>
      <c r="AS44">
        <v>133.73469225162953</v>
      </c>
      <c r="AT44">
        <v>135.12130732894329</v>
      </c>
      <c r="AU44">
        <v>136.44794471563753</v>
      </c>
      <c r="AV44">
        <v>137.69172706901904</v>
      </c>
      <c r="AW44">
        <v>138.84189424709967</v>
      </c>
      <c r="AX44">
        <v>139.89354872292199</v>
      </c>
      <c r="AY44">
        <v>140.87320350074154</v>
      </c>
      <c r="AZ44">
        <v>141.79661924442635</v>
      </c>
      <c r="BA44">
        <v>142.69138524589172</v>
      </c>
      <c r="BB44">
        <v>143.57272462721161</v>
      </c>
    </row>
    <row r="45" spans="3:54" x14ac:dyDescent="0.2">
      <c r="C45" t="s">
        <v>47</v>
      </c>
      <c r="D45" t="s">
        <v>188</v>
      </c>
      <c r="E45" t="s">
        <v>162</v>
      </c>
      <c r="F45">
        <v>192.32513033008422</v>
      </c>
      <c r="G45">
        <v>-237.41932079629734</v>
      </c>
      <c r="H45">
        <v>-173.08398149603954</v>
      </c>
      <c r="I45">
        <v>-350.87916038685677</v>
      </c>
      <c r="J45">
        <v>-44.266418056242934</v>
      </c>
      <c r="K45">
        <v>149.27109785669774</v>
      </c>
      <c r="L45">
        <v>119.52651643161413</v>
      </c>
      <c r="M45">
        <v>168.62356255304437</v>
      </c>
      <c r="N45">
        <v>124.24558773305759</v>
      </c>
      <c r="O45">
        <v>199.98339161856822</v>
      </c>
      <c r="P45">
        <v>186.36737678507228</v>
      </c>
      <c r="Q45">
        <v>168.00666820398098</v>
      </c>
      <c r="R45">
        <v>179.53833306776517</v>
      </c>
      <c r="S45">
        <v>182.77035744757615</v>
      </c>
      <c r="T45">
        <v>225.02747515488338</v>
      </c>
      <c r="U45">
        <v>243.29330282202628</v>
      </c>
      <c r="V45">
        <v>275.59163282328996</v>
      </c>
      <c r="W45">
        <v>305.9034541798024</v>
      </c>
      <c r="X45">
        <v>329.53396919512898</v>
      </c>
      <c r="Y45">
        <v>352.84209011665212</v>
      </c>
      <c r="Z45">
        <v>361.75211094639764</v>
      </c>
      <c r="AA45">
        <v>371.50334040307416</v>
      </c>
      <c r="AB45">
        <v>376.71848559115961</v>
      </c>
      <c r="AC45">
        <v>383.14011760809404</v>
      </c>
      <c r="AD45">
        <v>392.25939606170351</v>
      </c>
      <c r="AE45">
        <v>402.34599038816219</v>
      </c>
      <c r="AF45">
        <v>416.44294640363125</v>
      </c>
      <c r="AG45">
        <v>430.75912926832689</v>
      </c>
      <c r="AH45">
        <v>445.90999462167605</v>
      </c>
      <c r="AI45">
        <v>459.98536315370086</v>
      </c>
      <c r="AJ45">
        <v>472.28785512662051</v>
      </c>
      <c r="AK45">
        <v>483.16621589380571</v>
      </c>
      <c r="AL45">
        <v>492.02738973144733</v>
      </c>
      <c r="AM45">
        <v>499.91349113191689</v>
      </c>
      <c r="AN45">
        <v>506.92631245197595</v>
      </c>
      <c r="AO45">
        <v>513.77654734886937</v>
      </c>
      <c r="AP45">
        <v>520.87864294894348</v>
      </c>
      <c r="AQ45">
        <v>528.30926313852467</v>
      </c>
      <c r="AR45">
        <v>536.23854594554439</v>
      </c>
      <c r="AS45">
        <v>544.3536521416803</v>
      </c>
      <c r="AT45">
        <v>552.48673984173274</v>
      </c>
      <c r="AU45">
        <v>560.31487391786698</v>
      </c>
      <c r="AV45">
        <v>567.61283547398864</v>
      </c>
      <c r="AW45">
        <v>574.29977330715656</v>
      </c>
      <c r="AX45">
        <v>580.34903727192227</v>
      </c>
      <c r="AY45">
        <v>585.90496754773108</v>
      </c>
      <c r="AZ45">
        <v>591.10909639278009</v>
      </c>
      <c r="BA45">
        <v>596.13582843594145</v>
      </c>
      <c r="BB45">
        <v>601.11180692508958</v>
      </c>
    </row>
    <row r="46" spans="3:54" x14ac:dyDescent="0.2">
      <c r="C46" t="s">
        <v>48</v>
      </c>
      <c r="D46" t="s">
        <v>189</v>
      </c>
      <c r="E46" t="s">
        <v>162</v>
      </c>
      <c r="F46">
        <v>44.818140663032587</v>
      </c>
      <c r="G46">
        <v>12.984679416839965</v>
      </c>
      <c r="H46">
        <v>52.277659332123079</v>
      </c>
      <c r="I46">
        <v>33.606719048264253</v>
      </c>
      <c r="J46">
        <v>60.018645667159497</v>
      </c>
      <c r="K46">
        <v>76.445290060535413</v>
      </c>
      <c r="L46">
        <v>79.643901065654788</v>
      </c>
      <c r="M46">
        <v>96.298724331376434</v>
      </c>
      <c r="N46">
        <v>93.646294714971134</v>
      </c>
      <c r="O46">
        <v>105.16704782492576</v>
      </c>
      <c r="P46">
        <v>105.35319408932108</v>
      </c>
      <c r="Q46">
        <v>105.51668756825316</v>
      </c>
      <c r="R46">
        <v>106.07816191716994</v>
      </c>
      <c r="S46">
        <v>102.75320547795172</v>
      </c>
      <c r="T46">
        <v>104.49005579824356</v>
      </c>
      <c r="U46">
        <v>103.98364734916063</v>
      </c>
      <c r="V46">
        <v>106.66887121932767</v>
      </c>
      <c r="W46">
        <v>109.73650326673921</v>
      </c>
      <c r="X46">
        <v>112.79670176764846</v>
      </c>
      <c r="Y46">
        <v>116.51025467213353</v>
      </c>
      <c r="Z46">
        <v>118.53298801827518</v>
      </c>
      <c r="AA46">
        <v>120.45782118320599</v>
      </c>
      <c r="AB46">
        <v>121.17709090256629</v>
      </c>
      <c r="AC46">
        <v>121.52038851712223</v>
      </c>
      <c r="AD46">
        <v>121.75702999272181</v>
      </c>
      <c r="AE46">
        <v>121.85348243570651</v>
      </c>
      <c r="AF46">
        <v>122.42424268142325</v>
      </c>
      <c r="AG46">
        <v>123.141349617599</v>
      </c>
      <c r="AH46">
        <v>124.24885506794777</v>
      </c>
      <c r="AI46">
        <v>125.51846518444664</v>
      </c>
      <c r="AJ46">
        <v>126.82712373183219</v>
      </c>
      <c r="AK46">
        <v>128.12078649217031</v>
      </c>
      <c r="AL46">
        <v>129.20578691487631</v>
      </c>
      <c r="AM46">
        <v>130.1243067954108</v>
      </c>
      <c r="AN46">
        <v>130.81566846837649</v>
      </c>
      <c r="AO46">
        <v>131.35317615465243</v>
      </c>
      <c r="AP46">
        <v>131.80570375343535</v>
      </c>
      <c r="AQ46">
        <v>132.23080201139132</v>
      </c>
      <c r="AR46">
        <v>132.70993498265804</v>
      </c>
      <c r="AS46">
        <v>133.25366813320596</v>
      </c>
      <c r="AT46">
        <v>133.87685258546057</v>
      </c>
      <c r="AU46">
        <v>134.5487179173968</v>
      </c>
      <c r="AV46">
        <v>135.23144508296045</v>
      </c>
      <c r="AW46">
        <v>135.89009305561876</v>
      </c>
      <c r="AX46">
        <v>136.4904153154051</v>
      </c>
      <c r="AY46">
        <v>137.02346350777853</v>
      </c>
      <c r="AZ46">
        <v>137.4881260709904</v>
      </c>
      <c r="BA46">
        <v>137.89994787007353</v>
      </c>
      <c r="BB46">
        <v>138.27903144728145</v>
      </c>
    </row>
    <row r="47" spans="3:54" x14ac:dyDescent="0.2">
      <c r="C47" t="s">
        <v>49</v>
      </c>
      <c r="D47" t="s">
        <v>190</v>
      </c>
      <c r="E47" t="s">
        <v>162</v>
      </c>
      <c r="F47">
        <v>-93.518559338753576</v>
      </c>
      <c r="G47">
        <v>-39.556370844736577</v>
      </c>
      <c r="H47">
        <v>189.28649315304696</v>
      </c>
      <c r="I47">
        <v>204.19732916925648</v>
      </c>
      <c r="J47">
        <v>325.37413840958982</v>
      </c>
      <c r="K47">
        <v>391.44721502648991</v>
      </c>
      <c r="L47">
        <v>418.6766585616881</v>
      </c>
      <c r="M47">
        <v>400.45877669369725</v>
      </c>
      <c r="N47">
        <v>338.46141681049119</v>
      </c>
      <c r="O47">
        <v>344.78514312329219</v>
      </c>
      <c r="P47">
        <v>358.29285899987019</v>
      </c>
      <c r="Q47">
        <v>389.61040751181133</v>
      </c>
      <c r="R47">
        <v>402.84488479410464</v>
      </c>
      <c r="S47">
        <v>394.91276582793512</v>
      </c>
      <c r="T47">
        <v>382.88743979792974</v>
      </c>
      <c r="U47">
        <v>357.45222678977728</v>
      </c>
      <c r="V47">
        <v>338.12112807932363</v>
      </c>
      <c r="W47">
        <v>322.14900652659537</v>
      </c>
      <c r="X47">
        <v>316.5850493901587</v>
      </c>
      <c r="Y47">
        <v>320.64925335106847</v>
      </c>
      <c r="Z47">
        <v>327.52390217810927</v>
      </c>
      <c r="AA47">
        <v>336.25781119511942</v>
      </c>
      <c r="AB47">
        <v>340.78709694327728</v>
      </c>
      <c r="AC47">
        <v>341.82237242712603</v>
      </c>
      <c r="AD47">
        <v>338.63200948518579</v>
      </c>
      <c r="AE47">
        <v>332.196758174867</v>
      </c>
      <c r="AF47">
        <v>324.71082945075318</v>
      </c>
      <c r="AG47">
        <v>316.95208550765284</v>
      </c>
      <c r="AH47">
        <v>310.79536587347371</v>
      </c>
      <c r="AI47">
        <v>306.39759654949449</v>
      </c>
      <c r="AJ47">
        <v>304.00664889761009</v>
      </c>
      <c r="AK47">
        <v>303.27924147026761</v>
      </c>
      <c r="AL47">
        <v>303.43372061570943</v>
      </c>
      <c r="AM47">
        <v>303.9184654912649</v>
      </c>
      <c r="AN47">
        <v>303.92295378219745</v>
      </c>
      <c r="AO47">
        <v>303.124234232476</v>
      </c>
      <c r="AP47">
        <v>301.35400645077027</v>
      </c>
      <c r="AQ47">
        <v>298.7626980799057</v>
      </c>
      <c r="AR47">
        <v>295.73465213862426</v>
      </c>
      <c r="AS47">
        <v>292.64862231957068</v>
      </c>
      <c r="AT47">
        <v>289.90809340353178</v>
      </c>
      <c r="AU47">
        <v>287.71690796002088</v>
      </c>
      <c r="AV47">
        <v>286.13753205208349</v>
      </c>
      <c r="AW47">
        <v>285.07099099079812</v>
      </c>
      <c r="AX47">
        <v>284.31324745502201</v>
      </c>
      <c r="AY47">
        <v>283.65248269174799</v>
      </c>
      <c r="AZ47">
        <v>282.89544382864057</v>
      </c>
      <c r="BA47">
        <v>281.93669055579909</v>
      </c>
      <c r="BB47">
        <v>280.74843543776944</v>
      </c>
    </row>
    <row r="48" spans="3:54" x14ac:dyDescent="0.2">
      <c r="C48" t="s">
        <v>50</v>
      </c>
      <c r="D48" t="s">
        <v>191</v>
      </c>
      <c r="E48" t="s">
        <v>162</v>
      </c>
      <c r="F48">
        <v>55.236596859756155</v>
      </c>
      <c r="G48">
        <v>-71.696283359689019</v>
      </c>
      <c r="H48">
        <v>41.460761881470013</v>
      </c>
      <c r="I48">
        <v>-33.723535022949662</v>
      </c>
      <c r="J48">
        <v>48.719518080453405</v>
      </c>
      <c r="K48">
        <v>95.670231999898121</v>
      </c>
      <c r="L48">
        <v>116.78705251953257</v>
      </c>
      <c r="M48">
        <v>171.5048528368927</v>
      </c>
      <c r="N48">
        <v>167.10876360836713</v>
      </c>
      <c r="O48">
        <v>206.94980576263291</v>
      </c>
      <c r="P48">
        <v>212.97603527765514</v>
      </c>
      <c r="Q48">
        <v>223.94380300223608</v>
      </c>
      <c r="R48">
        <v>234.99318317614276</v>
      </c>
      <c r="S48">
        <v>235.01277313826319</v>
      </c>
      <c r="T48">
        <v>248.29969705317956</v>
      </c>
      <c r="U48">
        <v>252.33590914464753</v>
      </c>
      <c r="V48">
        <v>264.27395121216387</v>
      </c>
      <c r="W48">
        <v>275.09802328799191</v>
      </c>
      <c r="X48">
        <v>285.64109351483359</v>
      </c>
      <c r="Y48">
        <v>298.04697816172558</v>
      </c>
      <c r="Z48">
        <v>306.15467317818633</v>
      </c>
      <c r="AA48">
        <v>314.89233630643145</v>
      </c>
      <c r="AB48">
        <v>320.58954075615736</v>
      </c>
      <c r="AC48">
        <v>325.69891160669505</v>
      </c>
      <c r="AD48">
        <v>330.43515143492317</v>
      </c>
      <c r="AE48">
        <v>334.55233238224582</v>
      </c>
      <c r="AF48">
        <v>339.61049919180664</v>
      </c>
      <c r="AG48">
        <v>344.5382655083157</v>
      </c>
      <c r="AH48">
        <v>350.14494083918447</v>
      </c>
      <c r="AI48">
        <v>355.80352880163963</v>
      </c>
      <c r="AJ48">
        <v>361.37027645321837</v>
      </c>
      <c r="AK48">
        <v>366.82340216460358</v>
      </c>
      <c r="AL48">
        <v>371.74216066608989</v>
      </c>
      <c r="AM48">
        <v>376.33349511949729</v>
      </c>
      <c r="AN48">
        <v>380.40937701066957</v>
      </c>
      <c r="AO48">
        <v>384.14409177175338</v>
      </c>
      <c r="AP48">
        <v>387.63447213788288</v>
      </c>
      <c r="AQ48">
        <v>390.96043397001881</v>
      </c>
      <c r="AR48">
        <v>394.28631257496863</v>
      </c>
      <c r="AS48">
        <v>397.60853622192303</v>
      </c>
      <c r="AT48">
        <v>400.9821171585013</v>
      </c>
      <c r="AU48">
        <v>404.35200485665263</v>
      </c>
      <c r="AV48">
        <v>407.66347929608963</v>
      </c>
      <c r="AW48">
        <v>410.86360489007541</v>
      </c>
      <c r="AX48">
        <v>413.88941569360043</v>
      </c>
      <c r="AY48">
        <v>416.73233493476647</v>
      </c>
      <c r="AZ48">
        <v>419.38663985454315</v>
      </c>
      <c r="BA48">
        <v>421.88324972762422</v>
      </c>
      <c r="BB48">
        <v>424.25826496950594</v>
      </c>
    </row>
    <row r="49" spans="3:54" x14ac:dyDescent="0.2">
      <c r="C49" t="s">
        <v>51</v>
      </c>
      <c r="D49" t="s">
        <v>192</v>
      </c>
      <c r="E49" t="s">
        <v>162</v>
      </c>
      <c r="F49">
        <v>-154.42294874486751</v>
      </c>
      <c r="G49">
        <v>-537.4238039765462</v>
      </c>
      <c r="H49">
        <v>-749.75971474455059</v>
      </c>
      <c r="I49">
        <v>-961.10250818203883</v>
      </c>
      <c r="J49">
        <v>-562.00774034212247</v>
      </c>
      <c r="K49">
        <v>-159.82516045980324</v>
      </c>
      <c r="L49">
        <v>-126.66356526076213</v>
      </c>
      <c r="M49">
        <v>-148.21765365330174</v>
      </c>
      <c r="N49">
        <v>-208.09004715332793</v>
      </c>
      <c r="O49">
        <v>-154.52399780783384</v>
      </c>
      <c r="P49">
        <v>-167.72681678493066</v>
      </c>
      <c r="Q49">
        <v>-221.57269889896386</v>
      </c>
      <c r="R49">
        <v>-247.93402835482067</v>
      </c>
      <c r="S49">
        <v>-262.74465122926688</v>
      </c>
      <c r="T49">
        <v>-235.93700099723875</v>
      </c>
      <c r="U49">
        <v>-217.6494769685217</v>
      </c>
      <c r="V49">
        <v>-188.36174511636892</v>
      </c>
      <c r="W49">
        <v>-154.73074179767681</v>
      </c>
      <c r="X49">
        <v>-126.57969161456442</v>
      </c>
      <c r="Y49">
        <v>-102.33995195681157</v>
      </c>
      <c r="Z49">
        <v>-94.603239939865475</v>
      </c>
      <c r="AA49">
        <v>-92.560518411463804</v>
      </c>
      <c r="AB49">
        <v>-96.409828449777336</v>
      </c>
      <c r="AC49">
        <v>-100.73581223998167</v>
      </c>
      <c r="AD49">
        <v>-101.80992181023225</v>
      </c>
      <c r="AE49">
        <v>-99.92330982973283</v>
      </c>
      <c r="AF49">
        <v>-92.291434880185861</v>
      </c>
      <c r="AG49">
        <v>-81.686360571883796</v>
      </c>
      <c r="AH49">
        <v>-68.882217687188458</v>
      </c>
      <c r="AI49">
        <v>-56.15501177075452</v>
      </c>
      <c r="AJ49">
        <v>-45.181566287794951</v>
      </c>
      <c r="AK49">
        <v>-36.28022230005687</v>
      </c>
      <c r="AL49">
        <v>-30.140339635289262</v>
      </c>
      <c r="AM49">
        <v>-25.971500280512231</v>
      </c>
      <c r="AN49">
        <v>-23.2672942763101</v>
      </c>
      <c r="AO49">
        <v>-21.057888647064448</v>
      </c>
      <c r="AP49">
        <v>-18.487941742629285</v>
      </c>
      <c r="AQ49">
        <v>-15.130737680715118</v>
      </c>
      <c r="AR49">
        <v>-10.67446472332788</v>
      </c>
      <c r="AS49">
        <v>-5.3523951339382823</v>
      </c>
      <c r="AT49">
        <v>0.5111752468569063</v>
      </c>
      <c r="AU49">
        <v>6.4149655909304153</v>
      </c>
      <c r="AV49">
        <v>11.898892133416876</v>
      </c>
      <c r="AW49">
        <v>16.68891576406585</v>
      </c>
      <c r="AX49">
        <v>20.659694656659116</v>
      </c>
      <c r="AY49">
        <v>23.925165457988463</v>
      </c>
      <c r="AZ49">
        <v>26.69517125500326</v>
      </c>
      <c r="BA49">
        <v>29.242759218458318</v>
      </c>
      <c r="BB49">
        <v>31.809732938098332</v>
      </c>
    </row>
    <row r="50" spans="3:54" x14ac:dyDescent="0.2">
      <c r="C50" t="s">
        <v>52</v>
      </c>
      <c r="D50" t="s">
        <v>193</v>
      </c>
      <c r="E50" t="s">
        <v>162</v>
      </c>
      <c r="F50">
        <v>866.66770598195626</v>
      </c>
      <c r="G50">
        <v>50.853460027153403</v>
      </c>
      <c r="H50">
        <v>965.30743735093142</v>
      </c>
      <c r="I50">
        <v>476.29424691899897</v>
      </c>
      <c r="J50">
        <v>849.72267207508298</v>
      </c>
      <c r="K50">
        <v>1348.9114160443582</v>
      </c>
      <c r="L50">
        <v>1430.8622993821818</v>
      </c>
      <c r="M50">
        <v>1813.1170515300021</v>
      </c>
      <c r="N50">
        <v>1707.2358527674824</v>
      </c>
      <c r="O50">
        <v>1914.61485562352</v>
      </c>
      <c r="P50">
        <v>1957.0488012434457</v>
      </c>
      <c r="Q50">
        <v>1969.6390523497096</v>
      </c>
      <c r="R50">
        <v>2037.0040184352072</v>
      </c>
      <c r="S50">
        <v>2005.6286780998375</v>
      </c>
      <c r="T50">
        <v>2090.3784554974295</v>
      </c>
      <c r="U50">
        <v>2121.049122772059</v>
      </c>
      <c r="V50">
        <v>2194.5577196266449</v>
      </c>
      <c r="W50">
        <v>2271.4775864014437</v>
      </c>
      <c r="X50">
        <v>2329.6013428226856</v>
      </c>
      <c r="Y50">
        <v>2403.0584141150202</v>
      </c>
      <c r="Z50">
        <v>2440.2984252664805</v>
      </c>
      <c r="AA50">
        <v>2479.874528446559</v>
      </c>
      <c r="AB50">
        <v>2502.9316598634487</v>
      </c>
      <c r="AC50">
        <v>2522.2739475042872</v>
      </c>
      <c r="AD50">
        <v>2545.8445721533885</v>
      </c>
      <c r="AE50">
        <v>2566.7217096532531</v>
      </c>
      <c r="AF50">
        <v>2596.6439155428257</v>
      </c>
      <c r="AG50">
        <v>2626.4551372029937</v>
      </c>
      <c r="AH50">
        <v>2659.8856769529871</v>
      </c>
      <c r="AI50">
        <v>2693.4388069669917</v>
      </c>
      <c r="AJ50">
        <v>2724.6329951580906</v>
      </c>
      <c r="AK50">
        <v>2754.5518786709354</v>
      </c>
      <c r="AL50">
        <v>2780.1806939631101</v>
      </c>
      <c r="AM50">
        <v>2803.4950602013928</v>
      </c>
      <c r="AN50">
        <v>2823.8054793940296</v>
      </c>
      <c r="AO50">
        <v>2842.3045371503063</v>
      </c>
      <c r="AP50">
        <v>2860.1389088926558</v>
      </c>
      <c r="AQ50">
        <v>2877.6267937669486</v>
      </c>
      <c r="AR50">
        <v>2895.8574317731118</v>
      </c>
      <c r="AS50">
        <v>2914.5191215395284</v>
      </c>
      <c r="AT50">
        <v>2933.6517618803882</v>
      </c>
      <c r="AU50">
        <v>2952.7087030464963</v>
      </c>
      <c r="AV50">
        <v>2971.1106728704203</v>
      </c>
      <c r="AW50">
        <v>2988.542012422603</v>
      </c>
      <c r="AX50">
        <v>3004.6449646849665</v>
      </c>
      <c r="AY50">
        <v>3019.5234354137601</v>
      </c>
      <c r="AZ50">
        <v>3033.3063860738157</v>
      </c>
      <c r="BA50">
        <v>3046.3018891828219</v>
      </c>
      <c r="BB50">
        <v>3058.8189420607528</v>
      </c>
    </row>
    <row r="51" spans="3:54" x14ac:dyDescent="0.2">
      <c r="C51" t="s">
        <v>53</v>
      </c>
      <c r="D51" t="s">
        <v>163</v>
      </c>
      <c r="E51" t="s">
        <v>162</v>
      </c>
      <c r="F51">
        <v>13.153710662525505</v>
      </c>
      <c r="G51">
        <v>-9.6725407212655981</v>
      </c>
      <c r="H51">
        <v>4.9444056957278395</v>
      </c>
      <c r="I51">
        <v>-7.935783606312504</v>
      </c>
      <c r="J51">
        <v>0.7199462787613754</v>
      </c>
      <c r="K51">
        <v>-3.3692333793354212</v>
      </c>
      <c r="L51">
        <v>2.0663303400952713</v>
      </c>
      <c r="M51">
        <v>3.1614388422812554</v>
      </c>
      <c r="N51">
        <v>0.12755710747657753</v>
      </c>
      <c r="O51">
        <v>1.2221873489208757</v>
      </c>
      <c r="P51">
        <v>9.4945936822734452E-3</v>
      </c>
      <c r="Q51">
        <v>1.6221709284300452</v>
      </c>
      <c r="R51">
        <v>1.3157376346080218</v>
      </c>
      <c r="S51">
        <v>1.0757394681323549</v>
      </c>
      <c r="T51">
        <v>1.7031837382089337</v>
      </c>
      <c r="U51">
        <v>1.6322205588187282</v>
      </c>
      <c r="V51">
        <v>2.3822994686266785</v>
      </c>
      <c r="W51">
        <v>2.3955689896533379</v>
      </c>
      <c r="X51">
        <v>2.689049225124716</v>
      </c>
      <c r="Y51">
        <v>2.9251252017354981</v>
      </c>
      <c r="Z51">
        <v>2.9921274867622532</v>
      </c>
      <c r="AA51">
        <v>3.206562757084773</v>
      </c>
      <c r="AB51">
        <v>3.190383721688129</v>
      </c>
      <c r="AC51">
        <v>3.3216945980619612</v>
      </c>
      <c r="AD51">
        <v>3.407527442360895</v>
      </c>
      <c r="AE51">
        <v>3.5297403865099266</v>
      </c>
      <c r="AF51">
        <v>3.7010354539161545</v>
      </c>
      <c r="AG51">
        <v>3.8354213562552872</v>
      </c>
      <c r="AH51">
        <v>4.0152759957773458</v>
      </c>
      <c r="AI51">
        <v>4.1528486566886142</v>
      </c>
      <c r="AJ51">
        <v>4.2892455845932149</v>
      </c>
      <c r="AK51">
        <v>4.4047687178272907</v>
      </c>
      <c r="AL51">
        <v>4.4976826494617219</v>
      </c>
      <c r="AM51">
        <v>4.591029688609428</v>
      </c>
      <c r="AN51">
        <v>4.6687841388615023</v>
      </c>
      <c r="AO51">
        <v>4.752687372954612</v>
      </c>
      <c r="AP51">
        <v>4.8346526486486265</v>
      </c>
      <c r="AQ51">
        <v>4.9200193772304166</v>
      </c>
      <c r="AR51">
        <v>5.0096587099120393</v>
      </c>
      <c r="AS51">
        <v>5.097828369628127</v>
      </c>
      <c r="AT51">
        <v>5.1870811504116947</v>
      </c>
      <c r="AU51">
        <v>5.2711425373993483</v>
      </c>
      <c r="AV51">
        <v>5.3507600510128075</v>
      </c>
      <c r="AW51">
        <v>5.4241912853668328</v>
      </c>
      <c r="AX51">
        <v>5.4913073497805946</v>
      </c>
      <c r="AY51">
        <v>5.5540790784067928</v>
      </c>
      <c r="AZ51">
        <v>5.6129001255397668</v>
      </c>
      <c r="BA51">
        <v>5.6701916203474623</v>
      </c>
      <c r="BB51">
        <v>5.7265234459740277</v>
      </c>
    </row>
    <row r="52" spans="3:54" x14ac:dyDescent="0.2">
      <c r="C52" t="s">
        <v>54</v>
      </c>
      <c r="D52" t="s">
        <v>164</v>
      </c>
      <c r="E52" t="s">
        <v>162</v>
      </c>
      <c r="F52">
        <v>16.64451552656714</v>
      </c>
      <c r="G52">
        <v>28.527339124926463</v>
      </c>
      <c r="H52">
        <v>24.716755669072562</v>
      </c>
      <c r="I52">
        <v>24.047803421051334</v>
      </c>
      <c r="J52">
        <v>16.664736461068451</v>
      </c>
      <c r="K52">
        <v>8.0567195427289118</v>
      </c>
      <c r="L52">
        <v>6.9145796435094038</v>
      </c>
      <c r="M52">
        <v>0.85370207339905191</v>
      </c>
      <c r="N52">
        <v>0.76985354747279666</v>
      </c>
      <c r="O52">
        <v>-2.2472653755135541</v>
      </c>
      <c r="P52">
        <v>-4.3987152005246086</v>
      </c>
      <c r="Q52">
        <v>-6.1021433632821003</v>
      </c>
      <c r="R52">
        <v>-8.1759402368247063</v>
      </c>
      <c r="S52">
        <v>-8.0310813728197754</v>
      </c>
      <c r="T52">
        <v>-8.5853949297381487</v>
      </c>
      <c r="U52">
        <v>-8.2620464208686215</v>
      </c>
      <c r="V52">
        <v>-8.0359881813096656</v>
      </c>
      <c r="W52">
        <v>-7.7656065364320845</v>
      </c>
      <c r="X52">
        <v>-7.2007760948816699</v>
      </c>
      <c r="Y52">
        <v>-6.9845431174249333</v>
      </c>
      <c r="Z52">
        <v>-6.5156089744080781</v>
      </c>
      <c r="AA52">
        <v>-6.147284714441577</v>
      </c>
      <c r="AB52">
        <v>-5.6222524942147478</v>
      </c>
      <c r="AC52">
        <v>-4.9649894229978049</v>
      </c>
      <c r="AD52">
        <v>-4.262433689062342</v>
      </c>
      <c r="AE52">
        <v>-3.3950523700276802</v>
      </c>
      <c r="AF52">
        <v>-2.5177086951264993</v>
      </c>
      <c r="AG52">
        <v>-1.567166695625698</v>
      </c>
      <c r="AH52">
        <v>-0.62265379138930266</v>
      </c>
      <c r="AI52">
        <v>0.30047668437120534</v>
      </c>
      <c r="AJ52">
        <v>1.2084315550422717</v>
      </c>
      <c r="AK52">
        <v>2.0666728690264575</v>
      </c>
      <c r="AL52">
        <v>2.9084399098292586</v>
      </c>
      <c r="AM52">
        <v>3.7207002625224597</v>
      </c>
      <c r="AN52">
        <v>4.5247565276762547</v>
      </c>
      <c r="AO52">
        <v>5.3277635235280156</v>
      </c>
      <c r="AP52">
        <v>6.129718002830959</v>
      </c>
      <c r="AQ52">
        <v>6.9369049168032504</v>
      </c>
      <c r="AR52">
        <v>7.737348512537066</v>
      </c>
      <c r="AS52">
        <v>8.5282494175341803</v>
      </c>
      <c r="AT52">
        <v>9.2992434315724157</v>
      </c>
      <c r="AU52">
        <v>10.044508414524209</v>
      </c>
      <c r="AV52">
        <v>10.761856377770101</v>
      </c>
      <c r="AW52">
        <v>11.449561385785106</v>
      </c>
      <c r="AX52">
        <v>12.111516503199736</v>
      </c>
      <c r="AY52">
        <v>12.75025894861704</v>
      </c>
      <c r="AZ52">
        <v>13.370092239270415</v>
      </c>
      <c r="BA52">
        <v>13.973882667875104</v>
      </c>
      <c r="BB52">
        <v>14.563024540184641</v>
      </c>
    </row>
    <row r="53" spans="3:54" x14ac:dyDescent="0.2">
      <c r="C53" t="s">
        <v>55</v>
      </c>
      <c r="D53" t="s">
        <v>165</v>
      </c>
      <c r="E53" t="s">
        <v>162</v>
      </c>
      <c r="F53">
        <v>167.3547411485585</v>
      </c>
      <c r="G53">
        <v>-135.63837967000086</v>
      </c>
      <c r="H53">
        <v>-417.26963233331077</v>
      </c>
      <c r="I53">
        <v>-1392.6362995825275</v>
      </c>
      <c r="J53">
        <v>-1335.2628539423004</v>
      </c>
      <c r="K53">
        <v>-247.13779660108275</v>
      </c>
      <c r="L53">
        <v>93.937393398292613</v>
      </c>
      <c r="M53">
        <v>26.864191690223169</v>
      </c>
      <c r="N53">
        <v>-278.32979670473031</v>
      </c>
      <c r="O53">
        <v>-228.207385854953</v>
      </c>
      <c r="P53">
        <v>-89.746604554778031</v>
      </c>
      <c r="Q53">
        <v>-138.41632631041162</v>
      </c>
      <c r="R53">
        <v>-188.07265391563368</v>
      </c>
      <c r="S53">
        <v>-245.84014247833187</v>
      </c>
      <c r="T53">
        <v>-186.96059522300973</v>
      </c>
      <c r="U53">
        <v>-120.01589708964222</v>
      </c>
      <c r="V53">
        <v>-63.164930301632992</v>
      </c>
      <c r="W53">
        <v>2.1673332471645126</v>
      </c>
      <c r="X53">
        <v>50.478945551575102</v>
      </c>
      <c r="Y53">
        <v>103.98911977671511</v>
      </c>
      <c r="Z53">
        <v>129.5297722935907</v>
      </c>
      <c r="AA53">
        <v>141.1295517368643</v>
      </c>
      <c r="AB53">
        <v>144.81362661823869</v>
      </c>
      <c r="AC53">
        <v>145.30584782558981</v>
      </c>
      <c r="AD53">
        <v>153.76104307714607</v>
      </c>
      <c r="AE53">
        <v>164.73123895764988</v>
      </c>
      <c r="AF53">
        <v>184.11714344830781</v>
      </c>
      <c r="AG53">
        <v>208.27374691796933</v>
      </c>
      <c r="AH53">
        <v>235.50734587275713</v>
      </c>
      <c r="AI53">
        <v>263.55880585524756</v>
      </c>
      <c r="AJ53">
        <v>288.2270203466025</v>
      </c>
      <c r="AK53">
        <v>309.67785881740349</v>
      </c>
      <c r="AL53">
        <v>326.36144688692423</v>
      </c>
      <c r="AM53">
        <v>339.44568675142295</v>
      </c>
      <c r="AN53">
        <v>349.91856336141456</v>
      </c>
      <c r="AO53">
        <v>359.03928571654444</v>
      </c>
      <c r="AP53">
        <v>368.57154872222776</v>
      </c>
      <c r="AQ53">
        <v>379.11833959350935</v>
      </c>
      <c r="AR53">
        <v>391.31888835184895</v>
      </c>
      <c r="AS53">
        <v>404.81194300519564</v>
      </c>
      <c r="AT53">
        <v>419.01045660000273</v>
      </c>
      <c r="AU53">
        <v>433.17235016793956</v>
      </c>
      <c r="AV53">
        <v>446.48522686526326</v>
      </c>
      <c r="AW53">
        <v>458.54524096488342</v>
      </c>
      <c r="AX53">
        <v>469.12811235795567</v>
      </c>
      <c r="AY53">
        <v>478.41289358896472</v>
      </c>
      <c r="AZ53">
        <v>486.74805133702688</v>
      </c>
      <c r="BA53">
        <v>494.5554299402171</v>
      </c>
      <c r="BB53">
        <v>502.24297364481134</v>
      </c>
    </row>
    <row r="54" spans="3:54" x14ac:dyDescent="0.2">
      <c r="C54" t="s">
        <v>56</v>
      </c>
      <c r="D54" t="s">
        <v>202</v>
      </c>
      <c r="E54" t="s">
        <v>162</v>
      </c>
      <c r="F54">
        <v>4.0218121649023644</v>
      </c>
      <c r="G54">
        <v>1.5134030237365743</v>
      </c>
      <c r="H54">
        <v>4.0627243903858163</v>
      </c>
      <c r="I54">
        <v>3.0687700182570947</v>
      </c>
      <c r="J54">
        <v>1.7435130413738027</v>
      </c>
      <c r="K54">
        <v>4.8037948801006909</v>
      </c>
      <c r="L54">
        <v>9.296091289559504</v>
      </c>
      <c r="M54">
        <v>13.345043505468402</v>
      </c>
      <c r="N54">
        <v>14.602328553735306</v>
      </c>
      <c r="O54">
        <v>15.212239976182021</v>
      </c>
      <c r="P54">
        <v>16.269751945631167</v>
      </c>
      <c r="Q54">
        <v>16.885321031499103</v>
      </c>
      <c r="R54">
        <v>16.994540152500583</v>
      </c>
      <c r="S54">
        <v>16.457502988781393</v>
      </c>
      <c r="T54">
        <v>16.16436315234964</v>
      </c>
      <c r="U54">
        <v>16.261863237873108</v>
      </c>
      <c r="V54">
        <v>16.671624819486428</v>
      </c>
      <c r="W54">
        <v>17.368660868072105</v>
      </c>
      <c r="X54">
        <v>18.16857314792237</v>
      </c>
      <c r="Y54">
        <v>19.073905332931279</v>
      </c>
      <c r="Z54">
        <v>19.882625791280255</v>
      </c>
      <c r="AA54">
        <v>20.508414807281941</v>
      </c>
      <c r="AB54">
        <v>20.922339232655528</v>
      </c>
      <c r="AC54">
        <v>21.144921618157035</v>
      </c>
      <c r="AD54">
        <v>21.275398274527909</v>
      </c>
      <c r="AE54">
        <v>21.364862087200311</v>
      </c>
      <c r="AF54">
        <v>21.487676756474645</v>
      </c>
      <c r="AG54">
        <v>21.677001300318235</v>
      </c>
      <c r="AH54">
        <v>21.945090566256564</v>
      </c>
      <c r="AI54">
        <v>22.284383809620298</v>
      </c>
      <c r="AJ54">
        <v>22.659621843066468</v>
      </c>
      <c r="AK54">
        <v>23.04130593560469</v>
      </c>
      <c r="AL54">
        <v>23.395860674845974</v>
      </c>
      <c r="AM54">
        <v>23.704293112309138</v>
      </c>
      <c r="AN54">
        <v>23.958863652091352</v>
      </c>
      <c r="AO54">
        <v>24.162671047585796</v>
      </c>
      <c r="AP54">
        <v>24.330653959427298</v>
      </c>
      <c r="AQ54">
        <v>24.479865498468399</v>
      </c>
      <c r="AR54">
        <v>24.628616053369452</v>
      </c>
      <c r="AS54">
        <v>24.789272208940428</v>
      </c>
      <c r="AT54">
        <v>24.967298612745477</v>
      </c>
      <c r="AU54">
        <v>25.16128916088114</v>
      </c>
      <c r="AV54">
        <v>25.36388768051</v>
      </c>
      <c r="AW54">
        <v>25.56579481632679</v>
      </c>
      <c r="AX54">
        <v>25.757767553157361</v>
      </c>
      <c r="AY54">
        <v>25.933596075012684</v>
      </c>
      <c r="AZ54">
        <v>26.090922311663174</v>
      </c>
      <c r="BA54">
        <v>26.231072473433507</v>
      </c>
      <c r="BB54">
        <v>26.358171749284843</v>
      </c>
    </row>
    <row r="55" spans="3:54" x14ac:dyDescent="0.2">
      <c r="C55" t="s">
        <v>57</v>
      </c>
      <c r="D55" t="s">
        <v>203</v>
      </c>
      <c r="E55" t="s">
        <v>162</v>
      </c>
      <c r="F55">
        <v>36.060480352518482</v>
      </c>
      <c r="G55">
        <v>-28.64891292891415</v>
      </c>
      <c r="H55">
        <v>18.346131776902467</v>
      </c>
      <c r="I55">
        <v>-60.904175821125655</v>
      </c>
      <c r="J55">
        <v>-0.80786549190660983</v>
      </c>
      <c r="K55">
        <v>32.079662609702055</v>
      </c>
      <c r="L55">
        <v>23.747159753524425</v>
      </c>
      <c r="M55">
        <v>43.432846619932185</v>
      </c>
      <c r="N55">
        <v>26.463325935184745</v>
      </c>
      <c r="O55">
        <v>47.922045332695127</v>
      </c>
      <c r="P55">
        <v>43.540072331966257</v>
      </c>
      <c r="Q55">
        <v>41.734429479160866</v>
      </c>
      <c r="R55">
        <v>43.940271225319059</v>
      </c>
      <c r="S55">
        <v>39.798253611148382</v>
      </c>
      <c r="T55">
        <v>47.374776048799454</v>
      </c>
      <c r="U55">
        <v>47.779921991652941</v>
      </c>
      <c r="V55">
        <v>53.500428624745737</v>
      </c>
      <c r="W55">
        <v>58.166522619570664</v>
      </c>
      <c r="X55">
        <v>61.939233314287577</v>
      </c>
      <c r="Y55">
        <v>67.034446180844583</v>
      </c>
      <c r="Z55">
        <v>68.795244517264962</v>
      </c>
      <c r="AA55">
        <v>71.435071348806005</v>
      </c>
      <c r="AB55">
        <v>72.420027150006931</v>
      </c>
      <c r="AC55">
        <v>73.505002395024093</v>
      </c>
      <c r="AD55">
        <v>74.832129058848537</v>
      </c>
      <c r="AE55">
        <v>75.93724461966832</v>
      </c>
      <c r="AF55">
        <v>77.916906404174313</v>
      </c>
      <c r="AG55">
        <v>79.812982523305294</v>
      </c>
      <c r="AH55">
        <v>82.149781572057137</v>
      </c>
      <c r="AI55">
        <v>84.442606295243905</v>
      </c>
      <c r="AJ55">
        <v>86.569459587220351</v>
      </c>
      <c r="AK55">
        <v>88.585332877412029</v>
      </c>
      <c r="AL55">
        <v>90.218429909364872</v>
      </c>
      <c r="AM55">
        <v>91.692582253312509</v>
      </c>
      <c r="AN55">
        <v>92.915476623336033</v>
      </c>
      <c r="AO55">
        <v>94.039182676752318</v>
      </c>
      <c r="AP55">
        <v>95.14033971146641</v>
      </c>
      <c r="AQ55">
        <v>96.24532908095523</v>
      </c>
      <c r="AR55">
        <v>97.438401244163586</v>
      </c>
      <c r="AS55">
        <v>98.670912774585659</v>
      </c>
      <c r="AT55">
        <v>99.950370073254334</v>
      </c>
      <c r="AU55">
        <v>101.22008703186476</v>
      </c>
      <c r="AV55">
        <v>102.43903747839653</v>
      </c>
      <c r="AW55">
        <v>103.58376570779161</v>
      </c>
      <c r="AX55">
        <v>104.62725070814062</v>
      </c>
      <c r="AY55">
        <v>105.58321796038136</v>
      </c>
      <c r="AZ55">
        <v>106.4605071219312</v>
      </c>
      <c r="BA55">
        <v>107.28631734841359</v>
      </c>
      <c r="BB55">
        <v>108.08412491992971</v>
      </c>
    </row>
    <row r="56" spans="3:54" x14ac:dyDescent="0.2">
      <c r="C56" t="s">
        <v>58</v>
      </c>
      <c r="D56" t="s">
        <v>204</v>
      </c>
      <c r="E56" t="s">
        <v>162</v>
      </c>
      <c r="F56">
        <v>22.489669555692583</v>
      </c>
      <c r="G56">
        <v>20.988753244665119</v>
      </c>
      <c r="H56">
        <v>186.68615656650351</v>
      </c>
      <c r="I56">
        <v>-39.784688418915238</v>
      </c>
      <c r="J56">
        <v>44.415811339108622</v>
      </c>
      <c r="K56">
        <v>166.30324676524057</v>
      </c>
      <c r="L56">
        <v>233.66200010292442</v>
      </c>
      <c r="M56">
        <v>292.51891908663271</v>
      </c>
      <c r="N56">
        <v>245.05065059547871</v>
      </c>
      <c r="O56">
        <v>289.14164349629527</v>
      </c>
      <c r="P56">
        <v>295.50876957052975</v>
      </c>
      <c r="Q56">
        <v>302.06929949077761</v>
      </c>
      <c r="R56">
        <v>301.74600190029162</v>
      </c>
      <c r="S56">
        <v>288.1217746757643</v>
      </c>
      <c r="T56">
        <v>304.38440263967794</v>
      </c>
      <c r="U56">
        <v>312.38726624539908</v>
      </c>
      <c r="V56">
        <v>333.95885790316339</v>
      </c>
      <c r="W56">
        <v>353.75088805368989</v>
      </c>
      <c r="X56">
        <v>372.60734041700601</v>
      </c>
      <c r="Y56">
        <v>393.17851015519608</v>
      </c>
      <c r="Z56">
        <v>404.97956631483152</v>
      </c>
      <c r="AA56">
        <v>415.74590922382237</v>
      </c>
      <c r="AB56">
        <v>420.93373350239227</v>
      </c>
      <c r="AC56">
        <v>425.45235947165668</v>
      </c>
      <c r="AD56">
        <v>430.32166976640099</v>
      </c>
      <c r="AE56">
        <v>435.2935630861337</v>
      </c>
      <c r="AF56">
        <v>442.72131085064882</v>
      </c>
      <c r="AG56">
        <v>450.74517097640825</v>
      </c>
      <c r="AH56">
        <v>460.28365951494317</v>
      </c>
      <c r="AI56">
        <v>470.00262812763111</v>
      </c>
      <c r="AJ56">
        <v>479.35443026463139</v>
      </c>
      <c r="AK56">
        <v>488.12785662513824</v>
      </c>
      <c r="AL56">
        <v>495.61820906929142</v>
      </c>
      <c r="AM56">
        <v>502.200839902643</v>
      </c>
      <c r="AN56">
        <v>507.72267445203636</v>
      </c>
      <c r="AO56">
        <v>512.63315643620399</v>
      </c>
      <c r="AP56">
        <v>517.2667820432664</v>
      </c>
      <c r="AQ56">
        <v>521.8785951864844</v>
      </c>
      <c r="AR56">
        <v>526.77616688405089</v>
      </c>
      <c r="AS56">
        <v>531.92458247601348</v>
      </c>
      <c r="AT56">
        <v>537.318817686785</v>
      </c>
      <c r="AU56">
        <v>542.759282051686</v>
      </c>
      <c r="AV56">
        <v>548.05566235594165</v>
      </c>
      <c r="AW56">
        <v>553.0575447954858</v>
      </c>
      <c r="AX56">
        <v>557.64614354603566</v>
      </c>
      <c r="AY56">
        <v>561.83020803047248</v>
      </c>
      <c r="AZ56">
        <v>565.6508549748022</v>
      </c>
      <c r="BA56">
        <v>569.21401180498606</v>
      </c>
      <c r="BB56">
        <v>572.62542773414737</v>
      </c>
    </row>
    <row r="57" spans="3:54" x14ac:dyDescent="0.2">
      <c r="C57" t="s">
        <v>59</v>
      </c>
      <c r="D57" t="s">
        <v>166</v>
      </c>
      <c r="E57" t="s">
        <v>162</v>
      </c>
      <c r="F57">
        <v>-8.7317362166861123</v>
      </c>
      <c r="G57">
        <v>125.67332445648613</v>
      </c>
      <c r="H57">
        <v>224.07991299808342</v>
      </c>
      <c r="I57">
        <v>72.128077677237769</v>
      </c>
      <c r="J57">
        <v>130.08645453129057</v>
      </c>
      <c r="K57">
        <v>103.13247773616057</v>
      </c>
      <c r="L57">
        <v>142.49103919827448</v>
      </c>
      <c r="M57">
        <v>161.06498504755788</v>
      </c>
      <c r="N57">
        <v>146.07413242777881</v>
      </c>
      <c r="O57">
        <v>175.8978600543393</v>
      </c>
      <c r="P57">
        <v>166.83699433376469</v>
      </c>
      <c r="Q57">
        <v>180.04319269787774</v>
      </c>
      <c r="R57">
        <v>170.25144546355241</v>
      </c>
      <c r="S57">
        <v>159.19538921382042</v>
      </c>
      <c r="T57">
        <v>157.18269791739178</v>
      </c>
      <c r="U57">
        <v>149.07324831886245</v>
      </c>
      <c r="V57">
        <v>152.60154544871759</v>
      </c>
      <c r="W57">
        <v>151.78164596927905</v>
      </c>
      <c r="X57">
        <v>156.13905841974582</v>
      </c>
      <c r="Y57">
        <v>160.99355859894933</v>
      </c>
      <c r="Z57">
        <v>163.75990294175114</v>
      </c>
      <c r="AA57">
        <v>167.29326117839628</v>
      </c>
      <c r="AB57">
        <v>167.20166431017523</v>
      </c>
      <c r="AC57">
        <v>167.36577201489908</v>
      </c>
      <c r="AD57">
        <v>166.00971949134492</v>
      </c>
      <c r="AE57">
        <v>164.38851365248146</v>
      </c>
      <c r="AF57">
        <v>163.23746779764713</v>
      </c>
      <c r="AG57">
        <v>162.07232712701725</v>
      </c>
      <c r="AH57">
        <v>162.06483111223889</v>
      </c>
      <c r="AI57">
        <v>162.38472904352645</v>
      </c>
      <c r="AJ57">
        <v>163.35390882873585</v>
      </c>
      <c r="AK57">
        <v>164.53589649947548</v>
      </c>
      <c r="AL57">
        <v>165.59218818649742</v>
      </c>
      <c r="AM57">
        <v>166.4986158596875</v>
      </c>
      <c r="AN57">
        <v>166.90894488499379</v>
      </c>
      <c r="AO57">
        <v>167.00634929962322</v>
      </c>
      <c r="AP57">
        <v>166.77777112300566</v>
      </c>
      <c r="AQ57">
        <v>166.41762845109756</v>
      </c>
      <c r="AR57">
        <v>166.09995946855685</v>
      </c>
      <c r="AS57">
        <v>165.89790360018492</v>
      </c>
      <c r="AT57">
        <v>165.91904191104609</v>
      </c>
      <c r="AU57">
        <v>166.11347676633068</v>
      </c>
      <c r="AV57">
        <v>166.45068609587349</v>
      </c>
      <c r="AW57">
        <v>166.84275901540798</v>
      </c>
      <c r="AX57">
        <v>167.20870307284562</v>
      </c>
      <c r="AY57">
        <v>167.50266597321385</v>
      </c>
      <c r="AZ57">
        <v>167.68659863896991</v>
      </c>
      <c r="BA57">
        <v>167.77355997401821</v>
      </c>
      <c r="BB57">
        <v>167.78378845202434</v>
      </c>
    </row>
    <row r="58" spans="3:54" x14ac:dyDescent="0.2">
      <c r="C58" t="s">
        <v>60</v>
      </c>
      <c r="D58" t="s">
        <v>167</v>
      </c>
      <c r="E58" t="s">
        <v>162</v>
      </c>
      <c r="F58">
        <v>1.8511652287506277</v>
      </c>
      <c r="G58">
        <v>94.157671365540594</v>
      </c>
      <c r="H58">
        <v>264.05514046824158</v>
      </c>
      <c r="I58">
        <v>270.63607743997113</v>
      </c>
      <c r="J58">
        <v>162.63266058458365</v>
      </c>
      <c r="K58">
        <v>178.32111242554325</v>
      </c>
      <c r="L58">
        <v>156.15844821030964</v>
      </c>
      <c r="M58">
        <v>144.98808981973445</v>
      </c>
      <c r="N58">
        <v>128.95732971357444</v>
      </c>
      <c r="O58">
        <v>120.92072307890913</v>
      </c>
      <c r="P58">
        <v>141.38841122258111</v>
      </c>
      <c r="Q58">
        <v>150.04112020547262</v>
      </c>
      <c r="R58">
        <v>166.43448848960364</v>
      </c>
      <c r="S58">
        <v>171.1172372751206</v>
      </c>
      <c r="T58">
        <v>171.25037793449141</v>
      </c>
      <c r="U58">
        <v>167.7002142277766</v>
      </c>
      <c r="V58">
        <v>156.2313139487344</v>
      </c>
      <c r="W58">
        <v>146.49175272640858</v>
      </c>
      <c r="X58">
        <v>135.74547223836984</v>
      </c>
      <c r="Y58">
        <v>130.13811487186541</v>
      </c>
      <c r="Z58">
        <v>128.51753324348448</v>
      </c>
      <c r="AA58">
        <v>129.87898598503023</v>
      </c>
      <c r="AB58">
        <v>134.01783212573335</v>
      </c>
      <c r="AC58">
        <v>137.74482092398205</v>
      </c>
      <c r="AD58">
        <v>141.03684567645561</v>
      </c>
      <c r="AE58">
        <v>142.13703402311242</v>
      </c>
      <c r="AF58">
        <v>141.23336185723872</v>
      </c>
      <c r="AG58">
        <v>138.79309211271422</v>
      </c>
      <c r="AH58">
        <v>135.28115642812085</v>
      </c>
      <c r="AI58">
        <v>131.86650568533182</v>
      </c>
      <c r="AJ58">
        <v>128.89012399661308</v>
      </c>
      <c r="AK58">
        <v>126.93990960724341</v>
      </c>
      <c r="AL58">
        <v>126.02022784051449</v>
      </c>
      <c r="AM58">
        <v>125.94417360803924</v>
      </c>
      <c r="AN58">
        <v>126.43602711413705</v>
      </c>
      <c r="AO58">
        <v>127.0178945156969</v>
      </c>
      <c r="AP58">
        <v>127.41828573630944</v>
      </c>
      <c r="AQ58">
        <v>127.37225296465799</v>
      </c>
      <c r="AR58">
        <v>126.83081420332839</v>
      </c>
      <c r="AS58">
        <v>125.86984053731118</v>
      </c>
      <c r="AT58">
        <v>124.64346150220028</v>
      </c>
      <c r="AU58">
        <v>123.37744724659653</v>
      </c>
      <c r="AV58">
        <v>122.24087423670626</v>
      </c>
      <c r="AW58">
        <v>121.36501316219012</v>
      </c>
      <c r="AX58">
        <v>120.78381541168025</v>
      </c>
      <c r="AY58">
        <v>120.45779159621617</v>
      </c>
      <c r="AZ58">
        <v>120.29961151354701</v>
      </c>
      <c r="BA58">
        <v>120.19490051349237</v>
      </c>
      <c r="BB58">
        <v>120.04958215270439</v>
      </c>
    </row>
    <row r="59" spans="3:54" x14ac:dyDescent="0.2">
      <c r="C59" t="s">
        <v>61</v>
      </c>
      <c r="D59" t="s">
        <v>168</v>
      </c>
      <c r="E59" t="s">
        <v>162</v>
      </c>
      <c r="F59">
        <v>139.909039228588</v>
      </c>
      <c r="G59">
        <v>5.2068438712994825</v>
      </c>
      <c r="H59">
        <v>182.61150319084138</v>
      </c>
      <c r="I59">
        <v>53.513288116971218</v>
      </c>
      <c r="J59">
        <v>180.72778414288859</v>
      </c>
      <c r="K59">
        <v>181.93940631285474</v>
      </c>
      <c r="L59">
        <v>204.65670933015076</v>
      </c>
      <c r="M59">
        <v>259.1465639322202</v>
      </c>
      <c r="N59">
        <v>237.69596835380366</v>
      </c>
      <c r="O59">
        <v>284.75345576786265</v>
      </c>
      <c r="P59">
        <v>272.039104367211</v>
      </c>
      <c r="Q59">
        <v>286.0235176654835</v>
      </c>
      <c r="R59">
        <v>292.94885439557515</v>
      </c>
      <c r="S59">
        <v>292.16594772056698</v>
      </c>
      <c r="T59">
        <v>310.55478766377286</v>
      </c>
      <c r="U59">
        <v>315.30121441978815</v>
      </c>
      <c r="V59">
        <v>334.99160756759471</v>
      </c>
      <c r="W59">
        <v>349.2267716380785</v>
      </c>
      <c r="X59">
        <v>364.58726421939156</v>
      </c>
      <c r="Y59">
        <v>380.45301241264133</v>
      </c>
      <c r="Z59">
        <v>390.13128298754754</v>
      </c>
      <c r="AA59">
        <v>401.21305495949559</v>
      </c>
      <c r="AB59">
        <v>407.64383289541195</v>
      </c>
      <c r="AC59">
        <v>414.62259647736306</v>
      </c>
      <c r="AD59">
        <v>421.15391412870451</v>
      </c>
      <c r="AE59">
        <v>427.61830728295462</v>
      </c>
      <c r="AF59">
        <v>435.63734168514929</v>
      </c>
      <c r="AG59">
        <v>443.41474810547288</v>
      </c>
      <c r="AH59">
        <v>452.19864419719477</v>
      </c>
      <c r="AI59">
        <v>460.65664422181777</v>
      </c>
      <c r="AJ59">
        <v>468.86609350251308</v>
      </c>
      <c r="AK59">
        <v>476.63738350396483</v>
      </c>
      <c r="AL59">
        <v>483.53044952070132</v>
      </c>
      <c r="AM59">
        <v>489.94176953623077</v>
      </c>
      <c r="AN59">
        <v>495.62600650597432</v>
      </c>
      <c r="AO59">
        <v>500.97001763407394</v>
      </c>
      <c r="AP59">
        <v>506.06726068301538</v>
      </c>
      <c r="AQ59">
        <v>511.06454905137639</v>
      </c>
      <c r="AR59">
        <v>516.13760141909495</v>
      </c>
      <c r="AS59">
        <v>521.2244309254163</v>
      </c>
      <c r="AT59">
        <v>526.36494342813819</v>
      </c>
      <c r="AU59">
        <v>531.42503048786261</v>
      </c>
      <c r="AV59">
        <v>536.32764247683178</v>
      </c>
      <c r="AW59">
        <v>540.99519210431845</v>
      </c>
      <c r="AX59">
        <v>545.36627300254224</v>
      </c>
      <c r="AY59">
        <v>549.46003341942253</v>
      </c>
      <c r="AZ59">
        <v>553.29282657732585</v>
      </c>
      <c r="BA59">
        <v>556.93111591358206</v>
      </c>
      <c r="BB59">
        <v>560.42882990302007</v>
      </c>
    </row>
    <row r="60" spans="3:54" x14ac:dyDescent="0.2">
      <c r="C60" t="s">
        <v>62</v>
      </c>
      <c r="D60" t="s">
        <v>169</v>
      </c>
      <c r="E60" t="s">
        <v>162</v>
      </c>
      <c r="F60">
        <v>37.902888844906606</v>
      </c>
      <c r="G60">
        <v>27.764104900624893</v>
      </c>
      <c r="H60">
        <v>84.587987049603115</v>
      </c>
      <c r="I60">
        <v>48.891236581712043</v>
      </c>
      <c r="J60">
        <v>68.725261033051439</v>
      </c>
      <c r="K60">
        <v>78.96330204585108</v>
      </c>
      <c r="L60">
        <v>80.516949028456722</v>
      </c>
      <c r="M60">
        <v>100.29741929506065</v>
      </c>
      <c r="N60">
        <v>92.271655361477514</v>
      </c>
      <c r="O60">
        <v>105.38413900313677</v>
      </c>
      <c r="P60">
        <v>103.76063991383388</v>
      </c>
      <c r="Q60">
        <v>105.15821219944128</v>
      </c>
      <c r="R60">
        <v>106.75988774832211</v>
      </c>
      <c r="S60">
        <v>103.5406941649841</v>
      </c>
      <c r="T60">
        <v>107.06228429207977</v>
      </c>
      <c r="U60">
        <v>106.81177862900826</v>
      </c>
      <c r="V60">
        <v>110.46642110541957</v>
      </c>
      <c r="W60">
        <v>113.59635513546331</v>
      </c>
      <c r="X60">
        <v>116.55550256551908</v>
      </c>
      <c r="Y60">
        <v>120.40324622200403</v>
      </c>
      <c r="Z60">
        <v>122.35117666520635</v>
      </c>
      <c r="AA60">
        <v>124.73929760731562</v>
      </c>
      <c r="AB60">
        <v>125.8835278130544</v>
      </c>
      <c r="AC60">
        <v>126.9173453867791</v>
      </c>
      <c r="AD60">
        <v>127.8982699332599</v>
      </c>
      <c r="AE60">
        <v>128.65981489978125</v>
      </c>
      <c r="AF60">
        <v>129.88790974319119</v>
      </c>
      <c r="AG60">
        <v>131.07177537593239</v>
      </c>
      <c r="AH60">
        <v>132.59419178063209</v>
      </c>
      <c r="AI60">
        <v>134.17427701678801</v>
      </c>
      <c r="AJ60">
        <v>135.75199161278388</v>
      </c>
      <c r="AK60">
        <v>137.31726673893206</v>
      </c>
      <c r="AL60">
        <v>138.67152368065797</v>
      </c>
      <c r="AM60">
        <v>139.90802310212047</v>
      </c>
      <c r="AN60">
        <v>140.93866952013786</v>
      </c>
      <c r="AO60">
        <v>141.84630364564225</v>
      </c>
      <c r="AP60">
        <v>142.67799795751068</v>
      </c>
      <c r="AQ60">
        <v>143.47102769831764</v>
      </c>
      <c r="AR60">
        <v>144.29851320338807</v>
      </c>
      <c r="AS60">
        <v>145.15297022754859</v>
      </c>
      <c r="AT60">
        <v>146.05376605095205</v>
      </c>
      <c r="AU60">
        <v>146.97088132655452</v>
      </c>
      <c r="AV60">
        <v>147.87743945201493</v>
      </c>
      <c r="AW60">
        <v>148.75003168400951</v>
      </c>
      <c r="AX60">
        <v>149.56198117548868</v>
      </c>
      <c r="AY60">
        <v>150.31172886576167</v>
      </c>
      <c r="AZ60">
        <v>150.99777281300493</v>
      </c>
      <c r="BA60">
        <v>151.63405579740717</v>
      </c>
      <c r="BB60">
        <v>152.23568453464065</v>
      </c>
    </row>
    <row r="61" spans="3:54" x14ac:dyDescent="0.2">
      <c r="C61" t="s">
        <v>63</v>
      </c>
      <c r="D61" t="s">
        <v>170</v>
      </c>
      <c r="E61" t="s">
        <v>162</v>
      </c>
      <c r="F61">
        <v>907.25509759297358</v>
      </c>
      <c r="G61">
        <v>648.08057468734592</v>
      </c>
      <c r="H61">
        <v>1607.9001812186236</v>
      </c>
      <c r="I61">
        <v>726.66098389476235</v>
      </c>
      <c r="J61">
        <v>1401.5865585838762</v>
      </c>
      <c r="K61">
        <v>1418.5177715272198</v>
      </c>
      <c r="L61">
        <v>1607.7405884870984</v>
      </c>
      <c r="M61">
        <v>1824.6948044611536</v>
      </c>
      <c r="N61">
        <v>1691.196406142255</v>
      </c>
      <c r="O61">
        <v>1935.3364032160159</v>
      </c>
      <c r="P61">
        <v>1853.2738465211671</v>
      </c>
      <c r="Q61">
        <v>1910.239749176159</v>
      </c>
      <c r="R61">
        <v>1898.916185583957</v>
      </c>
      <c r="S61">
        <v>1868.1485347568125</v>
      </c>
      <c r="T61">
        <v>1938.1155849771355</v>
      </c>
      <c r="U61">
        <v>1943.5201556690795</v>
      </c>
      <c r="V61">
        <v>2031.0276284429515</v>
      </c>
      <c r="W61">
        <v>2085.3757663277306</v>
      </c>
      <c r="X61">
        <v>2150.1569252228787</v>
      </c>
      <c r="Y61">
        <v>2213.0285736452051</v>
      </c>
      <c r="Z61">
        <v>2244.2817807040456</v>
      </c>
      <c r="AA61">
        <v>2282.116765173439</v>
      </c>
      <c r="AB61">
        <v>2295.8347871862029</v>
      </c>
      <c r="AC61">
        <v>2314.9595027384571</v>
      </c>
      <c r="AD61">
        <v>2331.9265633034447</v>
      </c>
      <c r="AE61">
        <v>2350.1970395762437</v>
      </c>
      <c r="AF61">
        <v>2376.7323390827</v>
      </c>
      <c r="AG61">
        <v>2402.6186100165555</v>
      </c>
      <c r="AH61">
        <v>2434.4928677014091</v>
      </c>
      <c r="AI61">
        <v>2465.0142854667565</v>
      </c>
      <c r="AJ61">
        <v>2495.0577363936623</v>
      </c>
      <c r="AK61">
        <v>2523.101477159234</v>
      </c>
      <c r="AL61">
        <v>2546.9945595752247</v>
      </c>
      <c r="AM61">
        <v>2568.5833119848376</v>
      </c>
      <c r="AN61">
        <v>2586.5393693422561</v>
      </c>
      <c r="AO61">
        <v>2603.0447094638462</v>
      </c>
      <c r="AP61">
        <v>2618.5932090100632</v>
      </c>
      <c r="AQ61">
        <v>2634.1591139225998</v>
      </c>
      <c r="AR61">
        <v>2650.6428411227462</v>
      </c>
      <c r="AS61">
        <v>2667.7191017014161</v>
      </c>
      <c r="AT61">
        <v>2685.5227231960848</v>
      </c>
      <c r="AU61">
        <v>2703.2383224338651</v>
      </c>
      <c r="AV61">
        <v>2720.4142202225403</v>
      </c>
      <c r="AW61">
        <v>2736.5818676357599</v>
      </c>
      <c r="AX61">
        <v>2751.4287028672898</v>
      </c>
      <c r="AY61">
        <v>2765.0643703885121</v>
      </c>
      <c r="AZ61">
        <v>2777.5937850773321</v>
      </c>
      <c r="BA61">
        <v>2789.3835863409945</v>
      </c>
      <c r="BB61">
        <v>2800.7136303512698</v>
      </c>
    </row>
    <row r="62" spans="3:54" x14ac:dyDescent="0.2">
      <c r="C62" t="s">
        <v>64</v>
      </c>
      <c r="D62" t="s">
        <v>171</v>
      </c>
      <c r="E62" t="s">
        <v>162</v>
      </c>
      <c r="F62">
        <v>77.413200369430385</v>
      </c>
      <c r="G62">
        <v>94.983143496036348</v>
      </c>
      <c r="H62">
        <v>246.85171210988275</v>
      </c>
      <c r="I62">
        <v>107.81939892971</v>
      </c>
      <c r="J62">
        <v>172.06596473664101</v>
      </c>
      <c r="K62">
        <v>161.11220697015582</v>
      </c>
      <c r="L62">
        <v>182.70415968362923</v>
      </c>
      <c r="M62">
        <v>210.98951636811239</v>
      </c>
      <c r="N62">
        <v>189.03938373527342</v>
      </c>
      <c r="O62">
        <v>223.10779510421</v>
      </c>
      <c r="P62">
        <v>215.90798828415757</v>
      </c>
      <c r="Q62">
        <v>229.55900368699056</v>
      </c>
      <c r="R62">
        <v>233.60838374409445</v>
      </c>
      <c r="S62">
        <v>233.78417948371364</v>
      </c>
      <c r="T62">
        <v>247.52331136800254</v>
      </c>
      <c r="U62">
        <v>251.30180403635907</v>
      </c>
      <c r="V62">
        <v>265.21694233908522</v>
      </c>
      <c r="W62">
        <v>273.39292455081301</v>
      </c>
      <c r="X62">
        <v>282.33671752626367</v>
      </c>
      <c r="Y62">
        <v>291.15023528955135</v>
      </c>
      <c r="Z62">
        <v>296.03615212605911</v>
      </c>
      <c r="AA62">
        <v>302.55661188328321</v>
      </c>
      <c r="AB62">
        <v>306.38802436569136</v>
      </c>
      <c r="AC62">
        <v>311.41895410460495</v>
      </c>
      <c r="AD62">
        <v>316.32098537195373</v>
      </c>
      <c r="AE62">
        <v>321.22769712344501</v>
      </c>
      <c r="AF62">
        <v>326.91784984112661</v>
      </c>
      <c r="AG62">
        <v>332.06479131880815</v>
      </c>
      <c r="AH62">
        <v>337.64888180003408</v>
      </c>
      <c r="AI62">
        <v>342.77838717997628</v>
      </c>
      <c r="AJ62">
        <v>347.71459864777512</v>
      </c>
      <c r="AK62">
        <v>352.38413153851394</v>
      </c>
      <c r="AL62">
        <v>356.5715432945654</v>
      </c>
      <c r="AM62">
        <v>360.57562444503276</v>
      </c>
      <c r="AN62">
        <v>364.20097879102326</v>
      </c>
      <c r="AO62">
        <v>367.70509612141791</v>
      </c>
      <c r="AP62">
        <v>371.09514661148296</v>
      </c>
      <c r="AQ62">
        <v>374.44077811260922</v>
      </c>
      <c r="AR62">
        <v>377.81812782621449</v>
      </c>
      <c r="AS62">
        <v>381.15406238469086</v>
      </c>
      <c r="AT62">
        <v>384.46715291351256</v>
      </c>
      <c r="AU62">
        <v>387.6669842593883</v>
      </c>
      <c r="AV62">
        <v>390.72719932733509</v>
      </c>
      <c r="AW62">
        <v>393.62238993096145</v>
      </c>
      <c r="AX62">
        <v>396.3401695782598</v>
      </c>
      <c r="AY62">
        <v>398.91283357637002</v>
      </c>
      <c r="AZ62">
        <v>401.35577742548679</v>
      </c>
      <c r="BA62">
        <v>403.7078819537719</v>
      </c>
      <c r="BB62">
        <v>405.98916993114671</v>
      </c>
    </row>
    <row r="63" spans="3:54" x14ac:dyDescent="0.2">
      <c r="C63" t="s">
        <v>65</v>
      </c>
      <c r="D63" t="s">
        <v>172</v>
      </c>
      <c r="E63" t="s">
        <v>162</v>
      </c>
      <c r="F63">
        <v>26.193798344596196</v>
      </c>
      <c r="G63">
        <v>63.215101014751724</v>
      </c>
      <c r="H63">
        <v>262.0704884875019</v>
      </c>
      <c r="I63">
        <v>-6.8567679749838293</v>
      </c>
      <c r="J63">
        <v>22.611965615518873</v>
      </c>
      <c r="K63">
        <v>-22.418665392213438</v>
      </c>
      <c r="L63">
        <v>4.2475539438480041</v>
      </c>
      <c r="M63">
        <v>115.56271399753591</v>
      </c>
      <c r="N63">
        <v>118.56032624284964</v>
      </c>
      <c r="O63">
        <v>182.48133598465083</v>
      </c>
      <c r="P63">
        <v>179.76710133483985</v>
      </c>
      <c r="Q63">
        <v>206.4395595590166</v>
      </c>
      <c r="R63">
        <v>217.94724967571798</v>
      </c>
      <c r="S63">
        <v>207.19675430740821</v>
      </c>
      <c r="T63">
        <v>217.01294218816994</v>
      </c>
      <c r="U63">
        <v>211.16346202313949</v>
      </c>
      <c r="V63">
        <v>221.7114604869619</v>
      </c>
      <c r="W63">
        <v>226.31609020052596</v>
      </c>
      <c r="X63">
        <v>233.44823107033508</v>
      </c>
      <c r="Y63">
        <v>245.85013538723805</v>
      </c>
      <c r="Z63">
        <v>255.16981731207463</v>
      </c>
      <c r="AA63">
        <v>269.24288313168762</v>
      </c>
      <c r="AB63">
        <v>279.07138987704263</v>
      </c>
      <c r="AC63">
        <v>288.54938927874082</v>
      </c>
      <c r="AD63">
        <v>295.60119646539277</v>
      </c>
      <c r="AE63">
        <v>299.92149587984284</v>
      </c>
      <c r="AF63">
        <v>304.00288439016219</v>
      </c>
      <c r="AG63">
        <v>306.69689795338809</v>
      </c>
      <c r="AH63">
        <v>310.6032632002582</v>
      </c>
      <c r="AI63">
        <v>315.11306745395245</v>
      </c>
      <c r="AJ63">
        <v>320.62694380203419</v>
      </c>
      <c r="AK63">
        <v>326.94380521601397</v>
      </c>
      <c r="AL63">
        <v>333.17923351805973</v>
      </c>
      <c r="AM63">
        <v>339.37554206269812</v>
      </c>
      <c r="AN63">
        <v>344.83810573507361</v>
      </c>
      <c r="AO63">
        <v>349.69259048982588</v>
      </c>
      <c r="AP63">
        <v>353.89274433265382</v>
      </c>
      <c r="AQ63">
        <v>357.55179954019934</v>
      </c>
      <c r="AR63">
        <v>360.95067651129295</v>
      </c>
      <c r="AS63">
        <v>364.1571124765548</v>
      </c>
      <c r="AT63">
        <v>367.40059083481174</v>
      </c>
      <c r="AU63">
        <v>370.71035851877633</v>
      </c>
      <c r="AV63">
        <v>374.12994685483119</v>
      </c>
      <c r="AW63">
        <v>377.63514391968187</v>
      </c>
      <c r="AX63">
        <v>381.13092468256588</v>
      </c>
      <c r="AY63">
        <v>384.55084137783223</v>
      </c>
      <c r="AZ63">
        <v>387.7899052733066</v>
      </c>
      <c r="BA63">
        <v>390.8050447643617</v>
      </c>
      <c r="BB63">
        <v>393.57701084001081</v>
      </c>
    </row>
    <row r="64" spans="3:54" x14ac:dyDescent="0.2">
      <c r="C64" t="s">
        <v>66</v>
      </c>
      <c r="D64" t="s">
        <v>210</v>
      </c>
      <c r="E64" t="s">
        <v>205</v>
      </c>
      <c r="F64">
        <v>0.95040540521118611</v>
      </c>
      <c r="G64">
        <v>99.808705932773492</v>
      </c>
      <c r="H64">
        <v>154.45882017498408</v>
      </c>
      <c r="I64">
        <v>104.23535516340269</v>
      </c>
      <c r="J64">
        <v>154.75726207369709</v>
      </c>
      <c r="K64">
        <v>117.40900205636417</v>
      </c>
      <c r="L64">
        <v>135.80668122796206</v>
      </c>
      <c r="M64">
        <v>124.73439366912257</v>
      </c>
      <c r="N64">
        <v>118.65057839485496</v>
      </c>
      <c r="O64">
        <v>137.6091455882661</v>
      </c>
      <c r="P64">
        <v>136.95398291992075</v>
      </c>
      <c r="Q64">
        <v>154.80473097535008</v>
      </c>
      <c r="R64">
        <v>154.96415452543715</v>
      </c>
      <c r="S64">
        <v>157.46691800237033</v>
      </c>
      <c r="T64">
        <v>157.34985346606481</v>
      </c>
      <c r="U64">
        <v>151.33493372901694</v>
      </c>
      <c r="V64">
        <v>149.67265716415798</v>
      </c>
      <c r="W64">
        <v>143.62552844389296</v>
      </c>
      <c r="X64">
        <v>141.80752836188142</v>
      </c>
      <c r="Y64">
        <v>140.09148059286309</v>
      </c>
      <c r="Z64">
        <v>139.67190186003012</v>
      </c>
      <c r="AA64">
        <v>141.21012605697555</v>
      </c>
      <c r="AB64">
        <v>142.14688632555911</v>
      </c>
      <c r="AC64">
        <v>144.2274238120379</v>
      </c>
      <c r="AD64">
        <v>145.1905664863221</v>
      </c>
      <c r="AE64">
        <v>145.70072063887716</v>
      </c>
      <c r="AF64">
        <v>145.38258730261276</v>
      </c>
      <c r="AG64">
        <v>144.16067352917236</v>
      </c>
      <c r="AH64">
        <v>142.84303753866004</v>
      </c>
      <c r="AI64">
        <v>141.28151753528738</v>
      </c>
      <c r="AJ64">
        <v>140.18248892026591</v>
      </c>
      <c r="AK64">
        <v>139.48641329845623</v>
      </c>
      <c r="AL64">
        <v>139.26383822993861</v>
      </c>
      <c r="AM64">
        <v>139.44822884790815</v>
      </c>
      <c r="AN64">
        <v>139.73957022481426</v>
      </c>
      <c r="AO64">
        <v>140.06869629170814</v>
      </c>
      <c r="AP64">
        <v>140.20800825447475</v>
      </c>
      <c r="AQ64">
        <v>140.1455254440595</v>
      </c>
      <c r="AR64">
        <v>139.87451798506677</v>
      </c>
      <c r="AS64">
        <v>139.4397766915468</v>
      </c>
      <c r="AT64">
        <v>138.94935913139372</v>
      </c>
      <c r="AU64">
        <v>138.45852204413714</v>
      </c>
      <c r="AV64">
        <v>138.05169730393257</v>
      </c>
      <c r="AW64">
        <v>137.75236322411544</v>
      </c>
      <c r="AX64">
        <v>137.56789143075503</v>
      </c>
      <c r="AY64">
        <v>137.47969390280201</v>
      </c>
      <c r="AZ64">
        <v>137.44359490711491</v>
      </c>
      <c r="BA64">
        <v>137.42244698210723</v>
      </c>
      <c r="BB64">
        <v>137.37428872947785</v>
      </c>
    </row>
    <row r="65" spans="3:54" x14ac:dyDescent="0.2">
      <c r="C65" t="s">
        <v>67</v>
      </c>
      <c r="D65" t="s">
        <v>211</v>
      </c>
      <c r="E65" t="s">
        <v>205</v>
      </c>
      <c r="F65">
        <v>118.03787383238983</v>
      </c>
      <c r="G65">
        <v>112.31962194237643</v>
      </c>
      <c r="H65">
        <v>201.05701394895038</v>
      </c>
      <c r="I65">
        <v>23.674479390620832</v>
      </c>
      <c r="J65">
        <v>145.49442224711964</v>
      </c>
      <c r="K65">
        <v>125.33488266484916</v>
      </c>
      <c r="L65">
        <v>148.90186562683871</v>
      </c>
      <c r="M65">
        <v>168.61000921375904</v>
      </c>
      <c r="N65">
        <v>140.05421471189601</v>
      </c>
      <c r="O65">
        <v>183.3014734859002</v>
      </c>
      <c r="P65">
        <v>168.93082413214756</v>
      </c>
      <c r="Q65">
        <v>186.20368341494151</v>
      </c>
      <c r="R65">
        <v>188.87816763833086</v>
      </c>
      <c r="S65">
        <v>191.48191432356927</v>
      </c>
      <c r="T65">
        <v>208.96960133514744</v>
      </c>
      <c r="U65">
        <v>212.64623609896992</v>
      </c>
      <c r="V65">
        <v>229.04531904842216</v>
      </c>
      <c r="W65">
        <v>236.71876926585881</v>
      </c>
      <c r="X65">
        <v>246.32865605926779</v>
      </c>
      <c r="Y65">
        <v>254.91700934441519</v>
      </c>
      <c r="Z65">
        <v>258.98422731487267</v>
      </c>
      <c r="AA65">
        <v>265.34780975029565</v>
      </c>
      <c r="AB65">
        <v>268.45329544866087</v>
      </c>
      <c r="AC65">
        <v>273.60878858304181</v>
      </c>
      <c r="AD65">
        <v>278.52949631511598</v>
      </c>
      <c r="AE65">
        <v>283.74206919363689</v>
      </c>
      <c r="AF65">
        <v>289.90871047426322</v>
      </c>
      <c r="AG65">
        <v>295.36594965058441</v>
      </c>
      <c r="AH65">
        <v>301.32697839717662</v>
      </c>
      <c r="AI65">
        <v>306.54158970677548</v>
      </c>
      <c r="AJ65">
        <v>311.48866584948775</v>
      </c>
      <c r="AK65">
        <v>316.03851806444277</v>
      </c>
      <c r="AL65">
        <v>320.0420319966783</v>
      </c>
      <c r="AM65">
        <v>323.90854688844945</v>
      </c>
      <c r="AN65">
        <v>327.40881860185874</v>
      </c>
      <c r="AO65">
        <v>330.89028076116165</v>
      </c>
      <c r="AP65">
        <v>334.30929198226806</v>
      </c>
      <c r="AQ65">
        <v>337.73874466744627</v>
      </c>
      <c r="AR65">
        <v>341.22639209770358</v>
      </c>
      <c r="AS65">
        <v>344.6599879452242</v>
      </c>
      <c r="AT65">
        <v>348.05525268458757</v>
      </c>
      <c r="AU65">
        <v>351.29513938348066</v>
      </c>
      <c r="AV65">
        <v>354.36362242607277</v>
      </c>
      <c r="AW65">
        <v>357.23800757522531</v>
      </c>
      <c r="AX65">
        <v>359.91903589101616</v>
      </c>
      <c r="AY65">
        <v>362.45602086349328</v>
      </c>
      <c r="AZ65">
        <v>364.87208125258479</v>
      </c>
      <c r="BA65">
        <v>367.21655055322947</v>
      </c>
      <c r="BB65">
        <v>369.50805011595088</v>
      </c>
    </row>
    <row r="66" spans="3:54" x14ac:dyDescent="0.2">
      <c r="C66" t="s">
        <v>68</v>
      </c>
      <c r="D66" t="s">
        <v>212</v>
      </c>
      <c r="E66" t="s">
        <v>205</v>
      </c>
      <c r="F66">
        <v>29.114277692327867</v>
      </c>
      <c r="G66">
        <v>29.49764460569935</v>
      </c>
      <c r="H66">
        <v>95.037883353002243</v>
      </c>
      <c r="I66">
        <v>91.145023017272493</v>
      </c>
      <c r="J66">
        <v>92.597270884629225</v>
      </c>
      <c r="K66">
        <v>72.745299962109712</v>
      </c>
      <c r="L66">
        <v>45.561865442329605</v>
      </c>
      <c r="M66">
        <v>49.126975708587835</v>
      </c>
      <c r="N66">
        <v>39.125155767410789</v>
      </c>
      <c r="O66">
        <v>43.433572854633333</v>
      </c>
      <c r="P66">
        <v>42.440159820885327</v>
      </c>
      <c r="Q66">
        <v>43.148237690874154</v>
      </c>
      <c r="R66">
        <v>46.402448221666177</v>
      </c>
      <c r="S66">
        <v>44.282116758703964</v>
      </c>
      <c r="T66">
        <v>46.459196810001885</v>
      </c>
      <c r="U66">
        <v>46.591084404278057</v>
      </c>
      <c r="V66">
        <v>48.998666716912126</v>
      </c>
      <c r="W66">
        <v>51.187278168828186</v>
      </c>
      <c r="X66">
        <v>51.774042280874013</v>
      </c>
      <c r="Y66">
        <v>52.162577037629312</v>
      </c>
      <c r="Z66">
        <v>50.585506906420413</v>
      </c>
      <c r="AA66">
        <v>49.25273458588066</v>
      </c>
      <c r="AB66">
        <v>47.784833423294849</v>
      </c>
      <c r="AC66">
        <v>47.006609904074452</v>
      </c>
      <c r="AD66">
        <v>47.204930011113326</v>
      </c>
      <c r="AE66">
        <v>47.819623916367377</v>
      </c>
      <c r="AF66">
        <v>48.954881101881959</v>
      </c>
      <c r="AG66">
        <v>49.875727921231046</v>
      </c>
      <c r="AH66">
        <v>50.576090513835858</v>
      </c>
      <c r="AI66">
        <v>50.905789125731353</v>
      </c>
      <c r="AJ66">
        <v>50.889734029178797</v>
      </c>
      <c r="AK66">
        <v>50.737376661876787</v>
      </c>
      <c r="AL66">
        <v>50.466019853259489</v>
      </c>
      <c r="AM66">
        <v>50.253682283868002</v>
      </c>
      <c r="AN66">
        <v>50.103999644328098</v>
      </c>
      <c r="AO66">
        <v>50.059009373364191</v>
      </c>
      <c r="AP66">
        <v>50.12922709852608</v>
      </c>
      <c r="AQ66">
        <v>50.280425531735915</v>
      </c>
      <c r="AR66">
        <v>50.508882199130454</v>
      </c>
      <c r="AS66">
        <v>50.755633130031299</v>
      </c>
      <c r="AT66">
        <v>50.988068769710921</v>
      </c>
      <c r="AU66">
        <v>51.164431781972347</v>
      </c>
      <c r="AV66">
        <v>51.262289827016922</v>
      </c>
      <c r="AW66">
        <v>51.288512103945813</v>
      </c>
      <c r="AX66">
        <v>51.259847527241767</v>
      </c>
      <c r="AY66">
        <v>51.214063313792344</v>
      </c>
      <c r="AZ66">
        <v>51.181236750290672</v>
      </c>
      <c r="BA66">
        <v>51.184451632891069</v>
      </c>
      <c r="BB66">
        <v>51.231105088366185</v>
      </c>
    </row>
    <row r="67" spans="3:54" x14ac:dyDescent="0.2">
      <c r="C67" t="s">
        <v>69</v>
      </c>
      <c r="D67" t="s">
        <v>213</v>
      </c>
      <c r="E67" t="s">
        <v>205</v>
      </c>
      <c r="F67">
        <v>-29.955864537047308</v>
      </c>
      <c r="G67">
        <v>20.597573529537922</v>
      </c>
      <c r="H67">
        <v>74.155382207957004</v>
      </c>
      <c r="I67">
        <v>31.107532629587176</v>
      </c>
      <c r="J67">
        <v>55.383266333806013</v>
      </c>
      <c r="K67">
        <v>48.556906221141041</v>
      </c>
      <c r="L67">
        <v>60.194333857476067</v>
      </c>
      <c r="M67">
        <v>64.406378856855142</v>
      </c>
      <c r="N67">
        <v>54.193915998364531</v>
      </c>
      <c r="O67">
        <v>63.531731673404622</v>
      </c>
      <c r="P67">
        <v>59.375628350932296</v>
      </c>
      <c r="Q67">
        <v>63.956058751415917</v>
      </c>
      <c r="R67">
        <v>62.671339357650041</v>
      </c>
      <c r="S67">
        <v>61.340021382854793</v>
      </c>
      <c r="T67">
        <v>63.797751725174315</v>
      </c>
      <c r="U67">
        <v>63.246960287373668</v>
      </c>
      <c r="V67">
        <v>66.327013148280969</v>
      </c>
      <c r="W67">
        <v>66.98025825140607</v>
      </c>
      <c r="X67">
        <v>68.267125835379346</v>
      </c>
      <c r="Y67">
        <v>69.098677261754318</v>
      </c>
      <c r="Z67">
        <v>68.779833633597818</v>
      </c>
      <c r="AA67">
        <v>69.020605594760895</v>
      </c>
      <c r="AB67">
        <v>68.462983922125915</v>
      </c>
      <c r="AC67">
        <v>68.621292786159216</v>
      </c>
      <c r="AD67">
        <v>68.826608698324094</v>
      </c>
      <c r="AE67">
        <v>69.228917195083099</v>
      </c>
      <c r="AF67">
        <v>69.880488919599301</v>
      </c>
      <c r="AG67">
        <v>70.331058528458513</v>
      </c>
      <c r="AH67">
        <v>70.894480721785499</v>
      </c>
      <c r="AI67">
        <v>71.253930764821433</v>
      </c>
      <c r="AJ67">
        <v>71.580288879042996</v>
      </c>
      <c r="AK67">
        <v>71.844494442482301</v>
      </c>
      <c r="AL67">
        <v>72.026231366751603</v>
      </c>
      <c r="AM67">
        <v>72.220898136448852</v>
      </c>
      <c r="AN67">
        <v>72.356076030763063</v>
      </c>
      <c r="AO67">
        <v>72.514271101793739</v>
      </c>
      <c r="AP67">
        <v>72.675290787165039</v>
      </c>
      <c r="AQ67">
        <v>72.862808603451157</v>
      </c>
      <c r="AR67">
        <v>73.08951218525705</v>
      </c>
      <c r="AS67">
        <v>73.328549817042088</v>
      </c>
      <c r="AT67">
        <v>73.582564214375353</v>
      </c>
      <c r="AU67">
        <v>73.817203258425366</v>
      </c>
      <c r="AV67">
        <v>74.026294621372728</v>
      </c>
      <c r="AW67">
        <v>74.201842530566239</v>
      </c>
      <c r="AX67">
        <v>74.345418419386505</v>
      </c>
      <c r="AY67">
        <v>74.471571725797034</v>
      </c>
      <c r="AZ67">
        <v>74.588027168753769</v>
      </c>
      <c r="BA67">
        <v>74.708143306459661</v>
      </c>
      <c r="BB67">
        <v>74.835260061607585</v>
      </c>
    </row>
    <row r="68" spans="3:54" x14ac:dyDescent="0.2">
      <c r="C68" t="s">
        <v>70</v>
      </c>
      <c r="D68" t="s">
        <v>214</v>
      </c>
      <c r="E68" t="s">
        <v>205</v>
      </c>
      <c r="F68">
        <v>-532.05598476906505</v>
      </c>
      <c r="G68">
        <v>615.2985413718136</v>
      </c>
      <c r="H68">
        <v>1378.9920040820421</v>
      </c>
      <c r="I68">
        <v>607.63453836773454</v>
      </c>
      <c r="J68">
        <v>1098.8042683594515</v>
      </c>
      <c r="K68">
        <v>650.15229517678438</v>
      </c>
      <c r="L68">
        <v>871.52673618356073</v>
      </c>
      <c r="M68">
        <v>839.29336843497083</v>
      </c>
      <c r="N68">
        <v>740.66873574625424</v>
      </c>
      <c r="O68">
        <v>983.1839691795584</v>
      </c>
      <c r="P68">
        <v>958.10148850997655</v>
      </c>
      <c r="Q68">
        <v>1145.8100267364889</v>
      </c>
      <c r="R68">
        <v>1134.2569932325939</v>
      </c>
      <c r="S68">
        <v>1136.6271104497368</v>
      </c>
      <c r="T68">
        <v>1150.1411848639686</v>
      </c>
      <c r="U68">
        <v>1103.1800720724636</v>
      </c>
      <c r="V68">
        <v>1129.9897349179441</v>
      </c>
      <c r="W68">
        <v>1108.852556091706</v>
      </c>
      <c r="X68">
        <v>1129.3362091182944</v>
      </c>
      <c r="Y68">
        <v>1145.9251061824141</v>
      </c>
      <c r="Z68">
        <v>1161.3792771358665</v>
      </c>
      <c r="AA68">
        <v>1193.1653385753823</v>
      </c>
      <c r="AB68">
        <v>1210.0916887868887</v>
      </c>
      <c r="AC68">
        <v>1238.7258105194089</v>
      </c>
      <c r="AD68">
        <v>1256.4822227668167</v>
      </c>
      <c r="AE68">
        <v>1271.0943456902387</v>
      </c>
      <c r="AF68">
        <v>1280.8785869587384</v>
      </c>
      <c r="AG68">
        <v>1282.6985583039602</v>
      </c>
      <c r="AH68">
        <v>1286.1177141687156</v>
      </c>
      <c r="AI68">
        <v>1287.5766036410641</v>
      </c>
      <c r="AJ68">
        <v>1293.6963718543163</v>
      </c>
      <c r="AK68">
        <v>1302.9094548747717</v>
      </c>
      <c r="AL68">
        <v>1314.7256170158062</v>
      </c>
      <c r="AM68">
        <v>1328.6208061419268</v>
      </c>
      <c r="AN68">
        <v>1341.2982985527174</v>
      </c>
      <c r="AO68">
        <v>1352.9635115868193</v>
      </c>
      <c r="AP68">
        <v>1362.0556074605686</v>
      </c>
      <c r="AQ68">
        <v>1369.235116207265</v>
      </c>
      <c r="AR68">
        <v>1375.0396498604764</v>
      </c>
      <c r="AS68">
        <v>1379.9284291063404</v>
      </c>
      <c r="AT68">
        <v>1384.8681107178984</v>
      </c>
      <c r="AU68">
        <v>1389.925754072739</v>
      </c>
      <c r="AV68">
        <v>1395.5229448396065</v>
      </c>
      <c r="AW68">
        <v>1401.5545575417177</v>
      </c>
      <c r="AX68">
        <v>1407.9075660269257</v>
      </c>
      <c r="AY68">
        <v>1414.4353143773133</v>
      </c>
      <c r="AZ68">
        <v>1420.8142707788561</v>
      </c>
      <c r="BA68">
        <v>1426.890577301054</v>
      </c>
      <c r="BB68">
        <v>1432.4398919689759</v>
      </c>
    </row>
    <row r="69" spans="3:54" x14ac:dyDescent="0.2">
      <c r="C69" t="s">
        <v>71</v>
      </c>
      <c r="D69" t="s">
        <v>215</v>
      </c>
      <c r="E69" t="s">
        <v>205</v>
      </c>
      <c r="F69">
        <v>-58.742195958750678</v>
      </c>
      <c r="G69">
        <v>79.869885172795733</v>
      </c>
      <c r="H69">
        <v>225.43409602887726</v>
      </c>
      <c r="I69">
        <v>121.69955120791859</v>
      </c>
      <c r="J69">
        <v>166.6968040438415</v>
      </c>
      <c r="K69">
        <v>135.74392724023303</v>
      </c>
      <c r="L69">
        <v>165.48818028113598</v>
      </c>
      <c r="M69">
        <v>166.31522159267541</v>
      </c>
      <c r="N69">
        <v>136.12607884661878</v>
      </c>
      <c r="O69">
        <v>149.04117377887857</v>
      </c>
      <c r="P69">
        <v>133.00273572938266</v>
      </c>
      <c r="Q69">
        <v>140.5221317999025</v>
      </c>
      <c r="R69">
        <v>132.34536715471336</v>
      </c>
      <c r="S69">
        <v>126.25700749158402</v>
      </c>
      <c r="T69">
        <v>128.50339406963056</v>
      </c>
      <c r="U69">
        <v>125.08923972784082</v>
      </c>
      <c r="V69">
        <v>130.56239748354471</v>
      </c>
      <c r="W69">
        <v>130.07028341015848</v>
      </c>
      <c r="X69">
        <v>131.56811487577488</v>
      </c>
      <c r="Y69">
        <v>131.54944782292188</v>
      </c>
      <c r="Z69">
        <v>129.08749754815781</v>
      </c>
      <c r="AA69">
        <v>127.7286327696134</v>
      </c>
      <c r="AB69">
        <v>124.47795013616634</v>
      </c>
      <c r="AC69">
        <v>123.06945390795276</v>
      </c>
      <c r="AD69">
        <v>121.82070965225162</v>
      </c>
      <c r="AE69">
        <v>121.32713892788796</v>
      </c>
      <c r="AF69">
        <v>121.52421141856674</v>
      </c>
      <c r="AG69">
        <v>121.41375796542749</v>
      </c>
      <c r="AH69">
        <v>121.65049350683992</v>
      </c>
      <c r="AI69">
        <v>121.42312054666971</v>
      </c>
      <c r="AJ69">
        <v>121.14241721000151</v>
      </c>
      <c r="AK69">
        <v>120.67695884646534</v>
      </c>
      <c r="AL69">
        <v>120.02294083357225</v>
      </c>
      <c r="AM69">
        <v>119.39819455750364</v>
      </c>
      <c r="AN69">
        <v>118.65916545074599</v>
      </c>
      <c r="AO69">
        <v>118.02096470103409</v>
      </c>
      <c r="AP69">
        <v>117.43739881241629</v>
      </c>
      <c r="AQ69">
        <v>116.98008036976098</v>
      </c>
      <c r="AR69">
        <v>116.66819722861474</v>
      </c>
      <c r="AS69">
        <v>116.43668203542022</v>
      </c>
      <c r="AT69">
        <v>116.27986900061433</v>
      </c>
      <c r="AU69">
        <v>116.10505877857697</v>
      </c>
      <c r="AV69">
        <v>115.89082125060972</v>
      </c>
      <c r="AW69">
        <v>115.60990811678995</v>
      </c>
      <c r="AX69">
        <v>115.26622571652329</v>
      </c>
      <c r="AY69">
        <v>114.89475163505166</v>
      </c>
      <c r="AZ69">
        <v>114.51837830884656</v>
      </c>
      <c r="BA69">
        <v>114.17376745583817</v>
      </c>
      <c r="BB69">
        <v>113.87219424357563</v>
      </c>
    </row>
    <row r="70" spans="3:54" x14ac:dyDescent="0.2">
      <c r="C70" t="s">
        <v>72</v>
      </c>
      <c r="D70" t="s">
        <v>216</v>
      </c>
      <c r="E70" t="s">
        <v>205</v>
      </c>
      <c r="F70">
        <v>1308.7916878492192</v>
      </c>
      <c r="G70">
        <v>2008.5931832710733</v>
      </c>
      <c r="H70">
        <v>4087.5849253704678</v>
      </c>
      <c r="I70">
        <v>2199.1643168408027</v>
      </c>
      <c r="J70">
        <v>3347.8565775395091</v>
      </c>
      <c r="K70">
        <v>3533.3284181745676</v>
      </c>
      <c r="L70">
        <v>4000.9513735546052</v>
      </c>
      <c r="M70">
        <v>4522.7863997799559</v>
      </c>
      <c r="N70">
        <v>4278.4252977551414</v>
      </c>
      <c r="O70">
        <v>4829.8871418302269</v>
      </c>
      <c r="P70">
        <v>4737.237012858558</v>
      </c>
      <c r="Q70">
        <v>4857.7133565824679</v>
      </c>
      <c r="R70">
        <v>4809.2374057788093</v>
      </c>
      <c r="S70">
        <v>4682.9429148253521</v>
      </c>
      <c r="T70">
        <v>4767.3202455935152</v>
      </c>
      <c r="U70">
        <v>4733.8969809956952</v>
      </c>
      <c r="V70">
        <v>4879.2613216871077</v>
      </c>
      <c r="W70">
        <v>4979.5848225527689</v>
      </c>
      <c r="X70">
        <v>5109.9627209143337</v>
      </c>
      <c r="Y70">
        <v>5246.0855331522353</v>
      </c>
      <c r="Z70">
        <v>5315.3445462969366</v>
      </c>
      <c r="AA70">
        <v>5391.226530701033</v>
      </c>
      <c r="AB70">
        <v>5411.284842897061</v>
      </c>
      <c r="AC70">
        <v>5434.5091404441337</v>
      </c>
      <c r="AD70">
        <v>5450.0649884144923</v>
      </c>
      <c r="AE70">
        <v>5465.4961626158974</v>
      </c>
      <c r="AF70">
        <v>5498.1166184018921</v>
      </c>
      <c r="AG70">
        <v>5531.4768636120589</v>
      </c>
      <c r="AH70">
        <v>5580.0515843361345</v>
      </c>
      <c r="AI70">
        <v>5629.9221985508448</v>
      </c>
      <c r="AJ70">
        <v>5682.0102910323594</v>
      </c>
      <c r="AK70">
        <v>5732.6641102298227</v>
      </c>
      <c r="AL70">
        <v>5775.9368307709901</v>
      </c>
      <c r="AM70">
        <v>5814.2296962979408</v>
      </c>
      <c r="AN70">
        <v>5843.8486758110184</v>
      </c>
      <c r="AO70">
        <v>5868.6540735001581</v>
      </c>
      <c r="AP70">
        <v>5889.9816420686211</v>
      </c>
      <c r="AQ70">
        <v>5910.4231720767657</v>
      </c>
      <c r="AR70">
        <v>5932.7601590572103</v>
      </c>
      <c r="AS70">
        <v>5957.121729232249</v>
      </c>
      <c r="AT70">
        <v>5984.2569946833637</v>
      </c>
      <c r="AU70">
        <v>6012.6453971880255</v>
      </c>
      <c r="AV70">
        <v>6041.1218876391758</v>
      </c>
      <c r="AW70">
        <v>6068.3427394902474</v>
      </c>
      <c r="AX70">
        <v>6093.2098640874301</v>
      </c>
      <c r="AY70">
        <v>6115.5804583872332</v>
      </c>
      <c r="AZ70">
        <v>6135.4549808406164</v>
      </c>
      <c r="BA70">
        <v>6153.5188249854482</v>
      </c>
      <c r="BB70">
        <v>6170.4276344717337</v>
      </c>
    </row>
    <row r="71" spans="3:54" x14ac:dyDescent="0.2">
      <c r="C71" t="s">
        <v>73</v>
      </c>
      <c r="D71" t="s">
        <v>217</v>
      </c>
      <c r="E71" t="s">
        <v>205</v>
      </c>
      <c r="F71">
        <v>304.42216852485114</v>
      </c>
      <c r="G71">
        <v>285.34011168496585</v>
      </c>
      <c r="H71">
        <v>544.56785984961357</v>
      </c>
      <c r="I71">
        <v>189.34525355726208</v>
      </c>
      <c r="J71">
        <v>335.37329135192925</v>
      </c>
      <c r="K71">
        <v>341.54652109825935</v>
      </c>
      <c r="L71">
        <v>350.16073076500402</v>
      </c>
      <c r="M71">
        <v>398.8172780864935</v>
      </c>
      <c r="N71">
        <v>322.37374392986635</v>
      </c>
      <c r="O71">
        <v>386.23415185618529</v>
      </c>
      <c r="P71">
        <v>353.10079114174806</v>
      </c>
      <c r="Q71">
        <v>354.71864144239112</v>
      </c>
      <c r="R71">
        <v>344.14278226600902</v>
      </c>
      <c r="S71">
        <v>320.48901610439287</v>
      </c>
      <c r="T71">
        <v>334.45603368922667</v>
      </c>
      <c r="U71">
        <v>325.46299293719062</v>
      </c>
      <c r="V71">
        <v>340.57889882964287</v>
      </c>
      <c r="W71">
        <v>346.12135105149213</v>
      </c>
      <c r="X71">
        <v>352.39357773458636</v>
      </c>
      <c r="Y71">
        <v>360.17311871323341</v>
      </c>
      <c r="Z71">
        <v>357.60752043228484</v>
      </c>
      <c r="AA71">
        <v>358.80758246540063</v>
      </c>
      <c r="AB71">
        <v>353.97865015248334</v>
      </c>
      <c r="AC71">
        <v>351.67979232269624</v>
      </c>
      <c r="AD71">
        <v>349.96841507383351</v>
      </c>
      <c r="AE71">
        <v>348.46728107865965</v>
      </c>
      <c r="AF71">
        <v>349.68218335126608</v>
      </c>
      <c r="AG71">
        <v>350.29404288630042</v>
      </c>
      <c r="AH71">
        <v>352.51214224200493</v>
      </c>
      <c r="AI71">
        <v>354.32502437739913</v>
      </c>
      <c r="AJ71">
        <v>356.01252803656018</v>
      </c>
      <c r="AK71">
        <v>357.49777835518921</v>
      </c>
      <c r="AL71">
        <v>358.06241477837506</v>
      </c>
      <c r="AM71">
        <v>358.40226969205787</v>
      </c>
      <c r="AN71">
        <v>358.05096550475588</v>
      </c>
      <c r="AO71">
        <v>357.59422867975343</v>
      </c>
      <c r="AP71">
        <v>357.14860616344055</v>
      </c>
      <c r="AQ71">
        <v>356.88528916339146</v>
      </c>
      <c r="AR71">
        <v>357.05111660742745</v>
      </c>
      <c r="AS71">
        <v>357.47831518058854</v>
      </c>
      <c r="AT71">
        <v>358.19665783322785</v>
      </c>
      <c r="AU71">
        <v>358.97002280665185</v>
      </c>
      <c r="AV71">
        <v>359.68023470013799</v>
      </c>
      <c r="AW71">
        <v>360.234784212195</v>
      </c>
      <c r="AX71">
        <v>360.56558157781154</v>
      </c>
      <c r="AY71">
        <v>360.73300001746946</v>
      </c>
      <c r="AZ71">
        <v>360.76938140586299</v>
      </c>
      <c r="BA71">
        <v>360.76899409817287</v>
      </c>
      <c r="BB71">
        <v>360.79093804531487</v>
      </c>
    </row>
    <row r="72" spans="3:54" x14ac:dyDescent="0.2">
      <c r="C72" t="s">
        <v>74</v>
      </c>
      <c r="D72" t="s">
        <v>218</v>
      </c>
      <c r="E72" t="s">
        <v>205</v>
      </c>
      <c r="F72">
        <v>-323.59804277872291</v>
      </c>
      <c r="G72">
        <v>359.72050171427867</v>
      </c>
      <c r="H72">
        <v>795.9089944290389</v>
      </c>
      <c r="I72">
        <v>242.1256002747071</v>
      </c>
      <c r="J72">
        <v>389.16632724609542</v>
      </c>
      <c r="K72">
        <v>204.98332269959423</v>
      </c>
      <c r="L72">
        <v>428.29585818164895</v>
      </c>
      <c r="M72">
        <v>432.18745577781573</v>
      </c>
      <c r="N72">
        <v>358.14414424027257</v>
      </c>
      <c r="O72">
        <v>447.42769595835756</v>
      </c>
      <c r="P72">
        <v>410.73255460026229</v>
      </c>
      <c r="Q72">
        <v>486.32356887802558</v>
      </c>
      <c r="R72">
        <v>454.28737334206102</v>
      </c>
      <c r="S72">
        <v>445.31981347812609</v>
      </c>
      <c r="T72">
        <v>455.71253622401099</v>
      </c>
      <c r="U72">
        <v>446.69804256137809</v>
      </c>
      <c r="V72">
        <v>476.10211886092878</v>
      </c>
      <c r="W72">
        <v>475.87824771839576</v>
      </c>
      <c r="X72">
        <v>492.81357856192795</v>
      </c>
      <c r="Y72">
        <v>501.39690977645978</v>
      </c>
      <c r="Z72">
        <v>505.0674522717423</v>
      </c>
      <c r="AA72">
        <v>513.03989812882423</v>
      </c>
      <c r="AB72">
        <v>512.0097212902408</v>
      </c>
      <c r="AC72">
        <v>518.20612162940324</v>
      </c>
      <c r="AD72">
        <v>521.26284232600551</v>
      </c>
      <c r="AE72">
        <v>526.23891139250691</v>
      </c>
      <c r="AF72">
        <v>531.59498763192607</v>
      </c>
      <c r="AG72">
        <v>535.04066108044663</v>
      </c>
      <c r="AH72">
        <v>540.11235883417555</v>
      </c>
      <c r="AI72">
        <v>543.64289648683132</v>
      </c>
      <c r="AJ72">
        <v>548.19037342442425</v>
      </c>
      <c r="AK72">
        <v>552.48778580356952</v>
      </c>
      <c r="AL72">
        <v>556.59201590868111</v>
      </c>
      <c r="AM72">
        <v>560.77519306662032</v>
      </c>
      <c r="AN72">
        <v>564.08552590897443</v>
      </c>
      <c r="AO72">
        <v>567.27041044658472</v>
      </c>
      <c r="AP72">
        <v>569.90978801201732</v>
      </c>
      <c r="AQ72">
        <v>572.49231168355152</v>
      </c>
      <c r="AR72">
        <v>575.15150678069051</v>
      </c>
      <c r="AS72">
        <v>577.85549569513125</v>
      </c>
      <c r="AT72">
        <v>580.76376177128611</v>
      </c>
      <c r="AU72">
        <v>583.61287689400729</v>
      </c>
      <c r="AV72">
        <v>586.42424319378335</v>
      </c>
      <c r="AW72">
        <v>589.05791443004557</v>
      </c>
      <c r="AX72">
        <v>591.49442209075801</v>
      </c>
      <c r="AY72">
        <v>593.77446447452041</v>
      </c>
      <c r="AZ72">
        <v>595.89354130440086</v>
      </c>
      <c r="BA72">
        <v>597.93039266288429</v>
      </c>
      <c r="BB72">
        <v>599.8850701298287</v>
      </c>
    </row>
    <row r="73" spans="3:54" x14ac:dyDescent="0.2">
      <c r="C73" t="s">
        <v>75</v>
      </c>
      <c r="D73" t="s">
        <v>219</v>
      </c>
      <c r="E73" t="s">
        <v>205</v>
      </c>
      <c r="F73">
        <v>346.62722045880741</v>
      </c>
      <c r="G73">
        <v>645.58377857110486</v>
      </c>
      <c r="H73">
        <v>1527.6571620017651</v>
      </c>
      <c r="I73">
        <v>1219.7978889798967</v>
      </c>
      <c r="J73">
        <v>1529.7621710840567</v>
      </c>
      <c r="K73">
        <v>1141.8601554957647</v>
      </c>
      <c r="L73">
        <v>879.11119515427413</v>
      </c>
      <c r="M73">
        <v>718.67000563720956</v>
      </c>
      <c r="N73">
        <v>503.48748877070369</v>
      </c>
      <c r="O73">
        <v>676.11131104209119</v>
      </c>
      <c r="P73">
        <v>781.75748436807885</v>
      </c>
      <c r="Q73">
        <v>1043.8973017442477</v>
      </c>
      <c r="R73">
        <v>1185.1654009279355</v>
      </c>
      <c r="S73">
        <v>1189.9989403556385</v>
      </c>
      <c r="T73">
        <v>1140.614579387566</v>
      </c>
      <c r="U73">
        <v>1001.3710859988255</v>
      </c>
      <c r="V73">
        <v>920.83078259685101</v>
      </c>
      <c r="W73">
        <v>854.22324097667979</v>
      </c>
      <c r="X73">
        <v>842.28902534940744</v>
      </c>
      <c r="Y73">
        <v>863.41455799366838</v>
      </c>
      <c r="Z73">
        <v>884.41770851145031</v>
      </c>
      <c r="AA73">
        <v>912.40218493854729</v>
      </c>
      <c r="AB73">
        <v>920.49199249250341</v>
      </c>
      <c r="AC73">
        <v>927.94700056153249</v>
      </c>
      <c r="AD73">
        <v>930.83739428145702</v>
      </c>
      <c r="AE73">
        <v>932.46936000979065</v>
      </c>
      <c r="AF73">
        <v>934.12310988620038</v>
      </c>
      <c r="AG73">
        <v>927.85951130631861</v>
      </c>
      <c r="AH73">
        <v>917.61021443568654</v>
      </c>
      <c r="AI73">
        <v>901.63029689661232</v>
      </c>
      <c r="AJ73">
        <v>886.12251502745096</v>
      </c>
      <c r="AK73">
        <v>875.2814139210526</v>
      </c>
      <c r="AL73">
        <v>871.07372216105136</v>
      </c>
      <c r="AM73">
        <v>874.42537688618154</v>
      </c>
      <c r="AN73">
        <v>881.42726702331913</v>
      </c>
      <c r="AO73">
        <v>889.11074024513448</v>
      </c>
      <c r="AP73">
        <v>893.85069601352052</v>
      </c>
      <c r="AQ73">
        <v>894.21826763483716</v>
      </c>
      <c r="AR73">
        <v>890.71745091012656</v>
      </c>
      <c r="AS73">
        <v>884.6555267059839</v>
      </c>
      <c r="AT73">
        <v>878.20690749120365</v>
      </c>
      <c r="AU73">
        <v>872.67999747610986</v>
      </c>
      <c r="AV73">
        <v>868.90804192447581</v>
      </c>
      <c r="AW73">
        <v>866.89482951252216</v>
      </c>
      <c r="AX73">
        <v>866.17978398767559</v>
      </c>
      <c r="AY73">
        <v>866.26303260480415</v>
      </c>
      <c r="AZ73">
        <v>866.58205197017207</v>
      </c>
      <c r="BA73">
        <v>866.80740169295848</v>
      </c>
      <c r="BB73">
        <v>866.66741169961062</v>
      </c>
    </row>
    <row r="74" spans="3:54" x14ac:dyDescent="0.2">
      <c r="C74" t="s">
        <v>76</v>
      </c>
      <c r="D74" t="s">
        <v>220</v>
      </c>
      <c r="E74" t="s">
        <v>205</v>
      </c>
      <c r="F74">
        <v>94.780490378463483</v>
      </c>
      <c r="G74">
        <v>81.191967450602206</v>
      </c>
      <c r="H74">
        <v>167.18522726249495</v>
      </c>
      <c r="I74">
        <v>76.302420035736517</v>
      </c>
      <c r="J74">
        <v>150.27069136925968</v>
      </c>
      <c r="K74">
        <v>131.01026493487436</v>
      </c>
      <c r="L74">
        <v>132.98530734895138</v>
      </c>
      <c r="M74">
        <v>146.48692127667908</v>
      </c>
      <c r="N74">
        <v>123.91033857493953</v>
      </c>
      <c r="O74">
        <v>145.97573607892099</v>
      </c>
      <c r="P74">
        <v>135.31441489317049</v>
      </c>
      <c r="Q74">
        <v>145.05894661246205</v>
      </c>
      <c r="R74">
        <v>148.15413912716988</v>
      </c>
      <c r="S74">
        <v>148.00762814997009</v>
      </c>
      <c r="T74">
        <v>156.84505756700418</v>
      </c>
      <c r="U74">
        <v>156.13243695566126</v>
      </c>
      <c r="V74">
        <v>162.7403663971765</v>
      </c>
      <c r="W74">
        <v>164.00656088984968</v>
      </c>
      <c r="X74">
        <v>165.81871456445765</v>
      </c>
      <c r="Y74">
        <v>167.66531845794637</v>
      </c>
      <c r="Z74">
        <v>167.09380082177353</v>
      </c>
      <c r="AA74">
        <v>168.75660833971298</v>
      </c>
      <c r="AB74">
        <v>169.06814122657099</v>
      </c>
      <c r="AC74">
        <v>170.9597930460786</v>
      </c>
      <c r="AD74">
        <v>172.97797826594223</v>
      </c>
      <c r="AE74">
        <v>175.00540333574395</v>
      </c>
      <c r="AF74">
        <v>177.43103990420661</v>
      </c>
      <c r="AG74">
        <v>179.10495316281526</v>
      </c>
      <c r="AH74">
        <v>180.85516659717831</v>
      </c>
      <c r="AI74">
        <v>182.07558597766015</v>
      </c>
      <c r="AJ74">
        <v>183.15615042973656</v>
      </c>
      <c r="AK74">
        <v>184.17039343786342</v>
      </c>
      <c r="AL74">
        <v>185.04717894117067</v>
      </c>
      <c r="AM74">
        <v>186.05811217981341</v>
      </c>
      <c r="AN74">
        <v>187.02153560680244</v>
      </c>
      <c r="AO74">
        <v>188.08555683063832</v>
      </c>
      <c r="AP74">
        <v>189.17223949704203</v>
      </c>
      <c r="AQ74">
        <v>190.26547200431506</v>
      </c>
      <c r="AR74">
        <v>191.37105460989505</v>
      </c>
      <c r="AS74">
        <v>192.40593757646965</v>
      </c>
      <c r="AT74">
        <v>193.38937111684595</v>
      </c>
      <c r="AU74">
        <v>194.2734621942019</v>
      </c>
      <c r="AV74">
        <v>195.07468949979588</v>
      </c>
      <c r="AW74">
        <v>195.8085246209547</v>
      </c>
      <c r="AX74">
        <v>196.49226334771319</v>
      </c>
      <c r="AY74">
        <v>197.16354858824496</v>
      </c>
      <c r="AZ74">
        <v>197.83066719025936</v>
      </c>
      <c r="BA74">
        <v>198.50879812484445</v>
      </c>
      <c r="BB74">
        <v>199.19127764932986</v>
      </c>
    </row>
    <row r="75" spans="3:54" x14ac:dyDescent="0.2">
      <c r="C75" t="s">
        <v>77</v>
      </c>
      <c r="D75" t="s">
        <v>221</v>
      </c>
      <c r="E75" t="s">
        <v>205</v>
      </c>
      <c r="F75">
        <v>327.77749843059348</v>
      </c>
      <c r="G75">
        <v>341.88774579024431</v>
      </c>
      <c r="H75">
        <v>764.49424346594037</v>
      </c>
      <c r="I75">
        <v>375.12524383808847</v>
      </c>
      <c r="J75">
        <v>598.30498165313418</v>
      </c>
      <c r="K75">
        <v>545.70291655475557</v>
      </c>
      <c r="L75">
        <v>628.58049255078868</v>
      </c>
      <c r="M75">
        <v>702.90500657780728</v>
      </c>
      <c r="N75">
        <v>628.62233429297419</v>
      </c>
      <c r="O75">
        <v>727.49841321702945</v>
      </c>
      <c r="P75">
        <v>693.7716824901197</v>
      </c>
      <c r="Q75">
        <v>728.90164088974495</v>
      </c>
      <c r="R75">
        <v>721.65459007772438</v>
      </c>
      <c r="S75">
        <v>707.41324901195605</v>
      </c>
      <c r="T75">
        <v>732.89596332671022</v>
      </c>
      <c r="U75">
        <v>729.38562900612408</v>
      </c>
      <c r="V75">
        <v>759.85230246729884</v>
      </c>
      <c r="W75">
        <v>771.7318749950656</v>
      </c>
      <c r="X75">
        <v>788.59538171999327</v>
      </c>
      <c r="Y75">
        <v>804.09092559155806</v>
      </c>
      <c r="Z75">
        <v>808.54084038724568</v>
      </c>
      <c r="AA75">
        <v>818.49999808579855</v>
      </c>
      <c r="AB75">
        <v>820.46098782393517</v>
      </c>
      <c r="AC75">
        <v>827.05401547094789</v>
      </c>
      <c r="AD75">
        <v>832.99410699674877</v>
      </c>
      <c r="AE75">
        <v>839.16998637285008</v>
      </c>
      <c r="AF75">
        <v>847.41808848671587</v>
      </c>
      <c r="AG75">
        <v>853.92287718339378</v>
      </c>
      <c r="AH75">
        <v>862.0232065962656</v>
      </c>
      <c r="AI75">
        <v>869.06628196586416</v>
      </c>
      <c r="AJ75">
        <v>876.24033362049806</v>
      </c>
      <c r="AK75">
        <v>883.16964556903406</v>
      </c>
      <c r="AL75">
        <v>889.17878107135095</v>
      </c>
      <c r="AM75">
        <v>894.97110485788573</v>
      </c>
      <c r="AN75">
        <v>899.76233507042559</v>
      </c>
      <c r="AO75">
        <v>904.28659401551533</v>
      </c>
      <c r="AP75">
        <v>908.49622988014755</v>
      </c>
      <c r="AQ75">
        <v>912.67957631304478</v>
      </c>
      <c r="AR75">
        <v>917.10548499155948</v>
      </c>
      <c r="AS75">
        <v>921.60789811661721</v>
      </c>
      <c r="AT75">
        <v>926.27810499231953</v>
      </c>
      <c r="AU75">
        <v>930.83734529143692</v>
      </c>
      <c r="AV75">
        <v>935.21023762823427</v>
      </c>
      <c r="AW75">
        <v>939.2970962072053</v>
      </c>
      <c r="AX75">
        <v>943.04852170169818</v>
      </c>
      <c r="AY75">
        <v>946.54257362178225</v>
      </c>
      <c r="AZ75">
        <v>949.80353636787981</v>
      </c>
      <c r="BA75">
        <v>952.93067726994695</v>
      </c>
      <c r="BB75">
        <v>955.96400403402765</v>
      </c>
    </row>
    <row r="76" spans="3:54" x14ac:dyDescent="0.2">
      <c r="C76" t="s">
        <v>78</v>
      </c>
      <c r="D76" t="s">
        <v>206</v>
      </c>
      <c r="E76" t="s">
        <v>205</v>
      </c>
      <c r="F76">
        <v>-35.386681666977246</v>
      </c>
      <c r="G76">
        <v>77.784119151677245</v>
      </c>
      <c r="H76">
        <v>96.876137949294773</v>
      </c>
      <c r="I76">
        <v>-29.4921801252652</v>
      </c>
      <c r="J76">
        <v>-1.6448201225409971</v>
      </c>
      <c r="K76">
        <v>40.996177248014675</v>
      </c>
      <c r="L76">
        <v>58.839087314194778</v>
      </c>
      <c r="M76">
        <v>72.503362238038932</v>
      </c>
      <c r="N76">
        <v>70.21683835932312</v>
      </c>
      <c r="O76">
        <v>102.23327879289612</v>
      </c>
      <c r="P76">
        <v>111.09474136586854</v>
      </c>
      <c r="Q76">
        <v>112.85286121019786</v>
      </c>
      <c r="R76">
        <v>109.43989451566756</v>
      </c>
      <c r="S76">
        <v>101.40473951211007</v>
      </c>
      <c r="T76">
        <v>100.20456914552635</v>
      </c>
      <c r="U76">
        <v>94.22333078101147</v>
      </c>
      <c r="V76">
        <v>93.028737273007678</v>
      </c>
      <c r="W76">
        <v>92.90156957614785</v>
      </c>
      <c r="X76">
        <v>95.186094677626315</v>
      </c>
      <c r="Y76">
        <v>100.16003393165234</v>
      </c>
      <c r="Z76">
        <v>104.11358651015674</v>
      </c>
      <c r="AA76">
        <v>108.70940961342185</v>
      </c>
      <c r="AB76">
        <v>111.4327486813809</v>
      </c>
      <c r="AC76">
        <v>113.10541297649867</v>
      </c>
      <c r="AD76">
        <v>113.46893034420042</v>
      </c>
      <c r="AE76">
        <v>112.58630070074213</v>
      </c>
      <c r="AF76">
        <v>111.62092316264118</v>
      </c>
      <c r="AG76">
        <v>110.58063583457502</v>
      </c>
      <c r="AH76">
        <v>110.31775656510543</v>
      </c>
      <c r="AI76">
        <v>110.73142874055624</v>
      </c>
      <c r="AJ76">
        <v>111.80146317641952</v>
      </c>
      <c r="AK76">
        <v>113.36114110862331</v>
      </c>
      <c r="AL76">
        <v>114.97548473122283</v>
      </c>
      <c r="AM76">
        <v>116.49749692003347</v>
      </c>
      <c r="AN76">
        <v>117.63688395765332</v>
      </c>
      <c r="AO76">
        <v>118.38331575089775</v>
      </c>
      <c r="AP76">
        <v>118.76797287678728</v>
      </c>
      <c r="AQ76">
        <v>118.89204945807673</v>
      </c>
      <c r="AR76">
        <v>118.93183443320773</v>
      </c>
      <c r="AS76">
        <v>118.99187463111285</v>
      </c>
      <c r="AT76">
        <v>119.19087983471238</v>
      </c>
      <c r="AU76">
        <v>119.55786430989006</v>
      </c>
      <c r="AV76">
        <v>120.08400949351741</v>
      </c>
      <c r="AW76">
        <v>120.72119470149754</v>
      </c>
      <c r="AX76">
        <v>121.39035577727117</v>
      </c>
      <c r="AY76">
        <v>122.02730333258869</v>
      </c>
      <c r="AZ76">
        <v>122.57378098164931</v>
      </c>
      <c r="BA76">
        <v>123.00774826804431</v>
      </c>
      <c r="BB76">
        <v>123.33314084697284</v>
      </c>
    </row>
    <row r="77" spans="3:54" x14ac:dyDescent="0.2">
      <c r="C77" t="s">
        <v>79</v>
      </c>
      <c r="D77" t="s">
        <v>207</v>
      </c>
      <c r="E77" t="s">
        <v>205</v>
      </c>
      <c r="F77">
        <v>85.776128876145805</v>
      </c>
      <c r="G77">
        <v>227.38259980968891</v>
      </c>
      <c r="H77">
        <v>230.00933516512288</v>
      </c>
      <c r="I77">
        <v>-171.13818324225701</v>
      </c>
      <c r="J77">
        <v>-170.0585293720772</v>
      </c>
      <c r="K77">
        <v>-48.958720502004397</v>
      </c>
      <c r="L77">
        <v>37.325788625192807</v>
      </c>
      <c r="M77">
        <v>100.31191769996086</v>
      </c>
      <c r="N77">
        <v>101.61996346813932</v>
      </c>
      <c r="O77">
        <v>195.07028572983134</v>
      </c>
      <c r="P77">
        <v>238.68504307261824</v>
      </c>
      <c r="Q77">
        <v>251.04335008713238</v>
      </c>
      <c r="R77">
        <v>239.97633321203693</v>
      </c>
      <c r="S77">
        <v>211.98245885870747</v>
      </c>
      <c r="T77">
        <v>201.64978125265571</v>
      </c>
      <c r="U77">
        <v>178.54471227057672</v>
      </c>
      <c r="V77">
        <v>165.9901188277816</v>
      </c>
      <c r="W77">
        <v>158.87159386540139</v>
      </c>
      <c r="X77">
        <v>162.29640604488779</v>
      </c>
      <c r="Y77">
        <v>178.1883968771287</v>
      </c>
      <c r="Z77">
        <v>195.02680912314756</v>
      </c>
      <c r="AA77">
        <v>214.35925642823963</v>
      </c>
      <c r="AB77">
        <v>227.72885627651002</v>
      </c>
      <c r="AC77">
        <v>235.45445199141855</v>
      </c>
      <c r="AD77">
        <v>236.76058996556466</v>
      </c>
      <c r="AE77">
        <v>232.26486347488094</v>
      </c>
      <c r="AF77">
        <v>226.27988663711733</v>
      </c>
      <c r="AG77">
        <v>220.21675186817677</v>
      </c>
      <c r="AH77">
        <v>217.16139538572804</v>
      </c>
      <c r="AI77">
        <v>217.3125185177926</v>
      </c>
      <c r="AJ77">
        <v>220.43608473025228</v>
      </c>
      <c r="AK77">
        <v>225.73794768300993</v>
      </c>
      <c r="AL77">
        <v>231.60141370477723</v>
      </c>
      <c r="AM77">
        <v>237.20227964337846</v>
      </c>
      <c r="AN77">
        <v>241.4890905467665</v>
      </c>
      <c r="AO77">
        <v>244.23659867662025</v>
      </c>
      <c r="AP77">
        <v>245.49457316137352</v>
      </c>
      <c r="AQ77">
        <v>245.58648703351474</v>
      </c>
      <c r="AR77">
        <v>245.12866699692887</v>
      </c>
      <c r="AS77">
        <v>244.60348136688771</v>
      </c>
      <c r="AT77">
        <v>244.52663825014218</v>
      </c>
      <c r="AU77">
        <v>245.14167210639943</v>
      </c>
      <c r="AV77">
        <v>246.49895755607992</v>
      </c>
      <c r="AW77">
        <v>248.45269532877043</v>
      </c>
      <c r="AX77">
        <v>250.69393760945573</v>
      </c>
      <c r="AY77">
        <v>252.9124394718155</v>
      </c>
      <c r="AZ77">
        <v>254.82246087342355</v>
      </c>
      <c r="BA77">
        <v>256.27509596116056</v>
      </c>
      <c r="BB77">
        <v>257.25260541383585</v>
      </c>
    </row>
    <row r="78" spans="3:54" x14ac:dyDescent="0.2">
      <c r="C78" t="s">
        <v>80</v>
      </c>
      <c r="D78" t="s">
        <v>208</v>
      </c>
      <c r="E78" t="s">
        <v>205</v>
      </c>
      <c r="F78">
        <v>458.04652465170022</v>
      </c>
      <c r="G78">
        <v>366.53284533453501</v>
      </c>
      <c r="H78">
        <v>944.10694498120358</v>
      </c>
      <c r="I78">
        <v>549.15569295645571</v>
      </c>
      <c r="J78">
        <v>960.68958659572286</v>
      </c>
      <c r="K78">
        <v>1090.7135554106694</v>
      </c>
      <c r="L78">
        <v>1183.482616675155</v>
      </c>
      <c r="M78">
        <v>1339.3262509157316</v>
      </c>
      <c r="N78">
        <v>1232.7866030847133</v>
      </c>
      <c r="O78">
        <v>1342.9786179041184</v>
      </c>
      <c r="P78">
        <v>1274.7845698270373</v>
      </c>
      <c r="Q78">
        <v>1262.6521853630527</v>
      </c>
      <c r="R78">
        <v>1240.9176651106804</v>
      </c>
      <c r="S78">
        <v>1202.0362820355508</v>
      </c>
      <c r="T78">
        <v>1242.3298734439829</v>
      </c>
      <c r="U78">
        <v>1254.5236811344066</v>
      </c>
      <c r="V78">
        <v>1317.3382209572983</v>
      </c>
      <c r="W78">
        <v>1368.0702547736255</v>
      </c>
      <c r="X78">
        <v>1415.9187098756609</v>
      </c>
      <c r="Y78">
        <v>1459.65506659318</v>
      </c>
      <c r="Z78">
        <v>1475.5211537036175</v>
      </c>
      <c r="AA78">
        <v>1489.4689362997865</v>
      </c>
      <c r="AB78">
        <v>1487.3557640435031</v>
      </c>
      <c r="AC78">
        <v>1487.3960228565081</v>
      </c>
      <c r="AD78">
        <v>1490.1515112028503</v>
      </c>
      <c r="AE78">
        <v>1496.6308572743505</v>
      </c>
      <c r="AF78">
        <v>1512.0029783255816</v>
      </c>
      <c r="AG78">
        <v>1529.5458304257859</v>
      </c>
      <c r="AH78">
        <v>1551.5187849896772</v>
      </c>
      <c r="AI78">
        <v>1572.8138040033518</v>
      </c>
      <c r="AJ78">
        <v>1592.405527763126</v>
      </c>
      <c r="AK78">
        <v>1609.4344231329062</v>
      </c>
      <c r="AL78">
        <v>1622.3647226899445</v>
      </c>
      <c r="AM78">
        <v>1632.7329298155453</v>
      </c>
      <c r="AN78">
        <v>1640.3678621192528</v>
      </c>
      <c r="AO78">
        <v>1647.0361598910135</v>
      </c>
      <c r="AP78">
        <v>1653.6857221625369</v>
      </c>
      <c r="AQ78">
        <v>1661.111399102693</v>
      </c>
      <c r="AR78">
        <v>1669.9989677497333</v>
      </c>
      <c r="AS78">
        <v>1679.999873012966</v>
      </c>
      <c r="AT78">
        <v>1690.8811255895955</v>
      </c>
      <c r="AU78">
        <v>1701.8292712059929</v>
      </c>
      <c r="AV78">
        <v>1712.2269923126307</v>
      </c>
      <c r="AW78">
        <v>1721.6234611206289</v>
      </c>
      <c r="AX78">
        <v>1729.7727034902946</v>
      </c>
      <c r="AY78">
        <v>1736.8328958160271</v>
      </c>
      <c r="AZ78">
        <v>1743.0439971929209</v>
      </c>
      <c r="BA78">
        <v>1748.8122016247585</v>
      </c>
      <c r="BB78">
        <v>1754.4714022368375</v>
      </c>
    </row>
    <row r="79" spans="3:54" x14ac:dyDescent="0.2">
      <c r="C79" t="s">
        <v>81</v>
      </c>
      <c r="D79" t="s">
        <v>209</v>
      </c>
      <c r="E79" t="s">
        <v>205</v>
      </c>
      <c r="F79">
        <v>45.291341643354919</v>
      </c>
      <c r="G79">
        <v>71.080108050077001</v>
      </c>
      <c r="H79">
        <v>157.98265106323365</v>
      </c>
      <c r="I79">
        <v>57.758347514296716</v>
      </c>
      <c r="J79">
        <v>126.08149658894209</v>
      </c>
      <c r="K79">
        <v>90.07198472753845</v>
      </c>
      <c r="L79">
        <v>109.65313416032802</v>
      </c>
      <c r="M79">
        <v>109.38116391086302</v>
      </c>
      <c r="N79">
        <v>87.416928497346817</v>
      </c>
      <c r="O79">
        <v>105.92118439951282</v>
      </c>
      <c r="P79">
        <v>91.79539246880266</v>
      </c>
      <c r="Q79">
        <v>103.45349295721077</v>
      </c>
      <c r="R79">
        <v>101.93752749027162</v>
      </c>
      <c r="S79">
        <v>104.32012844031772</v>
      </c>
      <c r="T79">
        <v>113.33559852314983</v>
      </c>
      <c r="U79">
        <v>114.79020540873566</v>
      </c>
      <c r="V79">
        <v>123.80477828076297</v>
      </c>
      <c r="W79">
        <v>125.90086031976281</v>
      </c>
      <c r="X79">
        <v>129.77437946772804</v>
      </c>
      <c r="Y79">
        <v>131.98514672900129</v>
      </c>
      <c r="Z79">
        <v>132.20104882016022</v>
      </c>
      <c r="AA79">
        <v>134.00325862650655</v>
      </c>
      <c r="AB79">
        <v>134.23096929497552</v>
      </c>
      <c r="AC79">
        <v>136.38497793047486</v>
      </c>
      <c r="AD79">
        <v>138.49226982546875</v>
      </c>
      <c r="AE79">
        <v>141.14913889125418</v>
      </c>
      <c r="AF79">
        <v>144.24269339314404</v>
      </c>
      <c r="AG79">
        <v>146.8117689972303</v>
      </c>
      <c r="AH79">
        <v>149.52445843414054</v>
      </c>
      <c r="AI79">
        <v>151.5772270048696</v>
      </c>
      <c r="AJ79">
        <v>153.43295963576</v>
      </c>
      <c r="AK79">
        <v>154.98806513259262</v>
      </c>
      <c r="AL79">
        <v>156.30171839862962</v>
      </c>
      <c r="AM79">
        <v>157.63576349331842</v>
      </c>
      <c r="AN79">
        <v>158.87781858270071</v>
      </c>
      <c r="AO79">
        <v>160.24697031411625</v>
      </c>
      <c r="AP79">
        <v>161.66317923374569</v>
      </c>
      <c r="AQ79">
        <v>163.15531728558622</v>
      </c>
      <c r="AR79">
        <v>164.69574623312468</v>
      </c>
      <c r="AS79">
        <v>166.19403513210318</v>
      </c>
      <c r="AT79">
        <v>167.64191108880743</v>
      </c>
      <c r="AU79">
        <v>168.96377023763699</v>
      </c>
      <c r="AV79">
        <v>170.16791757272026</v>
      </c>
      <c r="AW79">
        <v>171.25506603307457</v>
      </c>
      <c r="AX79">
        <v>172.25048581539849</v>
      </c>
      <c r="AY79">
        <v>173.19833151114017</v>
      </c>
      <c r="AZ79">
        <v>174.1207726236762</v>
      </c>
      <c r="BA79">
        <v>175.0475726574517</v>
      </c>
      <c r="BB79">
        <v>175.98056637388706</v>
      </c>
    </row>
    <row r="80" spans="3:54" x14ac:dyDescent="0.2">
      <c r="C80" t="s">
        <v>82</v>
      </c>
      <c r="D80" t="s">
        <v>222</v>
      </c>
      <c r="E80" t="s">
        <v>205</v>
      </c>
      <c r="F80">
        <v>-19.495702578737824</v>
      </c>
      <c r="G80">
        <v>-29.842394551932532</v>
      </c>
      <c r="H80">
        <v>42.78031765686702</v>
      </c>
      <c r="I80">
        <v>-13.282442739058066</v>
      </c>
      <c r="J80">
        <v>32.271918631417023</v>
      </c>
      <c r="K80">
        <v>16.215853398059977</v>
      </c>
      <c r="L80">
        <v>26.665593772878694</v>
      </c>
      <c r="M80">
        <v>40.421044444310247</v>
      </c>
      <c r="N80">
        <v>26.53181020158766</v>
      </c>
      <c r="O80">
        <v>41.382898044471936</v>
      </c>
      <c r="P80">
        <v>33.002117557559366</v>
      </c>
      <c r="Q80">
        <v>39.302958021293129</v>
      </c>
      <c r="R80">
        <v>39.869043262247921</v>
      </c>
      <c r="S80">
        <v>39.253791577869734</v>
      </c>
      <c r="T80">
        <v>45.214678752569718</v>
      </c>
      <c r="U80">
        <v>45.471980448529777</v>
      </c>
      <c r="V80">
        <v>51.528330075172612</v>
      </c>
      <c r="W80">
        <v>54.114164409865275</v>
      </c>
      <c r="X80">
        <v>57.479977362077548</v>
      </c>
      <c r="Y80">
        <v>60.634866796441472</v>
      </c>
      <c r="Z80">
        <v>61.870015208438005</v>
      </c>
      <c r="AA80">
        <v>64.120578410800945</v>
      </c>
      <c r="AB80">
        <v>64.90042179431174</v>
      </c>
      <c r="AC80">
        <v>66.458014720590128</v>
      </c>
      <c r="AD80">
        <v>67.921237468661985</v>
      </c>
      <c r="AE80">
        <v>69.506256311072931</v>
      </c>
      <c r="AF80">
        <v>71.56391480831229</v>
      </c>
      <c r="AG80">
        <v>73.366398404881181</v>
      </c>
      <c r="AH80">
        <v>75.441667581188852</v>
      </c>
      <c r="AI80">
        <v>77.253395235772174</v>
      </c>
      <c r="AJ80">
        <v>78.979107536500763</v>
      </c>
      <c r="AK80">
        <v>80.560058700959416</v>
      </c>
      <c r="AL80">
        <v>81.911193413095091</v>
      </c>
      <c r="AM80">
        <v>83.20774361021347</v>
      </c>
      <c r="AN80">
        <v>84.347878781254693</v>
      </c>
      <c r="AO80">
        <v>85.478783006628177</v>
      </c>
      <c r="AP80">
        <v>86.586703381584996</v>
      </c>
      <c r="AQ80">
        <v>87.704177737025375</v>
      </c>
      <c r="AR80">
        <v>88.85932743035761</v>
      </c>
      <c r="AS80">
        <v>90.007700488610212</v>
      </c>
      <c r="AT80">
        <v>91.159288755011033</v>
      </c>
      <c r="AU80">
        <v>92.264636411067045</v>
      </c>
      <c r="AV80">
        <v>93.314000599157538</v>
      </c>
      <c r="AW80">
        <v>94.294351335735101</v>
      </c>
      <c r="AX80">
        <v>95.201006403443174</v>
      </c>
      <c r="AY80">
        <v>96.051686859755534</v>
      </c>
      <c r="AZ80">
        <v>96.854204891526507</v>
      </c>
      <c r="BA80">
        <v>97.629413139029793</v>
      </c>
      <c r="BB80">
        <v>98.38663350752482</v>
      </c>
    </row>
    <row r="81" spans="3:54" x14ac:dyDescent="0.2">
      <c r="C81" t="s">
        <v>83</v>
      </c>
      <c r="D81" t="s">
        <v>223</v>
      </c>
      <c r="E81" t="s">
        <v>205</v>
      </c>
      <c r="F81">
        <v>-73.953390280694236</v>
      </c>
      <c r="G81">
        <v>57.799894068199237</v>
      </c>
      <c r="H81">
        <v>352.11236413035641</v>
      </c>
      <c r="I81">
        <v>153.06388620155377</v>
      </c>
      <c r="J81">
        <v>253.4480857926913</v>
      </c>
      <c r="K81">
        <v>230.15826328128523</v>
      </c>
      <c r="L81">
        <v>283.8308909608225</v>
      </c>
      <c r="M81">
        <v>317.20896742418205</v>
      </c>
      <c r="N81">
        <v>275.03486982827854</v>
      </c>
      <c r="O81">
        <v>323.3140643674322</v>
      </c>
      <c r="P81">
        <v>307.47750476773922</v>
      </c>
      <c r="Q81">
        <v>330.86663543798841</v>
      </c>
      <c r="R81">
        <v>332.71227582681826</v>
      </c>
      <c r="S81">
        <v>332.33807273054924</v>
      </c>
      <c r="T81">
        <v>351.23310585391982</v>
      </c>
      <c r="U81">
        <v>355.3044277317594</v>
      </c>
      <c r="V81">
        <v>376.46345792892413</v>
      </c>
      <c r="W81">
        <v>387.52809809109647</v>
      </c>
      <c r="X81">
        <v>401.24248891432052</v>
      </c>
      <c r="Y81">
        <v>413.77404503787869</v>
      </c>
      <c r="Z81">
        <v>420.42088396608295</v>
      </c>
      <c r="AA81">
        <v>429.2488425797809</v>
      </c>
      <c r="AB81">
        <v>433.48160598824433</v>
      </c>
      <c r="AC81">
        <v>439.94413717852547</v>
      </c>
      <c r="AD81">
        <v>446.12598364379431</v>
      </c>
      <c r="AE81">
        <v>452.8050455253366</v>
      </c>
      <c r="AF81">
        <v>460.82330099407778</v>
      </c>
      <c r="AG81">
        <v>468.13037248270456</v>
      </c>
      <c r="AH81">
        <v>476.19490910794667</v>
      </c>
      <c r="AI81">
        <v>483.4380708262932</v>
      </c>
      <c r="AJ81">
        <v>490.38814231985941</v>
      </c>
      <c r="AK81">
        <v>496.83018031442992</v>
      </c>
      <c r="AL81">
        <v>502.5346899874346</v>
      </c>
      <c r="AM81">
        <v>507.97109137147322</v>
      </c>
      <c r="AN81">
        <v>512.8409804890739</v>
      </c>
      <c r="AO81">
        <v>517.57792655380558</v>
      </c>
      <c r="AP81">
        <v>522.16038025348746</v>
      </c>
      <c r="AQ81">
        <v>526.72414660321147</v>
      </c>
      <c r="AR81">
        <v>531.37276241175823</v>
      </c>
      <c r="AS81">
        <v>535.9972865817349</v>
      </c>
      <c r="AT81">
        <v>540.62390133218923</v>
      </c>
      <c r="AU81">
        <v>545.09571706630413</v>
      </c>
      <c r="AV81">
        <v>549.36768314976712</v>
      </c>
      <c r="AW81">
        <v>553.38463043685033</v>
      </c>
      <c r="AX81">
        <v>557.12671747403772</v>
      </c>
      <c r="AY81">
        <v>560.6450348031567</v>
      </c>
      <c r="AZ81">
        <v>563.96971405221541</v>
      </c>
      <c r="BA81">
        <v>567.17093894025254</v>
      </c>
      <c r="BB81">
        <v>570.28447156062123</v>
      </c>
    </row>
    <row r="82" spans="3:54" x14ac:dyDescent="0.2">
      <c r="C82" t="s">
        <v>84</v>
      </c>
      <c r="D82" t="s">
        <v>224</v>
      </c>
      <c r="E82" t="s">
        <v>205</v>
      </c>
      <c r="F82">
        <v>100.93076566109228</v>
      </c>
      <c r="G82">
        <v>44.370498710470315</v>
      </c>
      <c r="H82">
        <v>149.62013095224026</v>
      </c>
      <c r="I82">
        <v>33.440303087529756</v>
      </c>
      <c r="J82">
        <v>113.41824084589385</v>
      </c>
      <c r="K82">
        <v>134.74017449707668</v>
      </c>
      <c r="L82">
        <v>134.87048352325394</v>
      </c>
      <c r="M82">
        <v>170.7352713189143</v>
      </c>
      <c r="N82">
        <v>147.89813808757819</v>
      </c>
      <c r="O82">
        <v>178.12394533271819</v>
      </c>
      <c r="P82">
        <v>165.03134016264289</v>
      </c>
      <c r="Q82">
        <v>161.9876441316863</v>
      </c>
      <c r="R82">
        <v>159.0875508081858</v>
      </c>
      <c r="S82">
        <v>148.46078454645038</v>
      </c>
      <c r="T82">
        <v>155.26847390970744</v>
      </c>
      <c r="U82">
        <v>152.97113693132985</v>
      </c>
      <c r="V82">
        <v>161.35433864374576</v>
      </c>
      <c r="W82">
        <v>167.60542742222455</v>
      </c>
      <c r="X82">
        <v>173.59625609572174</v>
      </c>
      <c r="Y82">
        <v>180.66919975489694</v>
      </c>
      <c r="Z82">
        <v>182.55504037600409</v>
      </c>
      <c r="AA82">
        <v>185.35469477885323</v>
      </c>
      <c r="AB82">
        <v>185.00018920688231</v>
      </c>
      <c r="AC82">
        <v>184.85241875400783</v>
      </c>
      <c r="AD82">
        <v>184.81396361478582</v>
      </c>
      <c r="AE82">
        <v>184.71869151118295</v>
      </c>
      <c r="AF82">
        <v>186.09581688800441</v>
      </c>
      <c r="AG82">
        <v>187.57873787207558</v>
      </c>
      <c r="AH82">
        <v>190.03850816081274</v>
      </c>
      <c r="AI82">
        <v>192.58935876563507</v>
      </c>
      <c r="AJ82">
        <v>195.08975606863984</v>
      </c>
      <c r="AK82">
        <v>197.43695196103954</v>
      </c>
      <c r="AL82">
        <v>199.17813239317783</v>
      </c>
      <c r="AM82">
        <v>200.58639101279331</v>
      </c>
      <c r="AN82">
        <v>201.49270877257177</v>
      </c>
      <c r="AO82">
        <v>202.18201188582466</v>
      </c>
      <c r="AP82">
        <v>202.79784876268221</v>
      </c>
      <c r="AQ82">
        <v>203.46194849534893</v>
      </c>
      <c r="AR82">
        <v>204.33990604815784</v>
      </c>
      <c r="AS82">
        <v>205.38360388236788</v>
      </c>
      <c r="AT82">
        <v>206.6048199655439</v>
      </c>
      <c r="AU82">
        <v>207.88835723404486</v>
      </c>
      <c r="AV82">
        <v>209.14633201930042</v>
      </c>
      <c r="AW82">
        <v>210.30825994991932</v>
      </c>
      <c r="AX82">
        <v>211.31399083936583</v>
      </c>
      <c r="AY82">
        <v>212.17393120619636</v>
      </c>
      <c r="AZ82">
        <v>212.90156359452843</v>
      </c>
      <c r="BA82">
        <v>213.54820830703312</v>
      </c>
      <c r="BB82">
        <v>214.1604036168159</v>
      </c>
    </row>
    <row r="83" spans="3:54" x14ac:dyDescent="0.2">
      <c r="C83" t="s">
        <v>85</v>
      </c>
      <c r="D83" t="s">
        <v>225</v>
      </c>
      <c r="E83" t="s">
        <v>205</v>
      </c>
      <c r="F83">
        <v>26.955582739525731</v>
      </c>
      <c r="G83">
        <v>-104.02896136768494</v>
      </c>
      <c r="H83">
        <v>67.156354382421213</v>
      </c>
      <c r="I83">
        <v>-71.139128124591792</v>
      </c>
      <c r="J83">
        <v>70.61909371541077</v>
      </c>
      <c r="K83">
        <v>63.402089122513253</v>
      </c>
      <c r="L83">
        <v>71.159093777715</v>
      </c>
      <c r="M83">
        <v>117.91958433621541</v>
      </c>
      <c r="N83">
        <v>80.178502351742907</v>
      </c>
      <c r="O83">
        <v>121.23973396138669</v>
      </c>
      <c r="P83">
        <v>100.55205272166569</v>
      </c>
      <c r="Q83">
        <v>113.67829531044856</v>
      </c>
      <c r="R83">
        <v>123.74606724575946</v>
      </c>
      <c r="S83">
        <v>126.37568724385795</v>
      </c>
      <c r="T83">
        <v>150.26410371953281</v>
      </c>
      <c r="U83">
        <v>157.07910377045471</v>
      </c>
      <c r="V83">
        <v>177.81055833346846</v>
      </c>
      <c r="W83">
        <v>190.21186742357301</v>
      </c>
      <c r="X83">
        <v>201.92649815744747</v>
      </c>
      <c r="Y83">
        <v>213.70198130014333</v>
      </c>
      <c r="Z83">
        <v>218.97587015612416</v>
      </c>
      <c r="AA83">
        <v>227.02529879072191</v>
      </c>
      <c r="AB83">
        <v>231.43014602573399</v>
      </c>
      <c r="AC83">
        <v>237.75901692764467</v>
      </c>
      <c r="AD83">
        <v>244.58852667147139</v>
      </c>
      <c r="AE83">
        <v>251.73903938135336</v>
      </c>
      <c r="AF83">
        <v>260.56470783294634</v>
      </c>
      <c r="AG83">
        <v>268.69027895916668</v>
      </c>
      <c r="AH83">
        <v>277.32803348781977</v>
      </c>
      <c r="AI83">
        <v>285.0348133841905</v>
      </c>
      <c r="AJ83">
        <v>292.0411316239539</v>
      </c>
      <c r="AK83">
        <v>298.39861634194659</v>
      </c>
      <c r="AL83">
        <v>303.8599309198583</v>
      </c>
      <c r="AM83">
        <v>309.06949014665616</v>
      </c>
      <c r="AN83">
        <v>313.86288020690347</v>
      </c>
      <c r="AO83">
        <v>318.66890161037065</v>
      </c>
      <c r="AP83">
        <v>323.51154221309378</v>
      </c>
      <c r="AQ83">
        <v>328.41387389832084</v>
      </c>
      <c r="AR83">
        <v>333.42976980989636</v>
      </c>
      <c r="AS83">
        <v>338.37570155521695</v>
      </c>
      <c r="AT83">
        <v>343.23538727143568</v>
      </c>
      <c r="AU83">
        <v>347.85865653600996</v>
      </c>
      <c r="AV83">
        <v>352.20362825215847</v>
      </c>
      <c r="AW83">
        <v>356.25543156580221</v>
      </c>
      <c r="AX83">
        <v>360.01772300569161</v>
      </c>
      <c r="AY83">
        <v>363.56738898279656</v>
      </c>
      <c r="AZ83">
        <v>366.95041482173144</v>
      </c>
      <c r="BA83">
        <v>370.2391997656095</v>
      </c>
      <c r="BB83">
        <v>373.46986386671028</v>
      </c>
    </row>
    <row r="84" spans="3:54" x14ac:dyDescent="0.2">
      <c r="C84" t="s">
        <v>86</v>
      </c>
      <c r="D84" t="s">
        <v>226</v>
      </c>
      <c r="E84" t="s">
        <v>205</v>
      </c>
      <c r="F84">
        <v>168.03311809018058</v>
      </c>
      <c r="G84">
        <v>39.356524881219904</v>
      </c>
      <c r="H84">
        <v>321.54462416971842</v>
      </c>
      <c r="I84">
        <v>135.5659062847825</v>
      </c>
      <c r="J84">
        <v>274.68010198369632</v>
      </c>
      <c r="K84">
        <v>324.15622654338273</v>
      </c>
      <c r="L84">
        <v>335.59846679733403</v>
      </c>
      <c r="M84">
        <v>415.98505712158561</v>
      </c>
      <c r="N84">
        <v>371.54605155896832</v>
      </c>
      <c r="O84">
        <v>430.73348625672668</v>
      </c>
      <c r="P84">
        <v>415.2929110014897</v>
      </c>
      <c r="Q84">
        <v>417.77100628259586</v>
      </c>
      <c r="R84">
        <v>421.54465973767719</v>
      </c>
      <c r="S84">
        <v>406.86163684896826</v>
      </c>
      <c r="T84">
        <v>425.52895830085134</v>
      </c>
      <c r="U84">
        <v>426.48564142864842</v>
      </c>
      <c r="V84">
        <v>446.99880141050431</v>
      </c>
      <c r="W84">
        <v>463.80503919272894</v>
      </c>
      <c r="X84">
        <v>479.37048625870648</v>
      </c>
      <c r="Y84">
        <v>497.43213255655769</v>
      </c>
      <c r="Z84">
        <v>505.3338141971966</v>
      </c>
      <c r="AA84">
        <v>514.80937410530009</v>
      </c>
      <c r="AB84">
        <v>518.22758470744441</v>
      </c>
      <c r="AC84">
        <v>521.85278694985129</v>
      </c>
      <c r="AD84">
        <v>525.87474117479167</v>
      </c>
      <c r="AE84">
        <v>529.70052892701267</v>
      </c>
      <c r="AF84">
        <v>536.2783748647978</v>
      </c>
      <c r="AG84">
        <v>542.84781175726005</v>
      </c>
      <c r="AH84">
        <v>550.98403266636035</v>
      </c>
      <c r="AI84">
        <v>559.05704341355704</v>
      </c>
      <c r="AJ84">
        <v>566.77886623312827</v>
      </c>
      <c r="AK84">
        <v>574.08773308398429</v>
      </c>
      <c r="AL84">
        <v>580.16466634121127</v>
      </c>
      <c r="AM84">
        <v>585.58633879045965</v>
      </c>
      <c r="AN84">
        <v>590.04209001306162</v>
      </c>
      <c r="AO84">
        <v>594.03759578085328</v>
      </c>
      <c r="AP84">
        <v>597.82838784748981</v>
      </c>
      <c r="AQ84">
        <v>601.60627366242045</v>
      </c>
      <c r="AR84">
        <v>605.6797559707187</v>
      </c>
      <c r="AS84">
        <v>609.95354901189205</v>
      </c>
      <c r="AT84">
        <v>614.45634417822612</v>
      </c>
      <c r="AU84">
        <v>618.98309238735862</v>
      </c>
      <c r="AV84">
        <v>623.37415969914605</v>
      </c>
      <c r="AW84">
        <v>627.50813387519474</v>
      </c>
      <c r="AX84">
        <v>631.27743819853424</v>
      </c>
      <c r="AY84">
        <v>634.70981654325976</v>
      </c>
      <c r="AZ84">
        <v>637.83682524785274</v>
      </c>
      <c r="BA84">
        <v>640.7583701283977</v>
      </c>
      <c r="BB84">
        <v>643.56366176892129</v>
      </c>
    </row>
    <row r="85" spans="3:54" x14ac:dyDescent="0.2">
      <c r="C85" t="s">
        <v>87</v>
      </c>
      <c r="D85" t="s">
        <v>227</v>
      </c>
      <c r="E85" t="s">
        <v>205</v>
      </c>
      <c r="F85">
        <v>2707.1622068796764</v>
      </c>
      <c r="G85">
        <v>-277.19481760354972</v>
      </c>
      <c r="H85">
        <v>3620.5751086149066</v>
      </c>
      <c r="I85">
        <v>998.27074040160869</v>
      </c>
      <c r="J85">
        <v>2302.1785127720545</v>
      </c>
      <c r="K85">
        <v>3154.7044125873053</v>
      </c>
      <c r="L85">
        <v>2933.5430963924714</v>
      </c>
      <c r="M85">
        <v>4115.656225069406</v>
      </c>
      <c r="N85">
        <v>3376.6715964851574</v>
      </c>
      <c r="O85">
        <v>4116.3045879558022</v>
      </c>
      <c r="P85">
        <v>4000.8096889025614</v>
      </c>
      <c r="Q85">
        <v>4025.5605097331604</v>
      </c>
      <c r="R85">
        <v>4246.1859039518167</v>
      </c>
      <c r="S85">
        <v>4129.1591598690984</v>
      </c>
      <c r="T85">
        <v>4513.6832782254551</v>
      </c>
      <c r="U85">
        <v>4632.5131954181397</v>
      </c>
      <c r="V85">
        <v>4965.1515800411089</v>
      </c>
      <c r="W85">
        <v>5254.350405240486</v>
      </c>
      <c r="X85">
        <v>5474.3026005240126</v>
      </c>
      <c r="Y85">
        <v>5744.5363607467707</v>
      </c>
      <c r="Z85">
        <v>5869.0433257384311</v>
      </c>
      <c r="AA85">
        <v>6026.5523874473683</v>
      </c>
      <c r="AB85">
        <v>6119.559205294544</v>
      </c>
      <c r="AC85">
        <v>6217.776745085981</v>
      </c>
      <c r="AD85">
        <v>6334.9765621903944</v>
      </c>
      <c r="AE85">
        <v>6445.1126773182586</v>
      </c>
      <c r="AF85">
        <v>6591.7101187553517</v>
      </c>
      <c r="AG85">
        <v>6731.5924274579593</v>
      </c>
      <c r="AH85">
        <v>6884.0533346483253</v>
      </c>
      <c r="AI85">
        <v>7030.5214937452738</v>
      </c>
      <c r="AJ85">
        <v>7165.1395668527866</v>
      </c>
      <c r="AK85">
        <v>7292.2329721459073</v>
      </c>
      <c r="AL85">
        <v>7401.1805855909188</v>
      </c>
      <c r="AM85">
        <v>7502.2717536349201</v>
      </c>
      <c r="AN85">
        <v>7592.5439778427644</v>
      </c>
      <c r="AO85">
        <v>7678.2252639654325</v>
      </c>
      <c r="AP85">
        <v>7762.8607241384507</v>
      </c>
      <c r="AQ85">
        <v>7847.157582126355</v>
      </c>
      <c r="AR85">
        <v>7934.3971831932049</v>
      </c>
      <c r="AS85">
        <v>8022.1222763121305</v>
      </c>
      <c r="AT85">
        <v>8110.160304995281</v>
      </c>
      <c r="AU85">
        <v>8195.9535715756992</v>
      </c>
      <c r="AV85">
        <v>8277.6578928505041</v>
      </c>
      <c r="AW85">
        <v>8354.5151057083312</v>
      </c>
      <c r="AX85">
        <v>8425.7061849724396</v>
      </c>
      <c r="AY85">
        <v>8492.1852091915462</v>
      </c>
      <c r="AZ85">
        <v>8554.6629133571441</v>
      </c>
      <c r="BA85">
        <v>8614.4496106780516</v>
      </c>
      <c r="BB85">
        <v>8672.5845966369143</v>
      </c>
    </row>
    <row r="86" spans="3:54" x14ac:dyDescent="0.2">
      <c r="C86" t="s">
        <v>88</v>
      </c>
      <c r="D86" t="s">
        <v>228</v>
      </c>
      <c r="E86" t="s">
        <v>205</v>
      </c>
      <c r="F86">
        <v>-1690.9461392469461</v>
      </c>
      <c r="G86">
        <v>480.68441879237474</v>
      </c>
      <c r="H86">
        <v>1649.3353933762444</v>
      </c>
      <c r="I86">
        <v>329.43603067636525</v>
      </c>
      <c r="J86">
        <v>759.62085951524239</v>
      </c>
      <c r="K86">
        <v>376.6510718649867</v>
      </c>
      <c r="L86">
        <v>889.19831332544254</v>
      </c>
      <c r="M86">
        <v>682.28852785568085</v>
      </c>
      <c r="N86">
        <v>416.79665052637961</v>
      </c>
      <c r="O86">
        <v>595.9000398348295</v>
      </c>
      <c r="P86">
        <v>468.73137449357819</v>
      </c>
      <c r="Q86">
        <v>632.93498290282855</v>
      </c>
      <c r="R86">
        <v>559.15347873030737</v>
      </c>
      <c r="S86">
        <v>592.41334370814889</v>
      </c>
      <c r="T86">
        <v>661.01813501197876</v>
      </c>
      <c r="U86">
        <v>669.08190611915052</v>
      </c>
      <c r="V86">
        <v>748.93284058032225</v>
      </c>
      <c r="W86">
        <v>736.09284370243188</v>
      </c>
      <c r="X86">
        <v>756.37695859689472</v>
      </c>
      <c r="Y86">
        <v>746.29714116034472</v>
      </c>
      <c r="Z86">
        <v>728.65616737667779</v>
      </c>
      <c r="AA86">
        <v>727.98658405074457</v>
      </c>
      <c r="AB86">
        <v>715.85001108964138</v>
      </c>
      <c r="AC86">
        <v>731.26973585308929</v>
      </c>
      <c r="AD86">
        <v>744.2150133599223</v>
      </c>
      <c r="AE86">
        <v>765.24024778321234</v>
      </c>
      <c r="AF86">
        <v>785.97200474564954</v>
      </c>
      <c r="AG86">
        <v>799.50134273342087</v>
      </c>
      <c r="AH86">
        <v>812.91109226683591</v>
      </c>
      <c r="AI86">
        <v>818.26549226582631</v>
      </c>
      <c r="AJ86">
        <v>823.06942547787241</v>
      </c>
      <c r="AK86">
        <v>825.33022716428263</v>
      </c>
      <c r="AL86">
        <v>827.20567005792509</v>
      </c>
      <c r="AM86">
        <v>830.58337353040531</v>
      </c>
      <c r="AN86">
        <v>834.11377957396223</v>
      </c>
      <c r="AO86">
        <v>839.86515951108868</v>
      </c>
      <c r="AP86">
        <v>846.29407241473461</v>
      </c>
      <c r="AQ86">
        <v>853.80927569256653</v>
      </c>
      <c r="AR86">
        <v>861.64313303664073</v>
      </c>
      <c r="AS86">
        <v>868.91294702539528</v>
      </c>
      <c r="AT86">
        <v>875.5014894119098</v>
      </c>
      <c r="AU86">
        <v>880.69129736657248</v>
      </c>
      <c r="AV86">
        <v>884.83984512814447</v>
      </c>
      <c r="AW86">
        <v>888.07346704099632</v>
      </c>
      <c r="AX86">
        <v>890.88320017079309</v>
      </c>
      <c r="AY86">
        <v>893.76742309291421</v>
      </c>
      <c r="AZ86">
        <v>896.93771280834255</v>
      </c>
      <c r="BA86">
        <v>900.60397713544376</v>
      </c>
      <c r="BB86">
        <v>904.61683593993519</v>
      </c>
    </row>
    <row r="87" spans="3:54" x14ac:dyDescent="0.2">
      <c r="C87" t="s">
        <v>89</v>
      </c>
      <c r="D87" t="s">
        <v>229</v>
      </c>
      <c r="E87" t="s">
        <v>205</v>
      </c>
      <c r="F87">
        <v>-3707.7219188620588</v>
      </c>
      <c r="G87">
        <v>1214.8694918859951</v>
      </c>
      <c r="H87">
        <v>3248.5360023937319</v>
      </c>
      <c r="I87">
        <v>807.41406824202613</v>
      </c>
      <c r="J87">
        <v>1734.1100214865805</v>
      </c>
      <c r="K87">
        <v>854.90607635405797</v>
      </c>
      <c r="L87">
        <v>1955.2824698967624</v>
      </c>
      <c r="M87">
        <v>1441.1583641808388</v>
      </c>
      <c r="N87">
        <v>958.71000575077562</v>
      </c>
      <c r="O87">
        <v>1236.413950463289</v>
      </c>
      <c r="P87">
        <v>934.33664704238754</v>
      </c>
      <c r="Q87">
        <v>1225.721467208745</v>
      </c>
      <c r="R87">
        <v>995.10279002336893</v>
      </c>
      <c r="S87">
        <v>1027.9171863023007</v>
      </c>
      <c r="T87">
        <v>1113.1354263066673</v>
      </c>
      <c r="U87">
        <v>1128.1235200986241</v>
      </c>
      <c r="V87">
        <v>1300.334291897183</v>
      </c>
      <c r="W87">
        <v>1292.8389797515692</v>
      </c>
      <c r="X87">
        <v>1355.7295943967351</v>
      </c>
      <c r="Y87">
        <v>1333.105005763947</v>
      </c>
      <c r="Z87">
        <v>1287.3947539527182</v>
      </c>
      <c r="AA87">
        <v>1257.405049926449</v>
      </c>
      <c r="AB87">
        <v>1200.5845585125242</v>
      </c>
      <c r="AC87">
        <v>1201.2613851274425</v>
      </c>
      <c r="AD87">
        <v>1201.5116250967117</v>
      </c>
      <c r="AE87">
        <v>1228.5489293245603</v>
      </c>
      <c r="AF87">
        <v>1260.0089791675621</v>
      </c>
      <c r="AG87">
        <v>1282.6467185755528</v>
      </c>
      <c r="AH87">
        <v>1306.3739676077021</v>
      </c>
      <c r="AI87">
        <v>1313.561158613378</v>
      </c>
      <c r="AJ87">
        <v>1318.6914100731544</v>
      </c>
      <c r="AK87">
        <v>1316.209180502726</v>
      </c>
      <c r="AL87">
        <v>1311.3770182237818</v>
      </c>
      <c r="AM87">
        <v>1307.5565207973307</v>
      </c>
      <c r="AN87">
        <v>1303.020517483362</v>
      </c>
      <c r="AO87">
        <v>1302.7010268100441</v>
      </c>
      <c r="AP87">
        <v>1304.2812411837774</v>
      </c>
      <c r="AQ87">
        <v>1309.5952910087562</v>
      </c>
      <c r="AR87">
        <v>1317.2922420692637</v>
      </c>
      <c r="AS87">
        <v>1325.7079959737387</v>
      </c>
      <c r="AT87">
        <v>1334.0424842193011</v>
      </c>
      <c r="AU87">
        <v>1340.1555543296749</v>
      </c>
      <c r="AV87">
        <v>1344.0995953687975</v>
      </c>
      <c r="AW87">
        <v>1345.5979238876505</v>
      </c>
      <c r="AX87">
        <v>1345.5333681488171</v>
      </c>
      <c r="AY87">
        <v>1345.0143718013662</v>
      </c>
      <c r="AZ87">
        <v>1344.8191881942575</v>
      </c>
      <c r="BA87">
        <v>1345.7473589332587</v>
      </c>
      <c r="BB87">
        <v>1347.7985228110604</v>
      </c>
    </row>
    <row r="88" spans="3:54" x14ac:dyDescent="0.2">
      <c r="C88" t="s">
        <v>90</v>
      </c>
      <c r="D88" t="s">
        <v>230</v>
      </c>
      <c r="E88" t="s">
        <v>205</v>
      </c>
      <c r="F88">
        <v>-1166.9320018801366</v>
      </c>
      <c r="G88">
        <v>258.69919079198957</v>
      </c>
      <c r="H88">
        <v>1095.9855836335671</v>
      </c>
      <c r="I88">
        <v>47.798722312376398</v>
      </c>
      <c r="J88">
        <v>559.56858668164352</v>
      </c>
      <c r="K88">
        <v>144.35179739799852</v>
      </c>
      <c r="L88">
        <v>535.9820202639047</v>
      </c>
      <c r="M88">
        <v>417.48512121059525</v>
      </c>
      <c r="N88">
        <v>232.46650764282032</v>
      </c>
      <c r="O88">
        <v>402.35808884907897</v>
      </c>
      <c r="P88">
        <v>268.83572980818042</v>
      </c>
      <c r="Q88">
        <v>402.76197534335864</v>
      </c>
      <c r="R88">
        <v>328.26127164138489</v>
      </c>
      <c r="S88">
        <v>333.36336565725833</v>
      </c>
      <c r="T88">
        <v>367.2853173808918</v>
      </c>
      <c r="U88">
        <v>346.36020185005674</v>
      </c>
      <c r="V88">
        <v>399.40573977749074</v>
      </c>
      <c r="W88">
        <v>378.8232156028954</v>
      </c>
      <c r="X88">
        <v>394.0804039949723</v>
      </c>
      <c r="Y88">
        <v>387.74688270734828</v>
      </c>
      <c r="Z88">
        <v>374.89561550573342</v>
      </c>
      <c r="AA88">
        <v>376.16002987106435</v>
      </c>
      <c r="AB88">
        <v>362.838864098231</v>
      </c>
      <c r="AC88">
        <v>369.52203342214659</v>
      </c>
      <c r="AD88">
        <v>370.73635155296876</v>
      </c>
      <c r="AE88">
        <v>377.43089964096987</v>
      </c>
      <c r="AF88">
        <v>384.51624850885378</v>
      </c>
      <c r="AG88">
        <v>386.66968823976327</v>
      </c>
      <c r="AH88">
        <v>391.01575976038151</v>
      </c>
      <c r="AI88">
        <v>390.36424632173879</v>
      </c>
      <c r="AJ88">
        <v>390.88680344593257</v>
      </c>
      <c r="AK88">
        <v>390.19171309306159</v>
      </c>
      <c r="AL88">
        <v>389.35460087451787</v>
      </c>
      <c r="AM88">
        <v>389.5711209926132</v>
      </c>
      <c r="AN88">
        <v>389.22878960806111</v>
      </c>
      <c r="AO88">
        <v>390.07980925246801</v>
      </c>
      <c r="AP88">
        <v>390.87149817948574</v>
      </c>
      <c r="AQ88">
        <v>392.23100781894544</v>
      </c>
      <c r="AR88">
        <v>393.87439125178435</v>
      </c>
      <c r="AS88">
        <v>395.35126064092833</v>
      </c>
      <c r="AT88">
        <v>396.82054570624143</v>
      </c>
      <c r="AU88">
        <v>397.73030078136088</v>
      </c>
      <c r="AV88">
        <v>398.32836139761991</v>
      </c>
      <c r="AW88">
        <v>398.54701478092989</v>
      </c>
      <c r="AX88">
        <v>398.58406773520926</v>
      </c>
      <c r="AY88">
        <v>398.67781847044211</v>
      </c>
      <c r="AZ88">
        <v>398.877900650507</v>
      </c>
      <c r="BA88">
        <v>399.33145637285349</v>
      </c>
      <c r="BB88">
        <v>399.9497943537678</v>
      </c>
    </row>
    <row r="89" spans="3:54" x14ac:dyDescent="0.2">
      <c r="C89" t="s">
        <v>91</v>
      </c>
      <c r="D89" t="s">
        <v>231</v>
      </c>
      <c r="E89" t="s">
        <v>205</v>
      </c>
      <c r="F89">
        <v>-750.81456243270247</v>
      </c>
      <c r="G89">
        <v>231.50266571133585</v>
      </c>
      <c r="H89">
        <v>1108.2514041384122</v>
      </c>
      <c r="I89">
        <v>377.35107584923969</v>
      </c>
      <c r="J89">
        <v>954.4300428079564</v>
      </c>
      <c r="K89">
        <v>646.27334050701882</v>
      </c>
      <c r="L89">
        <v>956.67198066571575</v>
      </c>
      <c r="M89">
        <v>903.53324532874001</v>
      </c>
      <c r="N89">
        <v>747.61754102803241</v>
      </c>
      <c r="O89">
        <v>895.88928753422215</v>
      </c>
      <c r="P89">
        <v>756.07841489407019</v>
      </c>
      <c r="Q89">
        <v>845.47981155659124</v>
      </c>
      <c r="R89">
        <v>772.73299885154699</v>
      </c>
      <c r="S89">
        <v>759.76004162760137</v>
      </c>
      <c r="T89">
        <v>783.67564497171088</v>
      </c>
      <c r="U89">
        <v>760.72766287328761</v>
      </c>
      <c r="V89">
        <v>812.53736090180075</v>
      </c>
      <c r="W89">
        <v>808.35218888551094</v>
      </c>
      <c r="X89">
        <v>834.10489790934969</v>
      </c>
      <c r="Y89">
        <v>840.96524660119837</v>
      </c>
      <c r="Z89">
        <v>834.70212026758463</v>
      </c>
      <c r="AA89">
        <v>836.27842529094551</v>
      </c>
      <c r="AB89">
        <v>820.23647723055456</v>
      </c>
      <c r="AC89">
        <v>818.81511602727755</v>
      </c>
      <c r="AD89">
        <v>813.3814967463926</v>
      </c>
      <c r="AE89">
        <v>814.20093435905017</v>
      </c>
      <c r="AF89">
        <v>818.84922250556747</v>
      </c>
      <c r="AG89">
        <v>821.65270335563343</v>
      </c>
      <c r="AH89">
        <v>828.22980189728071</v>
      </c>
      <c r="AI89">
        <v>831.24006885813696</v>
      </c>
      <c r="AJ89">
        <v>834.8864780888847</v>
      </c>
      <c r="AK89">
        <v>836.74285385709209</v>
      </c>
      <c r="AL89">
        <v>837.19525155417807</v>
      </c>
      <c r="AM89">
        <v>837.48720048091673</v>
      </c>
      <c r="AN89">
        <v>836.39413137193003</v>
      </c>
      <c r="AO89">
        <v>835.81877669866412</v>
      </c>
      <c r="AP89">
        <v>835.13796243383001</v>
      </c>
      <c r="AQ89">
        <v>835.19933750186146</v>
      </c>
      <c r="AR89">
        <v>836.06980243347482</v>
      </c>
      <c r="AS89">
        <v>837.40982622703939</v>
      </c>
      <c r="AT89">
        <v>839.2972437518531</v>
      </c>
      <c r="AU89">
        <v>841.04363369961493</v>
      </c>
      <c r="AV89">
        <v>842.58452488210946</v>
      </c>
      <c r="AW89">
        <v>843.63083270543768</v>
      </c>
      <c r="AX89">
        <v>844.1824647767811</v>
      </c>
      <c r="AY89">
        <v>844.41360195443224</v>
      </c>
      <c r="AZ89">
        <v>844.42840645883018</v>
      </c>
      <c r="BA89">
        <v>844.4877193119853</v>
      </c>
      <c r="BB89">
        <v>844.66786727005456</v>
      </c>
    </row>
    <row r="90" spans="3:54" x14ac:dyDescent="0.2">
      <c r="C90" t="s">
        <v>92</v>
      </c>
      <c r="D90" t="s">
        <v>232</v>
      </c>
      <c r="E90" t="s">
        <v>205</v>
      </c>
      <c r="F90">
        <v>-531.38421057205858</v>
      </c>
      <c r="G90">
        <v>-129.44598900304402</v>
      </c>
      <c r="H90">
        <v>534.72607738348438</v>
      </c>
      <c r="I90">
        <v>168.53799207520558</v>
      </c>
      <c r="J90">
        <v>643.01055651537297</v>
      </c>
      <c r="K90">
        <v>432.5279188483139</v>
      </c>
      <c r="L90">
        <v>639.05980741629241</v>
      </c>
      <c r="M90">
        <v>598.02940901050079</v>
      </c>
      <c r="N90">
        <v>448.26651652591522</v>
      </c>
      <c r="O90">
        <v>513.07884742212718</v>
      </c>
      <c r="P90">
        <v>390.6534375466747</v>
      </c>
      <c r="Q90">
        <v>439.89632230556577</v>
      </c>
      <c r="R90">
        <v>393.33623439376117</v>
      </c>
      <c r="S90">
        <v>395.68724228557335</v>
      </c>
      <c r="T90">
        <v>435.72113622301254</v>
      </c>
      <c r="U90">
        <v>445.25424679516112</v>
      </c>
      <c r="V90">
        <v>503.87304632726989</v>
      </c>
      <c r="W90">
        <v>515.78166428833106</v>
      </c>
      <c r="X90">
        <v>536.77950441624989</v>
      </c>
      <c r="Y90">
        <v>536.20047664504261</v>
      </c>
      <c r="Z90">
        <v>520.28056843413492</v>
      </c>
      <c r="AA90">
        <v>509.32650357186856</v>
      </c>
      <c r="AB90">
        <v>489.27574183370331</v>
      </c>
      <c r="AC90">
        <v>484.71870064236822</v>
      </c>
      <c r="AD90">
        <v>483.33068671618469</v>
      </c>
      <c r="AE90">
        <v>490.34745916539811</v>
      </c>
      <c r="AF90">
        <v>502.15176085833855</v>
      </c>
      <c r="AG90">
        <v>512.31185989076084</v>
      </c>
      <c r="AH90">
        <v>523.22138614665471</v>
      </c>
      <c r="AI90">
        <v>529.08566277318027</v>
      </c>
      <c r="AJ90">
        <v>532.80570029675175</v>
      </c>
      <c r="AK90">
        <v>533.41229182350969</v>
      </c>
      <c r="AL90">
        <v>531.96969765791061</v>
      </c>
      <c r="AM90">
        <v>530.29348724889644</v>
      </c>
      <c r="AN90">
        <v>528.24693348419692</v>
      </c>
      <c r="AO90">
        <v>527.60182480949527</v>
      </c>
      <c r="AP90">
        <v>528.08090290763255</v>
      </c>
      <c r="AQ90">
        <v>530.08510023091014</v>
      </c>
      <c r="AR90">
        <v>533.29241878370078</v>
      </c>
      <c r="AS90">
        <v>536.96387472352217</v>
      </c>
      <c r="AT90">
        <v>540.69793024790556</v>
      </c>
      <c r="AU90">
        <v>543.7029168014999</v>
      </c>
      <c r="AV90">
        <v>545.82138505756211</v>
      </c>
      <c r="AW90">
        <v>546.9533055721206</v>
      </c>
      <c r="AX90">
        <v>547.33354542248844</v>
      </c>
      <c r="AY90">
        <v>547.37879949850708</v>
      </c>
      <c r="AZ90">
        <v>547.41808452127316</v>
      </c>
      <c r="BA90">
        <v>547.79250862230174</v>
      </c>
      <c r="BB90">
        <v>548.5968080948353</v>
      </c>
    </row>
    <row r="91" spans="3:54" x14ac:dyDescent="0.2">
      <c r="C91" t="s">
        <v>93</v>
      </c>
      <c r="D91" t="s">
        <v>233</v>
      </c>
      <c r="E91" t="s">
        <v>205</v>
      </c>
      <c r="F91">
        <v>-724.54677218149618</v>
      </c>
      <c r="G91">
        <v>294.27118381325505</v>
      </c>
      <c r="H91">
        <v>1157.5661997091895</v>
      </c>
      <c r="I91">
        <v>572.44292769576327</v>
      </c>
      <c r="J91">
        <v>1016.6765735894755</v>
      </c>
      <c r="K91">
        <v>745.70114039934765</v>
      </c>
      <c r="L91">
        <v>1023.8315496569865</v>
      </c>
      <c r="M91">
        <v>1011.040668386907</v>
      </c>
      <c r="N91">
        <v>892.83352572227568</v>
      </c>
      <c r="O91">
        <v>1017.9325257756932</v>
      </c>
      <c r="P91">
        <v>897.39062711876807</v>
      </c>
      <c r="Q91">
        <v>967.04751499249983</v>
      </c>
      <c r="R91">
        <v>898.32667849584163</v>
      </c>
      <c r="S91">
        <v>877.69021261703119</v>
      </c>
      <c r="T91">
        <v>893.87523385554198</v>
      </c>
      <c r="U91">
        <v>878.5184102919352</v>
      </c>
      <c r="V91">
        <v>932.2854217521392</v>
      </c>
      <c r="W91">
        <v>941.50831935138194</v>
      </c>
      <c r="X91">
        <v>974.45854720358898</v>
      </c>
      <c r="Y91">
        <v>988.77260146396827</v>
      </c>
      <c r="Z91">
        <v>988.20328209756235</v>
      </c>
      <c r="AA91">
        <v>990.98310249410679</v>
      </c>
      <c r="AB91">
        <v>976.81440649862657</v>
      </c>
      <c r="AC91">
        <v>974.20724286470556</v>
      </c>
      <c r="AD91">
        <v>968.84388570080057</v>
      </c>
      <c r="AE91">
        <v>969.85302291547532</v>
      </c>
      <c r="AF91">
        <v>975.40659283043328</v>
      </c>
      <c r="AG91">
        <v>980.47939737939373</v>
      </c>
      <c r="AH91">
        <v>989.46491345363336</v>
      </c>
      <c r="AI91">
        <v>995.80475112430952</v>
      </c>
      <c r="AJ91">
        <v>1002.588285397407</v>
      </c>
      <c r="AK91">
        <v>1007.4476146752619</v>
      </c>
      <c r="AL91">
        <v>1010.4445755380866</v>
      </c>
      <c r="AM91">
        <v>1012.5597182045954</v>
      </c>
      <c r="AN91">
        <v>1012.8536632421035</v>
      </c>
      <c r="AO91">
        <v>1013.1522261718185</v>
      </c>
      <c r="AP91">
        <v>1013.2363839229304</v>
      </c>
      <c r="AQ91">
        <v>1014.0886574032568</v>
      </c>
      <c r="AR91">
        <v>1015.9494199280198</v>
      </c>
      <c r="AS91">
        <v>1018.5731869219302</v>
      </c>
      <c r="AT91">
        <v>1021.9431027763555</v>
      </c>
      <c r="AU91">
        <v>1025.3208208901485</v>
      </c>
      <c r="AV91">
        <v>1028.4746582882253</v>
      </c>
      <c r="AW91">
        <v>1031.0255197296085</v>
      </c>
      <c r="AX91">
        <v>1032.9027824383634</v>
      </c>
      <c r="AY91">
        <v>1034.2556893754431</v>
      </c>
      <c r="AZ91">
        <v>1035.2277417095042</v>
      </c>
      <c r="BA91">
        <v>1036.1203041366807</v>
      </c>
      <c r="BB91">
        <v>1037.0795164998992</v>
      </c>
    </row>
    <row r="92" spans="3:54" x14ac:dyDescent="0.2">
      <c r="C92" t="s">
        <v>94</v>
      </c>
      <c r="D92" t="s">
        <v>234</v>
      </c>
      <c r="E92" t="s">
        <v>205</v>
      </c>
      <c r="F92">
        <v>-274.06371825284685</v>
      </c>
      <c r="G92">
        <v>786.49270869917962</v>
      </c>
      <c r="H92">
        <v>2280.7237081804165</v>
      </c>
      <c r="I92">
        <v>1264.2561326826255</v>
      </c>
      <c r="J92">
        <v>2098.3060164732947</v>
      </c>
      <c r="K92">
        <v>2006.5329621056835</v>
      </c>
      <c r="L92">
        <v>2419.2880112795292</v>
      </c>
      <c r="M92">
        <v>2586.988237339096</v>
      </c>
      <c r="N92">
        <v>2389.3830865755267</v>
      </c>
      <c r="O92">
        <v>2682.8302777890308</v>
      </c>
      <c r="P92">
        <v>2561.7757614892362</v>
      </c>
      <c r="Q92">
        <v>2672.8363000956447</v>
      </c>
      <c r="R92">
        <v>2613.9716076830655</v>
      </c>
      <c r="S92">
        <v>2565.1245671279808</v>
      </c>
      <c r="T92">
        <v>2619.8020295442452</v>
      </c>
      <c r="U92">
        <v>2607.4438078374483</v>
      </c>
      <c r="V92">
        <v>2715.1799121922577</v>
      </c>
      <c r="W92">
        <v>2772.4754769585647</v>
      </c>
      <c r="X92">
        <v>2859.2019569895147</v>
      </c>
      <c r="Y92">
        <v>2931.1715854463782</v>
      </c>
      <c r="Z92">
        <v>2964.4364293525691</v>
      </c>
      <c r="AA92">
        <v>2999.9533726818217</v>
      </c>
      <c r="AB92">
        <v>3000.6387642926661</v>
      </c>
      <c r="AC92">
        <v>3012.0044116778417</v>
      </c>
      <c r="AD92">
        <v>3020.023743795251</v>
      </c>
      <c r="AE92">
        <v>3034.9802468934504</v>
      </c>
      <c r="AF92">
        <v>3061.024101604823</v>
      </c>
      <c r="AG92">
        <v>3087.267638721039</v>
      </c>
      <c r="AH92">
        <v>3121.4024743566315</v>
      </c>
      <c r="AI92">
        <v>3152.660720019685</v>
      </c>
      <c r="AJ92">
        <v>3183.7583795607561</v>
      </c>
      <c r="AK92">
        <v>3211.7995198577019</v>
      </c>
      <c r="AL92">
        <v>3235.1488933763867</v>
      </c>
      <c r="AM92">
        <v>3255.8182341631818</v>
      </c>
      <c r="AN92">
        <v>3271.9580098232809</v>
      </c>
      <c r="AO92">
        <v>3286.4672910691479</v>
      </c>
      <c r="AP92">
        <v>3299.6249737866251</v>
      </c>
      <c r="AQ92">
        <v>3313.0867049271878</v>
      </c>
      <c r="AR92">
        <v>3327.9834895182826</v>
      </c>
      <c r="AS92">
        <v>3344.1136341024753</v>
      </c>
      <c r="AT92">
        <v>3361.6698624945739</v>
      </c>
      <c r="AU92">
        <v>3379.4516048476594</v>
      </c>
      <c r="AV92">
        <v>3396.7960043155922</v>
      </c>
      <c r="AW92">
        <v>3412.8887632660535</v>
      </c>
      <c r="AX92">
        <v>3427.295217456031</v>
      </c>
      <c r="AY92">
        <v>3440.1413150610506</v>
      </c>
      <c r="AZ92">
        <v>3451.6250555860051</v>
      </c>
      <c r="BA92">
        <v>3462.3118638836486</v>
      </c>
      <c r="BB92">
        <v>3472.6054179424782</v>
      </c>
    </row>
    <row r="93" spans="3:54" x14ac:dyDescent="0.2">
      <c r="C93" t="s">
        <v>95</v>
      </c>
      <c r="D93" t="s">
        <v>235</v>
      </c>
      <c r="E93" t="s">
        <v>205</v>
      </c>
      <c r="F93">
        <v>-311.99349390373612</v>
      </c>
      <c r="G93">
        <v>141.9469114399117</v>
      </c>
      <c r="H93">
        <v>496.30472261556503</v>
      </c>
      <c r="I93">
        <v>145.12106171222285</v>
      </c>
      <c r="J93">
        <v>294.87711798873346</v>
      </c>
      <c r="K93">
        <v>203.12787020645737</v>
      </c>
      <c r="L93">
        <v>311.82572730866252</v>
      </c>
      <c r="M93">
        <v>283.81522756621371</v>
      </c>
      <c r="N93">
        <v>203.14830289435181</v>
      </c>
      <c r="O93">
        <v>254.8481151701088</v>
      </c>
      <c r="P93">
        <v>212.31252758620465</v>
      </c>
      <c r="Q93">
        <v>248.11452804173024</v>
      </c>
      <c r="R93">
        <v>230.7504607041991</v>
      </c>
      <c r="S93">
        <v>233.17116076812164</v>
      </c>
      <c r="T93">
        <v>254.39104672115252</v>
      </c>
      <c r="U93">
        <v>256.12130584871909</v>
      </c>
      <c r="V93">
        <v>280.7329925548284</v>
      </c>
      <c r="W93">
        <v>281.73927362069503</v>
      </c>
      <c r="X93">
        <v>289.24710703876946</v>
      </c>
      <c r="Y93">
        <v>289.67093744234722</v>
      </c>
      <c r="Z93">
        <v>284.82400855991608</v>
      </c>
      <c r="AA93">
        <v>284.51507864418392</v>
      </c>
      <c r="AB93">
        <v>279.9665197171916</v>
      </c>
      <c r="AC93">
        <v>282.48167659616325</v>
      </c>
      <c r="AD93">
        <v>285.10430609250864</v>
      </c>
      <c r="AE93">
        <v>290.03508242046433</v>
      </c>
      <c r="AF93">
        <v>296.02174645904154</v>
      </c>
      <c r="AG93">
        <v>300.35755542377234</v>
      </c>
      <c r="AH93">
        <v>305.0326971233855</v>
      </c>
      <c r="AI93">
        <v>307.59540722423839</v>
      </c>
      <c r="AJ93">
        <v>309.72416016552035</v>
      </c>
      <c r="AK93">
        <v>310.99235424252208</v>
      </c>
      <c r="AL93">
        <v>311.74325276317563</v>
      </c>
      <c r="AM93">
        <v>312.69287089512778</v>
      </c>
      <c r="AN93">
        <v>313.49810378732656</v>
      </c>
      <c r="AO93">
        <v>314.83985371212759</v>
      </c>
      <c r="AP93">
        <v>316.43681563696168</v>
      </c>
      <c r="AQ93">
        <v>318.41904790244365</v>
      </c>
      <c r="AR93">
        <v>320.65956525509426</v>
      </c>
      <c r="AS93">
        <v>322.87389574347873</v>
      </c>
      <c r="AT93">
        <v>325.00265803746873</v>
      </c>
      <c r="AU93">
        <v>326.78718734124544</v>
      </c>
      <c r="AV93">
        <v>328.25407507479963</v>
      </c>
      <c r="AW93">
        <v>329.40443611507419</v>
      </c>
      <c r="AX93">
        <v>330.34098071432891</v>
      </c>
      <c r="AY93">
        <v>331.21429077407197</v>
      </c>
      <c r="AZ93">
        <v>332.10536214713596</v>
      </c>
      <c r="BA93">
        <v>333.107551965928</v>
      </c>
      <c r="BB93">
        <v>334.21583875053886</v>
      </c>
    </row>
    <row r="94" spans="3:54" x14ac:dyDescent="0.2">
      <c r="C94" t="s">
        <v>96</v>
      </c>
      <c r="D94" t="s">
        <v>236</v>
      </c>
      <c r="E94" t="s">
        <v>205</v>
      </c>
      <c r="F94">
        <v>74.877796080340516</v>
      </c>
      <c r="G94">
        <v>109.71064227299644</v>
      </c>
      <c r="H94">
        <v>188.77613457876919</v>
      </c>
      <c r="I94">
        <v>60.821153509870989</v>
      </c>
      <c r="J94">
        <v>121.32793037853386</v>
      </c>
      <c r="K94">
        <v>120.98372011723835</v>
      </c>
      <c r="L94">
        <v>146.20929858357866</v>
      </c>
      <c r="M94">
        <v>152.64425945004075</v>
      </c>
      <c r="N94">
        <v>127.75386837997492</v>
      </c>
      <c r="O94">
        <v>152.97376081805749</v>
      </c>
      <c r="P94">
        <v>145.66277372054708</v>
      </c>
      <c r="Q94">
        <v>155.89973853560318</v>
      </c>
      <c r="R94">
        <v>154.95798225214372</v>
      </c>
      <c r="S94">
        <v>154.63759705837197</v>
      </c>
      <c r="T94">
        <v>163.84334566762979</v>
      </c>
      <c r="U94">
        <v>164.387758861609</v>
      </c>
      <c r="V94">
        <v>172.02148117580401</v>
      </c>
      <c r="W94">
        <v>173.93550782143458</v>
      </c>
      <c r="X94">
        <v>177.40463928067862</v>
      </c>
      <c r="Y94">
        <v>180.68789855047385</v>
      </c>
      <c r="Z94">
        <v>181.72884175219019</v>
      </c>
      <c r="AA94">
        <v>184.52136591662111</v>
      </c>
      <c r="AB94">
        <v>185.56983646937528</v>
      </c>
      <c r="AC94">
        <v>188.00151049270198</v>
      </c>
      <c r="AD94">
        <v>190.21231077432333</v>
      </c>
      <c r="AE94">
        <v>192.45429369171495</v>
      </c>
      <c r="AF94">
        <v>195.09669462472306</v>
      </c>
      <c r="AG94">
        <v>197.20473859944204</v>
      </c>
      <c r="AH94">
        <v>199.60320869054817</v>
      </c>
      <c r="AI94">
        <v>201.58886189287321</v>
      </c>
      <c r="AJ94">
        <v>203.50699610541923</v>
      </c>
      <c r="AK94">
        <v>205.29026563349964</v>
      </c>
      <c r="AL94">
        <v>206.85435962656771</v>
      </c>
      <c r="AM94">
        <v>208.42945261210156</v>
      </c>
      <c r="AN94">
        <v>209.84903485112952</v>
      </c>
      <c r="AO94">
        <v>211.2980172293604</v>
      </c>
      <c r="AP94">
        <v>212.72172061396864</v>
      </c>
      <c r="AQ94">
        <v>214.14748526531855</v>
      </c>
      <c r="AR94">
        <v>215.59305826078437</v>
      </c>
      <c r="AS94">
        <v>216.99152095300394</v>
      </c>
      <c r="AT94">
        <v>218.3632729231158</v>
      </c>
      <c r="AU94">
        <v>219.65311146110616</v>
      </c>
      <c r="AV94">
        <v>220.86862125369851</v>
      </c>
      <c r="AW94">
        <v>222.00749527117949</v>
      </c>
      <c r="AX94">
        <v>223.07486992345372</v>
      </c>
      <c r="AY94">
        <v>224.09726875686795</v>
      </c>
      <c r="AZ94">
        <v>225.07976467387871</v>
      </c>
      <c r="BA94">
        <v>226.04134442411512</v>
      </c>
      <c r="BB94">
        <v>226.98324735276927</v>
      </c>
    </row>
    <row r="95" spans="3:54" x14ac:dyDescent="0.2">
      <c r="C95" t="s">
        <v>97</v>
      </c>
      <c r="D95" t="s">
        <v>237</v>
      </c>
      <c r="E95" t="s">
        <v>205</v>
      </c>
      <c r="F95">
        <v>-447.78156842102493</v>
      </c>
      <c r="G95">
        <v>177.48851508493308</v>
      </c>
      <c r="H95">
        <v>516.2376293719235</v>
      </c>
      <c r="I95">
        <v>129.1603275956823</v>
      </c>
      <c r="J95">
        <v>225.70415639632949</v>
      </c>
      <c r="K95">
        <v>172.95698598631128</v>
      </c>
      <c r="L95">
        <v>292.08015353204229</v>
      </c>
      <c r="M95">
        <v>247.36935806126843</v>
      </c>
      <c r="N95">
        <v>155.08105548492532</v>
      </c>
      <c r="O95">
        <v>189.18810554432477</v>
      </c>
      <c r="P95">
        <v>149.16048278880726</v>
      </c>
      <c r="Q95">
        <v>173.87330580578379</v>
      </c>
      <c r="R95">
        <v>150.36494729711956</v>
      </c>
      <c r="S95">
        <v>149.72042211027193</v>
      </c>
      <c r="T95">
        <v>170.07225783263186</v>
      </c>
      <c r="U95">
        <v>177.26635387880992</v>
      </c>
      <c r="V95">
        <v>204.09512230813641</v>
      </c>
      <c r="W95">
        <v>208.67909040669767</v>
      </c>
      <c r="X95">
        <v>216.59533364405263</v>
      </c>
      <c r="Y95">
        <v>215.29356326277781</v>
      </c>
      <c r="Z95">
        <v>207.30641247119792</v>
      </c>
      <c r="AA95">
        <v>201.95532432714683</v>
      </c>
      <c r="AB95">
        <v>193.32086196061454</v>
      </c>
      <c r="AC95">
        <v>192.23362376075019</v>
      </c>
      <c r="AD95">
        <v>192.91364941085456</v>
      </c>
      <c r="AE95">
        <v>197.0829697285738</v>
      </c>
      <c r="AF95">
        <v>202.95192368327275</v>
      </c>
      <c r="AG95">
        <v>207.66063102912773</v>
      </c>
      <c r="AH95">
        <v>212.4134434314941</v>
      </c>
      <c r="AI95">
        <v>214.81151170413978</v>
      </c>
      <c r="AJ95">
        <v>216.24561440914496</v>
      </c>
      <c r="AK95">
        <v>216.39803805286078</v>
      </c>
      <c r="AL95">
        <v>215.76227665624143</v>
      </c>
      <c r="AM95">
        <v>215.13857051003231</v>
      </c>
      <c r="AN95">
        <v>214.4329657944734</v>
      </c>
      <c r="AO95">
        <v>214.39486608349191</v>
      </c>
      <c r="AP95">
        <v>214.88110779360065</v>
      </c>
      <c r="AQ95">
        <v>216.0386643858115</v>
      </c>
      <c r="AR95">
        <v>217.69985664125298</v>
      </c>
      <c r="AS95">
        <v>219.51082406790559</v>
      </c>
      <c r="AT95">
        <v>221.28157820052667</v>
      </c>
      <c r="AU95">
        <v>222.66801770644707</v>
      </c>
      <c r="AV95">
        <v>223.62099978251322</v>
      </c>
      <c r="AW95">
        <v>224.12759440247984</v>
      </c>
      <c r="AX95">
        <v>224.31960200004653</v>
      </c>
      <c r="AY95">
        <v>224.39987008950285</v>
      </c>
      <c r="AZ95">
        <v>224.51712883671215</v>
      </c>
      <c r="BA95">
        <v>224.81187518067642</v>
      </c>
      <c r="BB95">
        <v>225.30846349235111</v>
      </c>
    </row>
    <row r="96" spans="3:54" x14ac:dyDescent="0.2">
      <c r="C96" t="s">
        <v>98</v>
      </c>
      <c r="D96" t="s">
        <v>238</v>
      </c>
      <c r="E96" t="s">
        <v>205</v>
      </c>
      <c r="F96">
        <v>-383.56931316308555</v>
      </c>
      <c r="G96">
        <v>-151.13497829203146</v>
      </c>
      <c r="H96">
        <v>233.91559086594404</v>
      </c>
      <c r="I96">
        <v>-9.0016479489182437</v>
      </c>
      <c r="J96">
        <v>181.24735517897759</v>
      </c>
      <c r="K96">
        <v>90.959229744282595</v>
      </c>
      <c r="L96">
        <v>216.92753156382031</v>
      </c>
      <c r="M96">
        <v>238.82776325875855</v>
      </c>
      <c r="N96">
        <v>197.36041610158222</v>
      </c>
      <c r="O96">
        <v>253.29185544744851</v>
      </c>
      <c r="P96">
        <v>210.07561182324656</v>
      </c>
      <c r="Q96">
        <v>241.73150922050652</v>
      </c>
      <c r="R96">
        <v>221.47867512139132</v>
      </c>
      <c r="S96">
        <v>216.55556138054325</v>
      </c>
      <c r="T96">
        <v>228.4161700449516</v>
      </c>
      <c r="U96">
        <v>226.53234768645811</v>
      </c>
      <c r="V96">
        <v>252.98377911041504</v>
      </c>
      <c r="W96">
        <v>262.70614153460389</v>
      </c>
      <c r="X96">
        <v>281.56526105157059</v>
      </c>
      <c r="Y96">
        <v>293.85667721672968</v>
      </c>
      <c r="Z96">
        <v>299.32809089051028</v>
      </c>
      <c r="AA96">
        <v>305.6979867434394</v>
      </c>
      <c r="AB96">
        <v>304.34479598440714</v>
      </c>
      <c r="AC96">
        <v>306.72780522528024</v>
      </c>
      <c r="AD96">
        <v>307.76640704851337</v>
      </c>
      <c r="AE96">
        <v>311.12295254861777</v>
      </c>
      <c r="AF96">
        <v>316.6081957407045</v>
      </c>
      <c r="AG96">
        <v>322.09576946156045</v>
      </c>
      <c r="AH96">
        <v>329.3477765169805</v>
      </c>
      <c r="AI96">
        <v>335.6189191766718</v>
      </c>
      <c r="AJ96">
        <v>341.9292377511909</v>
      </c>
      <c r="AK96">
        <v>347.30972708795241</v>
      </c>
      <c r="AL96">
        <v>351.67340593946045</v>
      </c>
      <c r="AM96">
        <v>355.46078571488084</v>
      </c>
      <c r="AN96">
        <v>358.31214798095982</v>
      </c>
      <c r="AO96">
        <v>360.99285621945694</v>
      </c>
      <c r="AP96">
        <v>363.47011782873091</v>
      </c>
      <c r="AQ96">
        <v>366.15445795561112</v>
      </c>
      <c r="AR96">
        <v>369.18974412051938</v>
      </c>
      <c r="AS96">
        <v>372.49264730266964</v>
      </c>
      <c r="AT96">
        <v>376.07204731696697</v>
      </c>
      <c r="AU96">
        <v>379.63044120634129</v>
      </c>
      <c r="AV96">
        <v>383.05422161672027</v>
      </c>
      <c r="AW96">
        <v>386.17092329506067</v>
      </c>
      <c r="AX96">
        <v>388.92466772593878</v>
      </c>
      <c r="AY96">
        <v>391.36236528708395</v>
      </c>
      <c r="AZ96">
        <v>393.53903911496036</v>
      </c>
      <c r="BA96">
        <v>395.58594611722162</v>
      </c>
      <c r="BB96">
        <v>397.58108539714334</v>
      </c>
    </row>
    <row r="97" spans="3:54" x14ac:dyDescent="0.2">
      <c r="C97" t="s">
        <v>99</v>
      </c>
      <c r="D97" t="s">
        <v>239</v>
      </c>
      <c r="E97" t="s">
        <v>205</v>
      </c>
      <c r="F97">
        <v>109.2604107818849</v>
      </c>
      <c r="G97">
        <v>436.3499354355327</v>
      </c>
      <c r="H97">
        <v>1286.4584295564698</v>
      </c>
      <c r="I97">
        <v>659.6004696738994</v>
      </c>
      <c r="J97">
        <v>1309.1789011036053</v>
      </c>
      <c r="K97">
        <v>1335.3876420096719</v>
      </c>
      <c r="L97">
        <v>1657.0269597514086</v>
      </c>
      <c r="M97">
        <v>1830.9365566207478</v>
      </c>
      <c r="N97">
        <v>1763.5975854290584</v>
      </c>
      <c r="O97">
        <v>1970.2024414321261</v>
      </c>
      <c r="P97">
        <v>1895.6605629031687</v>
      </c>
      <c r="Q97">
        <v>1954.9255400923353</v>
      </c>
      <c r="R97">
        <v>1917.2835860731691</v>
      </c>
      <c r="S97">
        <v>1892.7016361932963</v>
      </c>
      <c r="T97">
        <v>1940.9330872614078</v>
      </c>
      <c r="U97">
        <v>1952.0005828109129</v>
      </c>
      <c r="V97">
        <v>2040.528673251971</v>
      </c>
      <c r="W97">
        <v>2099.0528635631554</v>
      </c>
      <c r="X97">
        <v>2173.4598914853382</v>
      </c>
      <c r="Y97">
        <v>2235.5206686002753</v>
      </c>
      <c r="Z97">
        <v>2268.9244948481833</v>
      </c>
      <c r="AA97">
        <v>2299.6689414099674</v>
      </c>
      <c r="AB97">
        <v>2305.3624406486697</v>
      </c>
      <c r="AC97">
        <v>2315.2038933050226</v>
      </c>
      <c r="AD97">
        <v>2322.2433039728344</v>
      </c>
      <c r="AE97">
        <v>2334.1665699016962</v>
      </c>
      <c r="AF97">
        <v>2354.8242777763012</v>
      </c>
      <c r="AG97">
        <v>2377.7101767655718</v>
      </c>
      <c r="AH97">
        <v>2407.2015425160266</v>
      </c>
      <c r="AI97">
        <v>2435.7532628004105</v>
      </c>
      <c r="AJ97">
        <v>2463.9525906275981</v>
      </c>
      <c r="AK97">
        <v>2489.2038389552208</v>
      </c>
      <c r="AL97">
        <v>2509.999870160902</v>
      </c>
      <c r="AM97">
        <v>2527.612721180245</v>
      </c>
      <c r="AN97">
        <v>2541.2542176207398</v>
      </c>
      <c r="AO97">
        <v>2553.2507375444543</v>
      </c>
      <c r="AP97">
        <v>2564.3103283395976</v>
      </c>
      <c r="AQ97">
        <v>2575.824438705929</v>
      </c>
      <c r="AR97">
        <v>2588.6816869465952</v>
      </c>
      <c r="AS97">
        <v>2602.7425475346718</v>
      </c>
      <c r="AT97">
        <v>2617.9817009397098</v>
      </c>
      <c r="AU97">
        <v>2633.4426775730826</v>
      </c>
      <c r="AV97">
        <v>2648.493745396795</v>
      </c>
      <c r="AW97">
        <v>2662.4603001679252</v>
      </c>
      <c r="AX97">
        <v>2674.9727430743574</v>
      </c>
      <c r="AY97">
        <v>2686.0955936437617</v>
      </c>
      <c r="AZ97">
        <v>2696.0104724781086</v>
      </c>
      <c r="BA97">
        <v>2705.1760377862452</v>
      </c>
      <c r="BB97">
        <v>2713.9688201964555</v>
      </c>
    </row>
    <row r="98" spans="3:54" x14ac:dyDescent="0.2">
      <c r="C98" t="s">
        <v>100</v>
      </c>
      <c r="D98" t="s">
        <v>240</v>
      </c>
      <c r="E98" t="s">
        <v>205</v>
      </c>
      <c r="F98">
        <v>-87.532053129459712</v>
      </c>
      <c r="G98">
        <v>-35.550930842669523</v>
      </c>
      <c r="H98">
        <v>666.70658112684634</v>
      </c>
      <c r="I98">
        <v>335.05040910066083</v>
      </c>
      <c r="J98">
        <v>852.15909369629094</v>
      </c>
      <c r="K98">
        <v>735.07241197298265</v>
      </c>
      <c r="L98">
        <v>922.23856659296064</v>
      </c>
      <c r="M98">
        <v>1038.3460688651535</v>
      </c>
      <c r="N98">
        <v>959.25966113201639</v>
      </c>
      <c r="O98">
        <v>1091.3460741935887</v>
      </c>
      <c r="P98">
        <v>1000.7428110080642</v>
      </c>
      <c r="Q98">
        <v>1051.3544100739985</v>
      </c>
      <c r="R98">
        <v>1025.8943785180818</v>
      </c>
      <c r="S98">
        <v>1010.3723920178061</v>
      </c>
      <c r="T98">
        <v>1044.5686164741364</v>
      </c>
      <c r="U98">
        <v>1042.4216837774704</v>
      </c>
      <c r="V98">
        <v>1101.1269684404015</v>
      </c>
      <c r="W98">
        <v>1130.8840196045555</v>
      </c>
      <c r="X98">
        <v>1174.1527102330626</v>
      </c>
      <c r="Y98">
        <v>1208.2872607047727</v>
      </c>
      <c r="Z98">
        <v>1223.3124712018671</v>
      </c>
      <c r="AA98">
        <v>1240.5481828100626</v>
      </c>
      <c r="AB98">
        <v>1240.3519320101857</v>
      </c>
      <c r="AC98">
        <v>1245.9314637820992</v>
      </c>
      <c r="AD98">
        <v>1249.6725814260815</v>
      </c>
      <c r="AE98">
        <v>1257.3586397598622</v>
      </c>
      <c r="AF98">
        <v>1271.0738263433163</v>
      </c>
      <c r="AG98">
        <v>1285.2022011041336</v>
      </c>
      <c r="AH98">
        <v>1303.5287179846816</v>
      </c>
      <c r="AI98">
        <v>1320.2039485180474</v>
      </c>
      <c r="AJ98">
        <v>1336.4922993490709</v>
      </c>
      <c r="AK98">
        <v>1350.7402697330222</v>
      </c>
      <c r="AL98">
        <v>1362.214186480247</v>
      </c>
      <c r="AM98">
        <v>1372.1423697635214</v>
      </c>
      <c r="AN98">
        <v>1379.8090768016928</v>
      </c>
      <c r="AO98">
        <v>1386.8934577665036</v>
      </c>
      <c r="AP98">
        <v>1393.5710597227142</v>
      </c>
      <c r="AQ98">
        <v>1400.6490984013465</v>
      </c>
      <c r="AR98">
        <v>1408.581938410581</v>
      </c>
      <c r="AS98">
        <v>1417.1465799757141</v>
      </c>
      <c r="AT98">
        <v>1426.3583925676733</v>
      </c>
      <c r="AU98">
        <v>1435.5630577465301</v>
      </c>
      <c r="AV98">
        <v>1444.4354467064381</v>
      </c>
      <c r="AW98">
        <v>1452.5898140629718</v>
      </c>
      <c r="AX98">
        <v>1459.8458410972464</v>
      </c>
      <c r="AY98">
        <v>1466.3015897572971</v>
      </c>
      <c r="AZ98">
        <v>1472.0813977540415</v>
      </c>
      <c r="BA98">
        <v>1477.489797665776</v>
      </c>
      <c r="BB98">
        <v>1482.7380868543491</v>
      </c>
    </row>
    <row r="99" spans="3:54" x14ac:dyDescent="0.2">
      <c r="C99" t="s">
        <v>101</v>
      </c>
      <c r="D99" t="s">
        <v>241</v>
      </c>
      <c r="E99" t="s">
        <v>205</v>
      </c>
      <c r="F99">
        <v>8.7679739403278987</v>
      </c>
      <c r="G99">
        <v>-31.848736423392324</v>
      </c>
      <c r="H99">
        <v>30.14189074563069</v>
      </c>
      <c r="I99">
        <v>-22.168869968285286</v>
      </c>
      <c r="J99">
        <v>46.217997300122278</v>
      </c>
      <c r="K99">
        <v>49.673979196934887</v>
      </c>
      <c r="L99">
        <v>57.480375909639669</v>
      </c>
      <c r="M99">
        <v>74.331004542486312</v>
      </c>
      <c r="N99">
        <v>60.248474457262887</v>
      </c>
      <c r="O99">
        <v>75.765177123443493</v>
      </c>
      <c r="P99">
        <v>63.707584754065287</v>
      </c>
      <c r="Q99">
        <v>64.302882945106973</v>
      </c>
      <c r="R99">
        <v>62.592299348730243</v>
      </c>
      <c r="S99">
        <v>59.721024087324665</v>
      </c>
      <c r="T99">
        <v>66.086147205288597</v>
      </c>
      <c r="U99">
        <v>67.185453087055805</v>
      </c>
      <c r="V99">
        <v>75.134982687337782</v>
      </c>
      <c r="W99">
        <v>80.277710603767574</v>
      </c>
      <c r="X99">
        <v>85.433595863254425</v>
      </c>
      <c r="Y99">
        <v>89.884454854341911</v>
      </c>
      <c r="Z99">
        <v>91.061019194189313</v>
      </c>
      <c r="AA99">
        <v>92.568661163908715</v>
      </c>
      <c r="AB99">
        <v>92.132099269810311</v>
      </c>
      <c r="AC99">
        <v>92.366551549776133</v>
      </c>
      <c r="AD99">
        <v>92.883883323166117</v>
      </c>
      <c r="AE99">
        <v>93.898415516337394</v>
      </c>
      <c r="AF99">
        <v>95.949189024468296</v>
      </c>
      <c r="AG99">
        <v>98.091538876515827</v>
      </c>
      <c r="AH99">
        <v>100.70691085713274</v>
      </c>
      <c r="AI99">
        <v>103.08161772907118</v>
      </c>
      <c r="AJ99">
        <v>105.21625757093329</v>
      </c>
      <c r="AK99">
        <v>107.01895484701321</v>
      </c>
      <c r="AL99">
        <v>108.35375266248215</v>
      </c>
      <c r="AM99">
        <v>109.45760235182088</v>
      </c>
      <c r="AN99">
        <v>110.29256450839267</v>
      </c>
      <c r="AO99">
        <v>111.08852896343282</v>
      </c>
      <c r="AP99">
        <v>111.91617184444978</v>
      </c>
      <c r="AQ99">
        <v>112.84937752011115</v>
      </c>
      <c r="AR99">
        <v>113.94351910075113</v>
      </c>
      <c r="AS99">
        <v>115.13562463712498</v>
      </c>
      <c r="AT99">
        <v>116.40033927712912</v>
      </c>
      <c r="AU99">
        <v>117.640473256821</v>
      </c>
      <c r="AV99">
        <v>118.79937434545684</v>
      </c>
      <c r="AW99">
        <v>119.83593065261967</v>
      </c>
      <c r="AX99">
        <v>120.73319122091947</v>
      </c>
      <c r="AY99">
        <v>121.51873019419783</v>
      </c>
      <c r="AZ99">
        <v>122.22159768387833</v>
      </c>
      <c r="BA99">
        <v>122.88888404136398</v>
      </c>
      <c r="BB99">
        <v>123.55356568390806</v>
      </c>
    </row>
    <row r="100" spans="3:54" x14ac:dyDescent="0.2">
      <c r="C100" t="s">
        <v>102</v>
      </c>
      <c r="D100" t="s">
        <v>242</v>
      </c>
      <c r="E100" t="s">
        <v>205</v>
      </c>
      <c r="F100">
        <v>5248.8210026193383</v>
      </c>
      <c r="G100">
        <v>4568.5285519911868</v>
      </c>
      <c r="H100">
        <v>10004.364559128855</v>
      </c>
      <c r="I100">
        <v>4630.2077273581226</v>
      </c>
      <c r="J100">
        <v>8811.8863811769552</v>
      </c>
      <c r="K100">
        <v>10084.183681780965</v>
      </c>
      <c r="L100">
        <v>11444.310572816577</v>
      </c>
      <c r="M100">
        <v>13318.320623226817</v>
      </c>
      <c r="N100">
        <v>12579.818660474582</v>
      </c>
      <c r="O100">
        <v>14213.641945505546</v>
      </c>
      <c r="P100">
        <v>13756.166154134991</v>
      </c>
      <c r="Q100">
        <v>13890.65875080859</v>
      </c>
      <c r="R100">
        <v>13746.847623425207</v>
      </c>
      <c r="S100">
        <v>13414.960454829079</v>
      </c>
      <c r="T100">
        <v>13873.779828707016</v>
      </c>
      <c r="U100">
        <v>14004.854298880022</v>
      </c>
      <c r="V100">
        <v>14705.049740890141</v>
      </c>
      <c r="W100">
        <v>15280.39015741022</v>
      </c>
      <c r="X100">
        <v>15885.918926775785</v>
      </c>
      <c r="Y100">
        <v>16473.213351715913</v>
      </c>
      <c r="Z100">
        <v>16789.321219138623</v>
      </c>
      <c r="AA100">
        <v>17090.41744945951</v>
      </c>
      <c r="AB100">
        <v>17200.313095072881</v>
      </c>
      <c r="AC100">
        <v>17312.580422103878</v>
      </c>
      <c r="AD100">
        <v>17419.621245653616</v>
      </c>
      <c r="AE100">
        <v>17544.440504449092</v>
      </c>
      <c r="AF100">
        <v>17749.005497860795</v>
      </c>
      <c r="AG100">
        <v>17973.062798045397</v>
      </c>
      <c r="AH100">
        <v>18251.068693112156</v>
      </c>
      <c r="AI100">
        <v>18530.346469772387</v>
      </c>
      <c r="AJ100">
        <v>18802.483937221295</v>
      </c>
      <c r="AK100">
        <v>19053.804459369934</v>
      </c>
      <c r="AL100">
        <v>19264.317153266951</v>
      </c>
      <c r="AM100">
        <v>19445.91121140989</v>
      </c>
      <c r="AN100">
        <v>19592.868593496562</v>
      </c>
      <c r="AO100">
        <v>19722.631236130735</v>
      </c>
      <c r="AP100">
        <v>19844.371004686207</v>
      </c>
      <c r="AQ100">
        <v>19967.884520223357</v>
      </c>
      <c r="AR100">
        <v>20102.181482672553</v>
      </c>
      <c r="AS100">
        <v>20245.807444033406</v>
      </c>
      <c r="AT100">
        <v>20398.463914359854</v>
      </c>
      <c r="AU100">
        <v>20552.813571718132</v>
      </c>
      <c r="AV100">
        <v>20702.989065785016</v>
      </c>
      <c r="AW100">
        <v>20843.807178937015</v>
      </c>
      <c r="AX100">
        <v>20971.732627103156</v>
      </c>
      <c r="AY100">
        <v>21087.210066090727</v>
      </c>
      <c r="AZ100">
        <v>21191.636772230017</v>
      </c>
      <c r="BA100">
        <v>21288.635006482255</v>
      </c>
      <c r="BB100">
        <v>21381.531130014053</v>
      </c>
    </row>
    <row r="101" spans="3:54" x14ac:dyDescent="0.2">
      <c r="C101" t="s">
        <v>103</v>
      </c>
      <c r="D101" t="s">
        <v>244</v>
      </c>
      <c r="E101" t="s">
        <v>243</v>
      </c>
      <c r="F101">
        <v>-590.32398512388272</v>
      </c>
      <c r="G101">
        <v>70.216849273399944</v>
      </c>
      <c r="H101">
        <v>487.52425102937292</v>
      </c>
      <c r="I101">
        <v>166.2643687083762</v>
      </c>
      <c r="J101">
        <v>290.42375889588686</v>
      </c>
      <c r="K101">
        <v>133.54830546907218</v>
      </c>
      <c r="L101">
        <v>316.60439805093182</v>
      </c>
      <c r="M101">
        <v>294.09458863169641</v>
      </c>
      <c r="N101">
        <v>239.53899713150699</v>
      </c>
      <c r="O101">
        <v>279.86181397096806</v>
      </c>
      <c r="P101">
        <v>239.51708180135799</v>
      </c>
      <c r="Q101">
        <v>292.6134851301066</v>
      </c>
      <c r="R101">
        <v>266.34898856342494</v>
      </c>
      <c r="S101">
        <v>269.50132943984812</v>
      </c>
      <c r="T101">
        <v>279.85084201456385</v>
      </c>
      <c r="U101">
        <v>280.57316579226119</v>
      </c>
      <c r="V101">
        <v>307.1469014740448</v>
      </c>
      <c r="W101">
        <v>309.65640401496756</v>
      </c>
      <c r="X101">
        <v>324.2447800328215</v>
      </c>
      <c r="Y101">
        <v>328.59015029790373</v>
      </c>
      <c r="Z101">
        <v>329.86452218351815</v>
      </c>
      <c r="AA101">
        <v>332.82987303199013</v>
      </c>
      <c r="AB101">
        <v>329.85148440333785</v>
      </c>
      <c r="AC101">
        <v>333.20639816252611</v>
      </c>
      <c r="AD101">
        <v>335.09154671373039</v>
      </c>
      <c r="AE101">
        <v>340.09919206161334</v>
      </c>
      <c r="AF101">
        <v>345.83962260549572</v>
      </c>
      <c r="AG101">
        <v>350.70267634322732</v>
      </c>
      <c r="AH101">
        <v>356.42336802446448</v>
      </c>
      <c r="AI101">
        <v>360.36036883377921</v>
      </c>
      <c r="AJ101">
        <v>364.38913666537371</v>
      </c>
      <c r="AK101">
        <v>367.46306073624379</v>
      </c>
      <c r="AL101">
        <v>370.06804583364629</v>
      </c>
      <c r="AM101">
        <v>372.55836104277</v>
      </c>
      <c r="AN101">
        <v>374.56680802584435</v>
      </c>
      <c r="AO101">
        <v>376.79056526405674</v>
      </c>
      <c r="AP101">
        <v>378.93482621760967</v>
      </c>
      <c r="AQ101">
        <v>381.35331875538543</v>
      </c>
      <c r="AR101">
        <v>383.98631025446821</v>
      </c>
      <c r="AS101">
        <v>386.71137506573393</v>
      </c>
      <c r="AT101">
        <v>389.51214658032495</v>
      </c>
      <c r="AU101">
        <v>392.11829690219542</v>
      </c>
      <c r="AV101">
        <v>394.52145296297022</v>
      </c>
      <c r="AW101">
        <v>396.62263362908857</v>
      </c>
      <c r="AX101">
        <v>398.46674152094363</v>
      </c>
      <c r="AY101">
        <v>400.14204209657265</v>
      </c>
      <c r="AZ101">
        <v>401.71344764636257</v>
      </c>
      <c r="BA101">
        <v>403.28621025106867</v>
      </c>
      <c r="BB101">
        <v>404.88094913869543</v>
      </c>
    </row>
    <row r="102" spans="3:54" x14ac:dyDescent="0.2">
      <c r="C102" t="s">
        <v>104</v>
      </c>
      <c r="D102" t="s">
        <v>245</v>
      </c>
      <c r="E102" t="s">
        <v>243</v>
      </c>
      <c r="F102">
        <v>-41.245477535219536</v>
      </c>
      <c r="G102">
        <v>25.787610185334696</v>
      </c>
      <c r="H102">
        <v>64.841710215261287</v>
      </c>
      <c r="I102">
        <v>19.922329708530345</v>
      </c>
      <c r="J102">
        <v>32.046473039490706</v>
      </c>
      <c r="K102">
        <v>40.960828039837118</v>
      </c>
      <c r="L102">
        <v>59.417944516128713</v>
      </c>
      <c r="M102">
        <v>66.660837159899941</v>
      </c>
      <c r="N102">
        <v>58.561137053834258</v>
      </c>
      <c r="O102">
        <v>65.614594517194845</v>
      </c>
      <c r="P102">
        <v>63.639326302690172</v>
      </c>
      <c r="Q102">
        <v>66.223655703681658</v>
      </c>
      <c r="R102">
        <v>65.168084600003269</v>
      </c>
      <c r="S102">
        <v>65.036782514940839</v>
      </c>
      <c r="T102">
        <v>69.932094958401564</v>
      </c>
      <c r="U102">
        <v>73.977917745703223</v>
      </c>
      <c r="V102">
        <v>81.034936220543258</v>
      </c>
      <c r="W102">
        <v>86.335743896774801</v>
      </c>
      <c r="X102">
        <v>91.327606412334873</v>
      </c>
      <c r="Y102">
        <v>95.229300756122953</v>
      </c>
      <c r="Z102">
        <v>97.284148676258866</v>
      </c>
      <c r="AA102">
        <v>98.992468093173343</v>
      </c>
      <c r="AB102">
        <v>99.749285864388852</v>
      </c>
      <c r="AC102">
        <v>100.95824841890264</v>
      </c>
      <c r="AD102">
        <v>102.46836878569708</v>
      </c>
      <c r="AE102">
        <v>104.43429310884513</v>
      </c>
      <c r="AF102">
        <v>106.92713873324952</v>
      </c>
      <c r="AG102">
        <v>109.51038878124979</v>
      </c>
      <c r="AH102">
        <v>112.26251854029353</v>
      </c>
      <c r="AI102">
        <v>114.8143047627856</v>
      </c>
      <c r="AJ102">
        <v>117.14767504319964</v>
      </c>
      <c r="AK102">
        <v>119.1872275871324</v>
      </c>
      <c r="AL102">
        <v>120.89924197285247</v>
      </c>
      <c r="AM102">
        <v>122.39694699951737</v>
      </c>
      <c r="AN102">
        <v>123.70188370598898</v>
      </c>
      <c r="AO102">
        <v>124.95442389558711</v>
      </c>
      <c r="AP102">
        <v>126.21744501872419</v>
      </c>
      <c r="AQ102">
        <v>127.55122572099536</v>
      </c>
      <c r="AR102">
        <v>128.97967065032216</v>
      </c>
      <c r="AS102">
        <v>130.46431090236359</v>
      </c>
      <c r="AT102">
        <v>131.96856935113493</v>
      </c>
      <c r="AU102">
        <v>133.42409371599931</v>
      </c>
      <c r="AV102">
        <v>134.78821323236431</v>
      </c>
      <c r="AW102">
        <v>136.034272899385</v>
      </c>
      <c r="AX102">
        <v>137.15975412276075</v>
      </c>
      <c r="AY102">
        <v>138.18804929214471</v>
      </c>
      <c r="AZ102">
        <v>139.14712247288506</v>
      </c>
      <c r="BA102">
        <v>140.07105619682284</v>
      </c>
      <c r="BB102">
        <v>140.98301963591189</v>
      </c>
    </row>
    <row r="103" spans="3:54" x14ac:dyDescent="0.2">
      <c r="C103" t="s">
        <v>105</v>
      </c>
      <c r="D103" t="s">
        <v>246</v>
      </c>
      <c r="E103" t="s">
        <v>243</v>
      </c>
      <c r="F103">
        <v>27.060918019215439</v>
      </c>
      <c r="G103">
        <v>570.29720568011078</v>
      </c>
      <c r="H103">
        <v>1319.7965986814613</v>
      </c>
      <c r="I103">
        <v>592.58942701667854</v>
      </c>
      <c r="J103">
        <v>959.6962902183966</v>
      </c>
      <c r="K103">
        <v>968.30922860084297</v>
      </c>
      <c r="L103">
        <v>1183.176393164048</v>
      </c>
      <c r="M103">
        <v>1320.6625954192011</v>
      </c>
      <c r="N103">
        <v>1187.5648460378504</v>
      </c>
      <c r="O103">
        <v>1322.0947768426183</v>
      </c>
      <c r="P103">
        <v>1244.8288181834425</v>
      </c>
      <c r="Q103">
        <v>1269.3741991071654</v>
      </c>
      <c r="R103">
        <v>1226.6365256165129</v>
      </c>
      <c r="S103">
        <v>1184.408607142557</v>
      </c>
      <c r="T103">
        <v>1223.431765680308</v>
      </c>
      <c r="U103">
        <v>1233.0594986452888</v>
      </c>
      <c r="V103">
        <v>1306.2481610065943</v>
      </c>
      <c r="W103">
        <v>1353.2424129895692</v>
      </c>
      <c r="X103">
        <v>1405.3344285322271</v>
      </c>
      <c r="Y103">
        <v>1447.7444102859433</v>
      </c>
      <c r="Z103">
        <v>1462.6517202670398</v>
      </c>
      <c r="AA103">
        <v>1476.9034510760575</v>
      </c>
      <c r="AB103">
        <v>1472.5292631051821</v>
      </c>
      <c r="AC103">
        <v>1473.8742983182872</v>
      </c>
      <c r="AD103">
        <v>1476.3804886224368</v>
      </c>
      <c r="AE103">
        <v>1483.6888987784464</v>
      </c>
      <c r="AF103">
        <v>1499.2593343614922</v>
      </c>
      <c r="AG103">
        <v>1516.2083213528772</v>
      </c>
      <c r="AH103">
        <v>1538.0788616119494</v>
      </c>
      <c r="AI103">
        <v>1558.7099320722989</v>
      </c>
      <c r="AJ103">
        <v>1578.3261947947146</v>
      </c>
      <c r="AK103">
        <v>1595.3408447655772</v>
      </c>
      <c r="AL103">
        <v>1608.4141366204501</v>
      </c>
      <c r="AM103">
        <v>1618.9914929295414</v>
      </c>
      <c r="AN103">
        <v>1626.5627777242221</v>
      </c>
      <c r="AO103">
        <v>1633.1748307665991</v>
      </c>
      <c r="AP103">
        <v>1639.5773532714713</v>
      </c>
      <c r="AQ103">
        <v>1646.8129083749166</v>
      </c>
      <c r="AR103">
        <v>1655.5611830095093</v>
      </c>
      <c r="AS103">
        <v>1665.4763168217364</v>
      </c>
      <c r="AT103">
        <v>1676.356888970342</v>
      </c>
      <c r="AU103">
        <v>1687.2835318443069</v>
      </c>
      <c r="AV103">
        <v>1697.6675876877916</v>
      </c>
      <c r="AW103">
        <v>1707.0109793024326</v>
      </c>
      <c r="AX103">
        <v>1715.090126166853</v>
      </c>
      <c r="AY103">
        <v>1722.0814287212161</v>
      </c>
      <c r="AZ103">
        <v>1728.2242641960297</v>
      </c>
      <c r="BA103">
        <v>1733.9436430173757</v>
      </c>
      <c r="BB103">
        <v>1739.5555707549483</v>
      </c>
    </row>
    <row r="104" spans="3:54" x14ac:dyDescent="0.2">
      <c r="C104" t="s">
        <v>106</v>
      </c>
      <c r="D104" t="s">
        <v>247</v>
      </c>
      <c r="E104" t="s">
        <v>243</v>
      </c>
      <c r="F104">
        <v>-95.34767655161744</v>
      </c>
      <c r="G104">
        <v>81.707615038655845</v>
      </c>
      <c r="H104">
        <v>284.98455887168262</v>
      </c>
      <c r="I104">
        <v>128.78271541986908</v>
      </c>
      <c r="J104">
        <v>143.82554899884292</v>
      </c>
      <c r="K104">
        <v>144.22793133113407</v>
      </c>
      <c r="L104">
        <v>160.87303972388946</v>
      </c>
      <c r="M104">
        <v>161.41724839223662</v>
      </c>
      <c r="N104">
        <v>107.77435951565705</v>
      </c>
      <c r="O104">
        <v>115.14967810775757</v>
      </c>
      <c r="P104">
        <v>101.42363804784127</v>
      </c>
      <c r="Q104">
        <v>104.15315152346417</v>
      </c>
      <c r="R104">
        <v>101.05288742457016</v>
      </c>
      <c r="S104">
        <v>95.515064648497329</v>
      </c>
      <c r="T104">
        <v>105.25204513590438</v>
      </c>
      <c r="U104">
        <v>107.29220605277112</v>
      </c>
      <c r="V104">
        <v>115.53913441315098</v>
      </c>
      <c r="W104">
        <v>116.81326642022883</v>
      </c>
      <c r="X104">
        <v>115.76266087438094</v>
      </c>
      <c r="Y104">
        <v>113.4573778710775</v>
      </c>
      <c r="Z104">
        <v>107.1830876985116</v>
      </c>
      <c r="AA104">
        <v>102.91509466866964</v>
      </c>
      <c r="AB104">
        <v>98.079994579138102</v>
      </c>
      <c r="AC104">
        <v>96.103534821348433</v>
      </c>
      <c r="AD104">
        <v>95.879748707255644</v>
      </c>
      <c r="AE104">
        <v>96.602507496435337</v>
      </c>
      <c r="AF104">
        <v>98.29201694844555</v>
      </c>
      <c r="AG104">
        <v>99.232992861563602</v>
      </c>
      <c r="AH104">
        <v>99.942641560892966</v>
      </c>
      <c r="AI104">
        <v>99.705508855538127</v>
      </c>
      <c r="AJ104">
        <v>98.844547881484502</v>
      </c>
      <c r="AK104">
        <v>97.611935772595601</v>
      </c>
      <c r="AL104">
        <v>96.068233626544242</v>
      </c>
      <c r="AM104">
        <v>94.683618358535284</v>
      </c>
      <c r="AN104">
        <v>93.423418952343681</v>
      </c>
      <c r="AO104">
        <v>92.527091145211543</v>
      </c>
      <c r="AP104">
        <v>91.975845542636094</v>
      </c>
      <c r="AQ104">
        <v>91.720027526084735</v>
      </c>
      <c r="AR104">
        <v>91.700227682294184</v>
      </c>
      <c r="AS104">
        <v>91.721486082385823</v>
      </c>
      <c r="AT104">
        <v>91.695311286679328</v>
      </c>
      <c r="AU104">
        <v>91.496490625248512</v>
      </c>
      <c r="AV104">
        <v>91.103838832316058</v>
      </c>
      <c r="AW104">
        <v>90.549337366620449</v>
      </c>
      <c r="AX104">
        <v>89.896700608846032</v>
      </c>
      <c r="AY104">
        <v>89.248131838021848</v>
      </c>
      <c r="AZ104">
        <v>88.669211352583801</v>
      </c>
      <c r="BA104">
        <v>88.210703610855148</v>
      </c>
      <c r="BB104">
        <v>87.876128463527266</v>
      </c>
    </row>
    <row r="105" spans="3:54" x14ac:dyDescent="0.2">
      <c r="C105" t="s">
        <v>107</v>
      </c>
      <c r="D105" t="s">
        <v>248</v>
      </c>
      <c r="E105" t="s">
        <v>243</v>
      </c>
      <c r="F105">
        <v>91.00236902035013</v>
      </c>
      <c r="G105">
        <v>-65.536839281804262</v>
      </c>
      <c r="H105">
        <v>114.76004545706843</v>
      </c>
      <c r="I105">
        <v>-27.165473015299465</v>
      </c>
      <c r="J105">
        <v>111.76162669274981</v>
      </c>
      <c r="K105">
        <v>120.77221971839039</v>
      </c>
      <c r="L105">
        <v>140.65776435617212</v>
      </c>
      <c r="M105">
        <v>202.49330479985383</v>
      </c>
      <c r="N105">
        <v>173.86825950517311</v>
      </c>
      <c r="O105">
        <v>223.06763652168672</v>
      </c>
      <c r="P105">
        <v>203.6946032463392</v>
      </c>
      <c r="Q105">
        <v>211.19108168259794</v>
      </c>
      <c r="R105">
        <v>212.74808205506929</v>
      </c>
      <c r="S105">
        <v>204.99867618143455</v>
      </c>
      <c r="T105">
        <v>220.77977670733421</v>
      </c>
      <c r="U105">
        <v>221.75523316895814</v>
      </c>
      <c r="V105">
        <v>240.00237334030186</v>
      </c>
      <c r="W105">
        <v>252.86212331904963</v>
      </c>
      <c r="X105">
        <v>266.52763884023057</v>
      </c>
      <c r="Y105">
        <v>280.86345665649031</v>
      </c>
      <c r="Z105">
        <v>287.70250695247051</v>
      </c>
      <c r="AA105">
        <v>295.95199056568879</v>
      </c>
      <c r="AB105">
        <v>298.92832312733992</v>
      </c>
      <c r="AC105">
        <v>302.50075645901507</v>
      </c>
      <c r="AD105">
        <v>305.87411155800419</v>
      </c>
      <c r="AE105">
        <v>309.37426076232668</v>
      </c>
      <c r="AF105">
        <v>314.98658992635916</v>
      </c>
      <c r="AG105">
        <v>320.60667787147878</v>
      </c>
      <c r="AH105">
        <v>327.58389610804841</v>
      </c>
      <c r="AI105">
        <v>334.37266334401806</v>
      </c>
      <c r="AJ105">
        <v>340.9392894352282</v>
      </c>
      <c r="AK105">
        <v>347.05589880614377</v>
      </c>
      <c r="AL105">
        <v>352.16886187556298</v>
      </c>
      <c r="AM105">
        <v>356.73936442068225</v>
      </c>
      <c r="AN105">
        <v>360.51615563768775</v>
      </c>
      <c r="AO105">
        <v>363.96609262953331</v>
      </c>
      <c r="AP105">
        <v>367.24336193197632</v>
      </c>
      <c r="AQ105">
        <v>370.53083124379259</v>
      </c>
      <c r="AR105">
        <v>374.04317344275171</v>
      </c>
      <c r="AS105">
        <v>377.70070337271761</v>
      </c>
      <c r="AT105">
        <v>381.52916182651427</v>
      </c>
      <c r="AU105">
        <v>385.35441415095562</v>
      </c>
      <c r="AV105">
        <v>389.06377131259609</v>
      </c>
      <c r="AW105">
        <v>392.55493917537865</v>
      </c>
      <c r="AX105">
        <v>395.74882325000641</v>
      </c>
      <c r="AY105">
        <v>398.66750247273325</v>
      </c>
      <c r="AZ105">
        <v>401.33516648114443</v>
      </c>
      <c r="BA105">
        <v>403.83479616876099</v>
      </c>
      <c r="BB105">
        <v>406.23584263774865</v>
      </c>
    </row>
    <row r="106" spans="3:54" x14ac:dyDescent="0.2">
      <c r="C106" t="s">
        <v>108</v>
      </c>
      <c r="D106" t="s">
        <v>249</v>
      </c>
      <c r="E106" t="s">
        <v>243</v>
      </c>
      <c r="F106">
        <v>95.850777768141995</v>
      </c>
      <c r="G106">
        <v>258.37700573231319</v>
      </c>
      <c r="H106">
        <v>393.1060688950646</v>
      </c>
      <c r="I106">
        <v>118.80473903836223</v>
      </c>
      <c r="J106">
        <v>335.43067106654632</v>
      </c>
      <c r="K106">
        <v>393.26756216407011</v>
      </c>
      <c r="L106">
        <v>476.86605595960435</v>
      </c>
      <c r="M106">
        <v>502.23016450004707</v>
      </c>
      <c r="N106">
        <v>459.30768128081576</v>
      </c>
      <c r="O106">
        <v>510.29560583987791</v>
      </c>
      <c r="P106">
        <v>477.79912468113866</v>
      </c>
      <c r="Q106">
        <v>483.81448161395787</v>
      </c>
      <c r="R106">
        <v>471.75438776871164</v>
      </c>
      <c r="S106">
        <v>473.71989463164067</v>
      </c>
      <c r="T106">
        <v>506.78926923388138</v>
      </c>
      <c r="U106">
        <v>531.24110541213577</v>
      </c>
      <c r="V106">
        <v>577.74495555113458</v>
      </c>
      <c r="W106">
        <v>612.92106389479557</v>
      </c>
      <c r="X106">
        <v>648.2644415627127</v>
      </c>
      <c r="Y106">
        <v>675.96901379149085</v>
      </c>
      <c r="Z106">
        <v>691.43988967450707</v>
      </c>
      <c r="AA106">
        <v>704.62297582884662</v>
      </c>
      <c r="AB106">
        <v>710.71379686659805</v>
      </c>
      <c r="AC106">
        <v>719.53037033258363</v>
      </c>
      <c r="AD106">
        <v>729.67606939041355</v>
      </c>
      <c r="AE106">
        <v>743.03793799103744</v>
      </c>
      <c r="AF106">
        <v>760.30741674607009</v>
      </c>
      <c r="AG106">
        <v>778.64898174274538</v>
      </c>
      <c r="AH106">
        <v>798.5545160929446</v>
      </c>
      <c r="AI106">
        <v>817.18786413744135</v>
      </c>
      <c r="AJ106">
        <v>834.36526889977074</v>
      </c>
      <c r="AK106">
        <v>849.37239932400826</v>
      </c>
      <c r="AL106">
        <v>861.98181880763809</v>
      </c>
      <c r="AM106">
        <v>872.9860970360179</v>
      </c>
      <c r="AN106">
        <v>882.57384117866627</v>
      </c>
      <c r="AO106">
        <v>891.78196659991681</v>
      </c>
      <c r="AP106">
        <v>901.03806692285207</v>
      </c>
      <c r="AQ106">
        <v>910.77753298040955</v>
      </c>
      <c r="AR106">
        <v>921.15484423273188</v>
      </c>
      <c r="AS106">
        <v>931.91514979372209</v>
      </c>
      <c r="AT106">
        <v>942.82240906172626</v>
      </c>
      <c r="AU106">
        <v>953.40908164073437</v>
      </c>
      <c r="AV106">
        <v>963.38495546303977</v>
      </c>
      <c r="AW106">
        <v>972.54808565868836</v>
      </c>
      <c r="AX106">
        <v>980.86238718558991</v>
      </c>
      <c r="AY106">
        <v>988.4689588471125</v>
      </c>
      <c r="AZ106">
        <v>995.54930601734702</v>
      </c>
      <c r="BA106">
        <v>1002.341471110798</v>
      </c>
      <c r="BB106">
        <v>1009.0158026308054</v>
      </c>
    </row>
    <row r="107" spans="3:54" x14ac:dyDescent="0.2">
      <c r="C107" t="s">
        <v>109</v>
      </c>
      <c r="D107" t="s">
        <v>250</v>
      </c>
      <c r="E107" t="s">
        <v>243</v>
      </c>
      <c r="F107">
        <v>49.718429595282821</v>
      </c>
      <c r="G107">
        <v>79.963292963564626</v>
      </c>
      <c r="H107">
        <v>155.87986175806608</v>
      </c>
      <c r="I107">
        <v>67.346817306635359</v>
      </c>
      <c r="J107">
        <v>111.74941800324291</v>
      </c>
      <c r="K107">
        <v>126.11905777426827</v>
      </c>
      <c r="L107">
        <v>136.81514592250014</v>
      </c>
      <c r="M107">
        <v>149.64505848731102</v>
      </c>
      <c r="N107">
        <v>126.11113020564839</v>
      </c>
      <c r="O107">
        <v>134.94987866452948</v>
      </c>
      <c r="P107">
        <v>121.41074636630901</v>
      </c>
      <c r="Q107">
        <v>117.12220565233565</v>
      </c>
      <c r="R107">
        <v>113.44634179203581</v>
      </c>
      <c r="S107">
        <v>111.00108361501717</v>
      </c>
      <c r="T107">
        <v>123.17620884205593</v>
      </c>
      <c r="U107">
        <v>134.25536108198997</v>
      </c>
      <c r="V107">
        <v>153.64029314539678</v>
      </c>
      <c r="W107">
        <v>171.25841277445733</v>
      </c>
      <c r="X107">
        <v>187.46573641238029</v>
      </c>
      <c r="Y107">
        <v>201.44127637053933</v>
      </c>
      <c r="Z107">
        <v>209.89387931344012</v>
      </c>
      <c r="AA107">
        <v>216.81772172606651</v>
      </c>
      <c r="AB107">
        <v>220.96141718519425</v>
      </c>
      <c r="AC107">
        <v>225.53339364296357</v>
      </c>
      <c r="AD107">
        <v>231.02998037259999</v>
      </c>
      <c r="AE107">
        <v>237.74605743027212</v>
      </c>
      <c r="AF107">
        <v>246.27382864977392</v>
      </c>
      <c r="AG107">
        <v>255.4245760435239</v>
      </c>
      <c r="AH107">
        <v>265.19146128113846</v>
      </c>
      <c r="AI107">
        <v>274.57870012290516</v>
      </c>
      <c r="AJ107">
        <v>283.25397477810344</v>
      </c>
      <c r="AK107">
        <v>291.01364743047083</v>
      </c>
      <c r="AL107">
        <v>297.67227257909934</v>
      </c>
      <c r="AM107">
        <v>303.54255289767991</v>
      </c>
      <c r="AN107">
        <v>308.7440588823718</v>
      </c>
      <c r="AO107">
        <v>313.66984244527134</v>
      </c>
      <c r="AP107">
        <v>318.56991851704862</v>
      </c>
      <c r="AQ107">
        <v>323.62383910543349</v>
      </c>
      <c r="AR107">
        <v>328.9351683896565</v>
      </c>
      <c r="AS107">
        <v>334.41371427297048</v>
      </c>
      <c r="AT107">
        <v>339.95343141855238</v>
      </c>
      <c r="AU107">
        <v>345.36175113009693</v>
      </c>
      <c r="AV107">
        <v>350.4906331752793</v>
      </c>
      <c r="AW107">
        <v>355.24632533517814</v>
      </c>
      <c r="AX107">
        <v>359.59890596005289</v>
      </c>
      <c r="AY107">
        <v>363.6025013293775</v>
      </c>
      <c r="AZ107">
        <v>367.33779844922122</v>
      </c>
      <c r="BA107">
        <v>370.90915723143382</v>
      </c>
      <c r="BB107">
        <v>374.39991594982206</v>
      </c>
    </row>
    <row r="108" spans="3:54" x14ac:dyDescent="0.2">
      <c r="C108" t="s">
        <v>110</v>
      </c>
      <c r="D108" t="s">
        <v>251</v>
      </c>
      <c r="E108" t="s">
        <v>243</v>
      </c>
      <c r="F108">
        <v>28.313134062299525</v>
      </c>
      <c r="G108">
        <v>-19.780118739749035</v>
      </c>
      <c r="H108">
        <v>25.907879869103674</v>
      </c>
      <c r="I108">
        <v>-40.939486721602101</v>
      </c>
      <c r="J108">
        <v>20.88452293465263</v>
      </c>
      <c r="K108">
        <v>24.315403754456415</v>
      </c>
      <c r="L108">
        <v>40.44782381897523</v>
      </c>
      <c r="M108">
        <v>61.240804054559206</v>
      </c>
      <c r="N108">
        <v>50.556304016101066</v>
      </c>
      <c r="O108">
        <v>68.872737489268005</v>
      </c>
      <c r="P108">
        <v>56.08527443053034</v>
      </c>
      <c r="Q108">
        <v>56.20471854514237</v>
      </c>
      <c r="R108">
        <v>51.851037972988607</v>
      </c>
      <c r="S108">
        <v>47.851346457970443</v>
      </c>
      <c r="T108">
        <v>53.920089891934936</v>
      </c>
      <c r="U108">
        <v>55.730406656262929</v>
      </c>
      <c r="V108">
        <v>65.771321395378806</v>
      </c>
      <c r="W108">
        <v>73.323707774408419</v>
      </c>
      <c r="X108">
        <v>81.658220986675417</v>
      </c>
      <c r="Y108">
        <v>89.093576697104311</v>
      </c>
      <c r="Z108">
        <v>92.965422518868266</v>
      </c>
      <c r="AA108">
        <v>96.616388939143292</v>
      </c>
      <c r="AB108">
        <v>97.592289959134135</v>
      </c>
      <c r="AC108">
        <v>98.8046380660371</v>
      </c>
      <c r="AD108">
        <v>99.900405657626479</v>
      </c>
      <c r="AE108">
        <v>101.47558697998659</v>
      </c>
      <c r="AF108">
        <v>104.22953198170802</v>
      </c>
      <c r="AG108">
        <v>107.35472247448212</v>
      </c>
      <c r="AH108">
        <v>111.27823778109337</v>
      </c>
      <c r="AI108">
        <v>115.161886042996</v>
      </c>
      <c r="AJ108">
        <v>118.91268042338065</v>
      </c>
      <c r="AK108">
        <v>122.27123664908312</v>
      </c>
      <c r="AL108">
        <v>125.01063956774186</v>
      </c>
      <c r="AM108">
        <v>127.31511050564676</v>
      </c>
      <c r="AN108">
        <v>129.1425555406683</v>
      </c>
      <c r="AO108">
        <v>130.77630699679364</v>
      </c>
      <c r="AP108">
        <v>132.34175590342653</v>
      </c>
      <c r="AQ108">
        <v>133.98392041996181</v>
      </c>
      <c r="AR108">
        <v>135.80526449780777</v>
      </c>
      <c r="AS108">
        <v>137.77091138422389</v>
      </c>
      <c r="AT108">
        <v>139.8612988072158</v>
      </c>
      <c r="AU108">
        <v>141.96152079638782</v>
      </c>
      <c r="AV108">
        <v>143.98940829077634</v>
      </c>
      <c r="AW108">
        <v>145.87130151286348</v>
      </c>
      <c r="AX108">
        <v>147.56458847867904</v>
      </c>
      <c r="AY108">
        <v>149.08088999118428</v>
      </c>
      <c r="AZ108">
        <v>150.44578217911035</v>
      </c>
      <c r="BA108">
        <v>151.71539055389724</v>
      </c>
      <c r="BB108">
        <v>152.93839832709651</v>
      </c>
    </row>
    <row r="109" spans="3:54" x14ac:dyDescent="0.2">
      <c r="C109" t="s">
        <v>111</v>
      </c>
      <c r="D109" t="s">
        <v>252</v>
      </c>
      <c r="E109" t="s">
        <v>243</v>
      </c>
      <c r="F109">
        <v>61.421648502092005</v>
      </c>
      <c r="G109">
        <v>0.3935766917686242</v>
      </c>
      <c r="H109">
        <v>58.848010629441099</v>
      </c>
      <c r="I109">
        <v>16.518348480675041</v>
      </c>
      <c r="J109">
        <v>60.086880664062072</v>
      </c>
      <c r="K109">
        <v>55.966714879734731</v>
      </c>
      <c r="L109">
        <v>52.261270516635612</v>
      </c>
      <c r="M109">
        <v>68.965479077364463</v>
      </c>
      <c r="N109">
        <v>53.129951495903235</v>
      </c>
      <c r="O109">
        <v>63.340198757167641</v>
      </c>
      <c r="P109">
        <v>52.886187634760418</v>
      </c>
      <c r="Q109">
        <v>52.249592748364158</v>
      </c>
      <c r="R109">
        <v>52.535793650744395</v>
      </c>
      <c r="S109">
        <v>49.9380276727519</v>
      </c>
      <c r="T109">
        <v>56.586404363045098</v>
      </c>
      <c r="U109">
        <v>58.682778536503164</v>
      </c>
      <c r="V109">
        <v>66.326690919388412</v>
      </c>
      <c r="W109">
        <v>71.928285538405945</v>
      </c>
      <c r="X109">
        <v>76.758204009346571</v>
      </c>
      <c r="Y109">
        <v>81.352061752961646</v>
      </c>
      <c r="Z109">
        <v>82.93643160538808</v>
      </c>
      <c r="AA109">
        <v>84.956290317510636</v>
      </c>
      <c r="AB109">
        <v>85.482169633929047</v>
      </c>
      <c r="AC109">
        <v>86.537491481141629</v>
      </c>
      <c r="AD109">
        <v>88.020739869620328</v>
      </c>
      <c r="AE109">
        <v>89.837296051031345</v>
      </c>
      <c r="AF109">
        <v>92.564085480615958</v>
      </c>
      <c r="AG109">
        <v>95.300332380010147</v>
      </c>
      <c r="AH109">
        <v>98.363104088476604</v>
      </c>
      <c r="AI109">
        <v>101.19162523648507</v>
      </c>
      <c r="AJ109">
        <v>103.73368960592744</v>
      </c>
      <c r="AK109">
        <v>105.97370689704134</v>
      </c>
      <c r="AL109">
        <v>107.77165087364696</v>
      </c>
      <c r="AM109">
        <v>109.35790719555757</v>
      </c>
      <c r="AN109">
        <v>110.71105895867899</v>
      </c>
      <c r="AO109">
        <v>112.02259268520541</v>
      </c>
      <c r="AP109">
        <v>113.36647716505614</v>
      </c>
      <c r="AQ109">
        <v>114.78830907177139</v>
      </c>
      <c r="AR109">
        <v>116.33492153247145</v>
      </c>
      <c r="AS109">
        <v>117.94022770039099</v>
      </c>
      <c r="AT109">
        <v>119.57610660903153</v>
      </c>
      <c r="AU109">
        <v>121.16000027298455</v>
      </c>
      <c r="AV109">
        <v>122.64271876564965</v>
      </c>
      <c r="AW109">
        <v>123.99720857308641</v>
      </c>
      <c r="AX109">
        <v>125.21338147319575</v>
      </c>
      <c r="AY109">
        <v>126.320893138662</v>
      </c>
      <c r="AZ109">
        <v>127.34793377157538</v>
      </c>
      <c r="BA109">
        <v>128.33522184204335</v>
      </c>
      <c r="BB109">
        <v>129.31088933377154</v>
      </c>
    </row>
    <row r="110" spans="3:54" x14ac:dyDescent="0.2">
      <c r="C110" t="s">
        <v>112</v>
      </c>
      <c r="D110" t="s">
        <v>253</v>
      </c>
      <c r="E110" t="s">
        <v>243</v>
      </c>
      <c r="F110">
        <v>1270.2187796623598</v>
      </c>
      <c r="G110">
        <v>1369.646780717301</v>
      </c>
      <c r="H110">
        <v>2334.2971186777036</v>
      </c>
      <c r="I110">
        <v>1276.9165648053283</v>
      </c>
      <c r="J110">
        <v>2291.7823858496063</v>
      </c>
      <c r="K110">
        <v>2436.5645473000518</v>
      </c>
      <c r="L110">
        <v>2761.5849059834263</v>
      </c>
      <c r="M110">
        <v>3094.1126070981381</v>
      </c>
      <c r="N110">
        <v>2947.9266082285503</v>
      </c>
      <c r="O110">
        <v>3268.086627624627</v>
      </c>
      <c r="P110">
        <v>3124.3948133209301</v>
      </c>
      <c r="Q110">
        <v>3153.2829601608696</v>
      </c>
      <c r="R110">
        <v>3085.4485818713501</v>
      </c>
      <c r="S110">
        <v>3007.9856816248521</v>
      </c>
      <c r="T110">
        <v>3078.9980023268799</v>
      </c>
      <c r="U110">
        <v>3084.1192413075833</v>
      </c>
      <c r="V110">
        <v>3213.7601003466075</v>
      </c>
      <c r="W110">
        <v>3307.135166925545</v>
      </c>
      <c r="X110">
        <v>3415.7415136498739</v>
      </c>
      <c r="Y110">
        <v>3513.5440329142025</v>
      </c>
      <c r="Z110">
        <v>3558.8399540326868</v>
      </c>
      <c r="AA110">
        <v>3601.4224472169813</v>
      </c>
      <c r="AB110">
        <v>3603.8263504292768</v>
      </c>
      <c r="AC110">
        <v>3609.9958264122702</v>
      </c>
      <c r="AD110">
        <v>3613.8453989972122</v>
      </c>
      <c r="AE110">
        <v>3623.7608869722339</v>
      </c>
      <c r="AF110">
        <v>3650.1276745016012</v>
      </c>
      <c r="AG110">
        <v>3681.112622367632</v>
      </c>
      <c r="AH110">
        <v>3724.0038113918467</v>
      </c>
      <c r="AI110">
        <v>3766.9514401588945</v>
      </c>
      <c r="AJ110">
        <v>3809.2364939594972</v>
      </c>
      <c r="AK110">
        <v>3847.2154114856389</v>
      </c>
      <c r="AL110">
        <v>3877.3213445465435</v>
      </c>
      <c r="AM110">
        <v>3901.8957817695195</v>
      </c>
      <c r="AN110">
        <v>3919.7366341901125</v>
      </c>
      <c r="AO110">
        <v>3934.6816937625022</v>
      </c>
      <c r="AP110">
        <v>3948.3847381559181</v>
      </c>
      <c r="AQ110">
        <v>3963.0279808069508</v>
      </c>
      <c r="AR110">
        <v>3980.3054160479551</v>
      </c>
      <c r="AS110">
        <v>3999.8988998566051</v>
      </c>
      <c r="AT110">
        <v>4021.7141407882264</v>
      </c>
      <c r="AU110">
        <v>4044.1523634037562</v>
      </c>
      <c r="AV110">
        <v>4066.0385204806657</v>
      </c>
      <c r="AW110">
        <v>4086.257340997769</v>
      </c>
      <c r="AX110">
        <v>4104.1137208095824</v>
      </c>
      <c r="AY110">
        <v>4119.7024249849446</v>
      </c>
      <c r="AZ110">
        <v>4133.3157326464461</v>
      </c>
      <c r="BA110">
        <v>4145.7132264954753</v>
      </c>
      <c r="BB110">
        <v>4157.5614314825389</v>
      </c>
    </row>
    <row r="111" spans="3:54" x14ac:dyDescent="0.2">
      <c r="C111" t="s">
        <v>113</v>
      </c>
      <c r="D111" t="s">
        <v>261</v>
      </c>
      <c r="E111" t="s">
        <v>243</v>
      </c>
      <c r="F111">
        <v>33.813515518831281</v>
      </c>
      <c r="G111">
        <v>43.245903825161818</v>
      </c>
      <c r="H111">
        <v>342.38034001424393</v>
      </c>
      <c r="I111">
        <v>-197.2469213521866</v>
      </c>
      <c r="J111">
        <v>418.26156198695463</v>
      </c>
      <c r="K111">
        <v>482.71405151001824</v>
      </c>
      <c r="L111">
        <v>599.64671072695648</v>
      </c>
      <c r="M111">
        <v>685.22862972126416</v>
      </c>
      <c r="N111">
        <v>594.70898198337784</v>
      </c>
      <c r="O111">
        <v>715.44302822268514</v>
      </c>
      <c r="P111">
        <v>611.16144259217356</v>
      </c>
      <c r="Q111">
        <v>611.31282276186835</v>
      </c>
      <c r="R111">
        <v>573.47102804173016</v>
      </c>
      <c r="S111">
        <v>546.70744799767749</v>
      </c>
      <c r="T111">
        <v>581.49472019856728</v>
      </c>
      <c r="U111">
        <v>580.36405725802933</v>
      </c>
      <c r="V111">
        <v>633.73625564104714</v>
      </c>
      <c r="W111">
        <v>664.43658200253026</v>
      </c>
      <c r="X111">
        <v>702.55098570679706</v>
      </c>
      <c r="Y111">
        <v>732.80686678520499</v>
      </c>
      <c r="Z111">
        <v>740.23372078006605</v>
      </c>
      <c r="AA111">
        <v>748.05566737793242</v>
      </c>
      <c r="AB111">
        <v>739.23411523732977</v>
      </c>
      <c r="AC111">
        <v>735.06316032244433</v>
      </c>
      <c r="AD111">
        <v>731.20480173653834</v>
      </c>
      <c r="AE111">
        <v>732.01605341960192</v>
      </c>
      <c r="AF111">
        <v>740.91470289267613</v>
      </c>
      <c r="AG111">
        <v>751.80620884580594</v>
      </c>
      <c r="AH111">
        <v>767.4368129054825</v>
      </c>
      <c r="AI111">
        <v>781.80177801670618</v>
      </c>
      <c r="AJ111">
        <v>794.98923513010391</v>
      </c>
      <c r="AK111">
        <v>805.54758171160211</v>
      </c>
      <c r="AL111">
        <v>812.55530118915931</v>
      </c>
      <c r="AM111">
        <v>817.55991131899293</v>
      </c>
      <c r="AN111">
        <v>820.30103901561586</v>
      </c>
      <c r="AO111">
        <v>822.65972563942842</v>
      </c>
      <c r="AP111">
        <v>825.16986555290168</v>
      </c>
      <c r="AQ111">
        <v>828.60252822890106</v>
      </c>
      <c r="AR111">
        <v>833.40679599673626</v>
      </c>
      <c r="AS111">
        <v>839.21602768473429</v>
      </c>
      <c r="AT111">
        <v>845.86852688003296</v>
      </c>
      <c r="AU111">
        <v>852.5989006416296</v>
      </c>
      <c r="AV111">
        <v>858.94615884484415</v>
      </c>
      <c r="AW111">
        <v>864.49524330387896</v>
      </c>
      <c r="AX111">
        <v>869.05273771994871</v>
      </c>
      <c r="AY111">
        <v>872.76011239859247</v>
      </c>
      <c r="AZ111">
        <v>875.81343395048918</v>
      </c>
      <c r="BA111">
        <v>878.58333372970242</v>
      </c>
      <c r="BB111">
        <v>881.34916188111129</v>
      </c>
    </row>
    <row r="112" spans="3:54" x14ac:dyDescent="0.2">
      <c r="C112" t="s">
        <v>114</v>
      </c>
      <c r="D112" t="s">
        <v>262</v>
      </c>
      <c r="E112" t="s">
        <v>243</v>
      </c>
      <c r="F112">
        <v>452.31208828391971</v>
      </c>
      <c r="G112">
        <v>256.66960168532052</v>
      </c>
      <c r="H112">
        <v>663.8645512954613</v>
      </c>
      <c r="I112">
        <v>389.69300367285581</v>
      </c>
      <c r="J112">
        <v>742.19222495233453</v>
      </c>
      <c r="K112">
        <v>678.85174969556181</v>
      </c>
      <c r="L112">
        <v>862.93414844927042</v>
      </c>
      <c r="M112">
        <v>957.254206778259</v>
      </c>
      <c r="N112">
        <v>935.38415777011028</v>
      </c>
      <c r="O112">
        <v>1033.2582199008655</v>
      </c>
      <c r="P112">
        <v>967.38385950331451</v>
      </c>
      <c r="Q112">
        <v>986.01094630080718</v>
      </c>
      <c r="R112">
        <v>943.50122885301812</v>
      </c>
      <c r="S112">
        <v>918.61346715493369</v>
      </c>
      <c r="T112">
        <v>931.31335809309007</v>
      </c>
      <c r="U112">
        <v>930.3269612312115</v>
      </c>
      <c r="V112">
        <v>977.73389117545457</v>
      </c>
      <c r="W112">
        <v>1010.2862263630811</v>
      </c>
      <c r="X112">
        <v>1055.7096565726949</v>
      </c>
      <c r="Y112">
        <v>1092.3554793940973</v>
      </c>
      <c r="Z112">
        <v>1113.3809784979726</v>
      </c>
      <c r="AA112">
        <v>1130.5817743126906</v>
      </c>
      <c r="AB112">
        <v>1131.6509620310244</v>
      </c>
      <c r="AC112">
        <v>1133.6469167430037</v>
      </c>
      <c r="AD112">
        <v>1132.660182357891</v>
      </c>
      <c r="AE112">
        <v>1135.0237635490721</v>
      </c>
      <c r="AF112">
        <v>1142.9462890715074</v>
      </c>
      <c r="AG112">
        <v>1153.6199394645848</v>
      </c>
      <c r="AH112">
        <v>1169.3402897453429</v>
      </c>
      <c r="AI112">
        <v>1185.4386548439643</v>
      </c>
      <c r="AJ112">
        <v>1201.9332347072711</v>
      </c>
      <c r="AK112">
        <v>1216.6305525730809</v>
      </c>
      <c r="AL112">
        <v>1228.4861597337838</v>
      </c>
      <c r="AM112">
        <v>1237.9452963147421</v>
      </c>
      <c r="AN112">
        <v>1244.6230936069003</v>
      </c>
      <c r="AO112">
        <v>1250.0081785451703</v>
      </c>
      <c r="AP112">
        <v>1254.6745981776978</v>
      </c>
      <c r="AQ112">
        <v>1259.6744667286575</v>
      </c>
      <c r="AR112">
        <v>1265.6361347716472</v>
      </c>
      <c r="AS112">
        <v>1272.5954036277685</v>
      </c>
      <c r="AT112">
        <v>1280.5387190934894</v>
      </c>
      <c r="AU112">
        <v>1288.8611127426029</v>
      </c>
      <c r="AV112">
        <v>1297.1116199925109</v>
      </c>
      <c r="AW112">
        <v>1304.7808174665968</v>
      </c>
      <c r="AX112">
        <v>1311.5691938562891</v>
      </c>
      <c r="AY112">
        <v>1317.4463353380261</v>
      </c>
      <c r="AZ112">
        <v>1322.5026155969824</v>
      </c>
      <c r="BA112">
        <v>1327.0270616628941</v>
      </c>
      <c r="BB112">
        <v>1331.2867994726694</v>
      </c>
    </row>
    <row r="113" spans="3:54" x14ac:dyDescent="0.2">
      <c r="C113" t="s">
        <v>115</v>
      </c>
      <c r="D113" t="s">
        <v>263</v>
      </c>
      <c r="E113" t="s">
        <v>243</v>
      </c>
      <c r="F113">
        <v>45.157983396884404</v>
      </c>
      <c r="G113">
        <v>57.593771811024673</v>
      </c>
      <c r="H113">
        <v>128.66461002670852</v>
      </c>
      <c r="I113">
        <v>-219.36924364606784</v>
      </c>
      <c r="J113">
        <v>117.77319241236582</v>
      </c>
      <c r="K113">
        <v>41.731314619138672</v>
      </c>
      <c r="L113">
        <v>154.73757531137434</v>
      </c>
      <c r="M113">
        <v>139.65799947322006</v>
      </c>
      <c r="N113">
        <v>107.66787942953586</v>
      </c>
      <c r="O113">
        <v>168.54985824106581</v>
      </c>
      <c r="P113">
        <v>99.64508038128632</v>
      </c>
      <c r="Q113">
        <v>113.6333487415873</v>
      </c>
      <c r="R113">
        <v>73.410673846114335</v>
      </c>
      <c r="S113">
        <v>63.748324167064581</v>
      </c>
      <c r="T113">
        <v>70.142265333284058</v>
      </c>
      <c r="U113">
        <v>61.254955606118145</v>
      </c>
      <c r="V113">
        <v>83.586451365259535</v>
      </c>
      <c r="W113">
        <v>87.363764910096791</v>
      </c>
      <c r="X113">
        <v>103.54417247507131</v>
      </c>
      <c r="Y113">
        <v>111.04190654444136</v>
      </c>
      <c r="Z113">
        <v>111.44635180491214</v>
      </c>
      <c r="AA113">
        <v>112.20078148036225</v>
      </c>
      <c r="AB113">
        <v>104.11697774450207</v>
      </c>
      <c r="AC113">
        <v>100.05918677992972</v>
      </c>
      <c r="AD113">
        <v>93.958561696588731</v>
      </c>
      <c r="AE113">
        <v>90.976912217752485</v>
      </c>
      <c r="AF113">
        <v>90.878410047577134</v>
      </c>
      <c r="AG113">
        <v>91.75026450263239</v>
      </c>
      <c r="AH113">
        <v>95.321336854965878</v>
      </c>
      <c r="AI113">
        <v>98.185985621054328</v>
      </c>
      <c r="AJ113">
        <v>101.31006142981849</v>
      </c>
      <c r="AK113">
        <v>103.25654088802666</v>
      </c>
      <c r="AL113">
        <v>103.94444562035177</v>
      </c>
      <c r="AM113">
        <v>103.82754673731706</v>
      </c>
      <c r="AN113">
        <v>102.63757119269698</v>
      </c>
      <c r="AO113">
        <v>101.37086087108506</v>
      </c>
      <c r="AP113">
        <v>100.05914111259898</v>
      </c>
      <c r="AQ113">
        <v>99.237239474922873</v>
      </c>
      <c r="AR113">
        <v>99.04245148470595</v>
      </c>
      <c r="AS113">
        <v>99.374138133721544</v>
      </c>
      <c r="AT113">
        <v>100.20416093322605</v>
      </c>
      <c r="AU113">
        <v>101.16117200960511</v>
      </c>
      <c r="AV113">
        <v>102.08897454271396</v>
      </c>
      <c r="AW113">
        <v>102.75547910918529</v>
      </c>
      <c r="AX113">
        <v>103.07911823131106</v>
      </c>
      <c r="AY113">
        <v>103.09528273797892</v>
      </c>
      <c r="AZ113">
        <v>102.86679746309598</v>
      </c>
      <c r="BA113">
        <v>102.55416830946223</v>
      </c>
      <c r="BB113">
        <v>102.26410792597061</v>
      </c>
    </row>
    <row r="114" spans="3:54" x14ac:dyDescent="0.2">
      <c r="C114" t="s">
        <v>116</v>
      </c>
      <c r="D114" t="s">
        <v>264</v>
      </c>
      <c r="E114" t="s">
        <v>243</v>
      </c>
      <c r="F114">
        <v>193.25177032475239</v>
      </c>
      <c r="G114">
        <v>197.1819893109394</v>
      </c>
      <c r="H114">
        <v>718.20535259245787</v>
      </c>
      <c r="I114">
        <v>138.04570625138231</v>
      </c>
      <c r="J114">
        <v>1041.1712609264212</v>
      </c>
      <c r="K114">
        <v>874.2428125583582</v>
      </c>
      <c r="L114">
        <v>1254.8047202106115</v>
      </c>
      <c r="M114">
        <v>1293.042038179663</v>
      </c>
      <c r="N114">
        <v>1275.1472774181148</v>
      </c>
      <c r="O114">
        <v>1425.5983286427463</v>
      </c>
      <c r="P114">
        <v>1300.3968019929382</v>
      </c>
      <c r="Q114">
        <v>1361.3912032513745</v>
      </c>
      <c r="R114">
        <v>1296.9208604845439</v>
      </c>
      <c r="S114">
        <v>1299.8855710147757</v>
      </c>
      <c r="T114">
        <v>1342.6683244312349</v>
      </c>
      <c r="U114">
        <v>1358.3453385761047</v>
      </c>
      <c r="V114">
        <v>1447.3181930758547</v>
      </c>
      <c r="W114">
        <v>1493.1512261495952</v>
      </c>
      <c r="X114">
        <v>1563.3266406143232</v>
      </c>
      <c r="Y114">
        <v>1608.0736503648034</v>
      </c>
      <c r="Z114">
        <v>1631.9962541377984</v>
      </c>
      <c r="AA114">
        <v>1651.9467261490911</v>
      </c>
      <c r="AB114">
        <v>1649.4946996423728</v>
      </c>
      <c r="AC114">
        <v>1655.5773354170499</v>
      </c>
      <c r="AD114">
        <v>1658.0379758379922</v>
      </c>
      <c r="AE114">
        <v>1669.2956190769773</v>
      </c>
      <c r="AF114">
        <v>1688.3389979733677</v>
      </c>
      <c r="AG114">
        <v>1710.3150602007588</v>
      </c>
      <c r="AH114">
        <v>1738.2053789866056</v>
      </c>
      <c r="AI114">
        <v>1763.6561833985204</v>
      </c>
      <c r="AJ114">
        <v>1788.3764645428912</v>
      </c>
      <c r="AK114">
        <v>1808.8723982934901</v>
      </c>
      <c r="AL114">
        <v>1825.0659047553222</v>
      </c>
      <c r="AM114">
        <v>1838.1858533451589</v>
      </c>
      <c r="AN114">
        <v>1847.9992937334362</v>
      </c>
      <c r="AO114">
        <v>1857.1140239455121</v>
      </c>
      <c r="AP114">
        <v>1865.917072310212</v>
      </c>
      <c r="AQ114">
        <v>1875.8367121093672</v>
      </c>
      <c r="AR114">
        <v>1887.2411257606045</v>
      </c>
      <c r="AS114">
        <v>1899.8427032763359</v>
      </c>
      <c r="AT114">
        <v>1913.4031384482851</v>
      </c>
      <c r="AU114">
        <v>1926.881291043082</v>
      </c>
      <c r="AV114">
        <v>1939.7495629919463</v>
      </c>
      <c r="AW114">
        <v>1951.3819741187647</v>
      </c>
      <c r="AX114">
        <v>1961.5906142035669</v>
      </c>
      <c r="AY114">
        <v>1970.5281266635</v>
      </c>
      <c r="AZ114">
        <v>1978.4607180051944</v>
      </c>
      <c r="BA114">
        <v>1985.8815577572725</v>
      </c>
      <c r="BB114">
        <v>1993.1371874679685</v>
      </c>
    </row>
    <row r="115" spans="3:54" x14ac:dyDescent="0.2">
      <c r="C115" t="s">
        <v>117</v>
      </c>
      <c r="D115" t="s">
        <v>265</v>
      </c>
      <c r="E115" t="s">
        <v>243</v>
      </c>
      <c r="F115">
        <v>161.09368385883946</v>
      </c>
      <c r="G115">
        <v>227.49490571640786</v>
      </c>
      <c r="H115">
        <v>461.9977643536763</v>
      </c>
      <c r="I115">
        <v>91.180069764344069</v>
      </c>
      <c r="J115">
        <v>589.28950107922947</v>
      </c>
      <c r="K115">
        <v>740.64174196978001</v>
      </c>
      <c r="L115">
        <v>835.87603829358727</v>
      </c>
      <c r="M115">
        <v>958.81737596633207</v>
      </c>
      <c r="N115">
        <v>919.30141817676747</v>
      </c>
      <c r="O115">
        <v>1043.845202099679</v>
      </c>
      <c r="P115">
        <v>1003.9270671249243</v>
      </c>
      <c r="Q115">
        <v>1018.7155852547411</v>
      </c>
      <c r="R115">
        <v>1017.5778413359732</v>
      </c>
      <c r="S115">
        <v>1011.2721541436027</v>
      </c>
      <c r="T115">
        <v>1057.3583690931519</v>
      </c>
      <c r="U115">
        <v>1073.8958357942759</v>
      </c>
      <c r="V115">
        <v>1127.1152863352058</v>
      </c>
      <c r="W115">
        <v>1165.6377409700513</v>
      </c>
      <c r="X115">
        <v>1204.5550086315968</v>
      </c>
      <c r="Y115">
        <v>1239.3227052929215</v>
      </c>
      <c r="Z115">
        <v>1254.5294448743271</v>
      </c>
      <c r="AA115">
        <v>1269.5973061309701</v>
      </c>
      <c r="AB115">
        <v>1272.1780528654153</v>
      </c>
      <c r="AC115">
        <v>1276.8428971340015</v>
      </c>
      <c r="AD115">
        <v>1282.0793711372551</v>
      </c>
      <c r="AE115">
        <v>1289.6190122062892</v>
      </c>
      <c r="AF115">
        <v>1303.0905502097107</v>
      </c>
      <c r="AG115">
        <v>1317.649456716236</v>
      </c>
      <c r="AH115">
        <v>1335.3866986804244</v>
      </c>
      <c r="AI115">
        <v>1352.1733390886845</v>
      </c>
      <c r="AJ115">
        <v>1367.6604522493585</v>
      </c>
      <c r="AK115">
        <v>1381.0749376469819</v>
      </c>
      <c r="AL115">
        <v>1391.4690127681317</v>
      </c>
      <c r="AM115">
        <v>1400.0798540882347</v>
      </c>
      <c r="AN115">
        <v>1406.7477228280532</v>
      </c>
      <c r="AO115">
        <v>1412.8486273930421</v>
      </c>
      <c r="AP115">
        <v>1418.92352483835</v>
      </c>
      <c r="AQ115">
        <v>1425.5071417624929</v>
      </c>
      <c r="AR115">
        <v>1433.0044798446099</v>
      </c>
      <c r="AS115">
        <v>1441.1231170824076</v>
      </c>
      <c r="AT115">
        <v>1449.7323900131164</v>
      </c>
      <c r="AU115">
        <v>1458.2709404224572</v>
      </c>
      <c r="AV115">
        <v>1466.3711461105263</v>
      </c>
      <c r="AW115">
        <v>1473.7442118675106</v>
      </c>
      <c r="AX115">
        <v>1480.2408210693816</v>
      </c>
      <c r="AY115">
        <v>1485.9789044512841</v>
      </c>
      <c r="AZ115">
        <v>1491.1128471937554</v>
      </c>
      <c r="BA115">
        <v>1495.9218260116829</v>
      </c>
      <c r="BB115">
        <v>1500.6254237364749</v>
      </c>
    </row>
    <row r="116" spans="3:54" x14ac:dyDescent="0.2">
      <c r="C116" t="s">
        <v>118</v>
      </c>
      <c r="D116" t="s">
        <v>266</v>
      </c>
      <c r="E116" t="s">
        <v>243</v>
      </c>
      <c r="F116">
        <v>206.98069985762604</v>
      </c>
      <c r="G116">
        <v>119.28056572742348</v>
      </c>
      <c r="H116">
        <v>305.72469968147448</v>
      </c>
      <c r="I116">
        <v>-2.2309564796754886</v>
      </c>
      <c r="J116">
        <v>347.90785370019449</v>
      </c>
      <c r="K116">
        <v>319.87869042723747</v>
      </c>
      <c r="L116">
        <v>401.01054275381705</v>
      </c>
      <c r="M116">
        <v>457.23502355090642</v>
      </c>
      <c r="N116">
        <v>408.12479267133887</v>
      </c>
      <c r="O116">
        <v>491.79600369550752</v>
      </c>
      <c r="P116">
        <v>438.32717352688979</v>
      </c>
      <c r="Q116">
        <v>460.37160248517119</v>
      </c>
      <c r="R116">
        <v>448.34228457473944</v>
      </c>
      <c r="S116">
        <v>445.47154347124064</v>
      </c>
      <c r="T116">
        <v>476.78764206044303</v>
      </c>
      <c r="U116">
        <v>484.27189868046975</v>
      </c>
      <c r="V116">
        <v>524.57597344576118</v>
      </c>
      <c r="W116">
        <v>546.66266751751834</v>
      </c>
      <c r="X116">
        <v>573.76837726200938</v>
      </c>
      <c r="Y116">
        <v>594.92767703666618</v>
      </c>
      <c r="Z116">
        <v>603.57614223335099</v>
      </c>
      <c r="AA116">
        <v>613.9331188933869</v>
      </c>
      <c r="AB116">
        <v>614.92098347800254</v>
      </c>
      <c r="AC116">
        <v>619.89587608400655</v>
      </c>
      <c r="AD116">
        <v>624.60560954053312</v>
      </c>
      <c r="AE116">
        <v>631.75346391704295</v>
      </c>
      <c r="AF116">
        <v>642.71435019559988</v>
      </c>
      <c r="AG116">
        <v>653.83210759664166</v>
      </c>
      <c r="AH116">
        <v>667.15314253756924</v>
      </c>
      <c r="AI116">
        <v>679.15623677607005</v>
      </c>
      <c r="AJ116">
        <v>690.41533332383653</v>
      </c>
      <c r="AK116">
        <v>700.10244478168988</v>
      </c>
      <c r="AL116">
        <v>707.83026458986353</v>
      </c>
      <c r="AM116">
        <v>714.52523894535432</v>
      </c>
      <c r="AN116">
        <v>719.93318443096564</v>
      </c>
      <c r="AO116">
        <v>725.15004230246745</v>
      </c>
      <c r="AP116">
        <v>730.34911222432277</v>
      </c>
      <c r="AQ116">
        <v>735.94297285200901</v>
      </c>
      <c r="AR116">
        <v>742.12183642263381</v>
      </c>
      <c r="AS116">
        <v>748.6369913237927</v>
      </c>
      <c r="AT116">
        <v>755.40986640552251</v>
      </c>
      <c r="AU116">
        <v>762.01282730001833</v>
      </c>
      <c r="AV116">
        <v>768.24744850170316</v>
      </c>
      <c r="AW116">
        <v>773.92583383322426</v>
      </c>
      <c r="AX116">
        <v>778.98896284698446</v>
      </c>
      <c r="AY116">
        <v>783.54717084698666</v>
      </c>
      <c r="AZ116">
        <v>787.71182155577276</v>
      </c>
      <c r="BA116">
        <v>791.68168271585</v>
      </c>
      <c r="BB116">
        <v>795.58541191528457</v>
      </c>
    </row>
    <row r="117" spans="3:54" x14ac:dyDescent="0.2">
      <c r="C117" t="s">
        <v>119</v>
      </c>
      <c r="D117" t="s">
        <v>254</v>
      </c>
      <c r="E117" t="s">
        <v>243</v>
      </c>
      <c r="F117">
        <v>215.67525370180743</v>
      </c>
      <c r="G117">
        <v>174.3595173606727</v>
      </c>
      <c r="H117">
        <v>489.61722283684793</v>
      </c>
      <c r="I117">
        <v>247.21457672046114</v>
      </c>
      <c r="J117">
        <v>539.79754866401879</v>
      </c>
      <c r="K117">
        <v>566.04773042343584</v>
      </c>
      <c r="L117">
        <v>698.64458085424349</v>
      </c>
      <c r="M117">
        <v>810.50603672028114</v>
      </c>
      <c r="N117">
        <v>774.18013596001674</v>
      </c>
      <c r="O117">
        <v>849.16162480811295</v>
      </c>
      <c r="P117">
        <v>801.86708483108828</v>
      </c>
      <c r="Q117">
        <v>808.96772927688039</v>
      </c>
      <c r="R117">
        <v>782.98937820399181</v>
      </c>
      <c r="S117">
        <v>759.1493037707902</v>
      </c>
      <c r="T117">
        <v>776.84732955785626</v>
      </c>
      <c r="U117">
        <v>782.15793719071701</v>
      </c>
      <c r="V117">
        <v>825.31947020670725</v>
      </c>
      <c r="W117">
        <v>859.05516487841942</v>
      </c>
      <c r="X117">
        <v>897.84595817866432</v>
      </c>
      <c r="Y117">
        <v>931.20846202076768</v>
      </c>
      <c r="Z117">
        <v>948.4553217474645</v>
      </c>
      <c r="AA117">
        <v>962.14004198273665</v>
      </c>
      <c r="AB117">
        <v>962.78980547981109</v>
      </c>
      <c r="AC117">
        <v>963.87246371756203</v>
      </c>
      <c r="AD117">
        <v>964.38305788278251</v>
      </c>
      <c r="AE117">
        <v>967.84855727571573</v>
      </c>
      <c r="AF117">
        <v>976.96703488789797</v>
      </c>
      <c r="AG117">
        <v>988.48676410569226</v>
      </c>
      <c r="AH117">
        <v>1003.9255950418594</v>
      </c>
      <c r="AI117">
        <v>1019.4651169128846</v>
      </c>
      <c r="AJ117">
        <v>1034.5870425770763</v>
      </c>
      <c r="AK117">
        <v>1047.9138628736728</v>
      </c>
      <c r="AL117">
        <v>1058.4677703505918</v>
      </c>
      <c r="AM117">
        <v>1066.9129593090022</v>
      </c>
      <c r="AN117">
        <v>1073.08815460767</v>
      </c>
      <c r="AO117">
        <v>1078.2602349387544</v>
      </c>
      <c r="AP117">
        <v>1083.0532016052136</v>
      </c>
      <c r="AQ117">
        <v>1088.2463375881678</v>
      </c>
      <c r="AR117">
        <v>1094.3733916582528</v>
      </c>
      <c r="AS117">
        <v>1101.3664083655469</v>
      </c>
      <c r="AT117">
        <v>1109.1362100241713</v>
      </c>
      <c r="AU117">
        <v>1117.1337140006024</v>
      </c>
      <c r="AV117">
        <v>1124.9236350001263</v>
      </c>
      <c r="AW117">
        <v>1132.0971056180074</v>
      </c>
      <c r="AX117">
        <v>1138.4153723656423</v>
      </c>
      <c r="AY117">
        <v>1143.9018399051633</v>
      </c>
      <c r="AZ117">
        <v>1148.6801094796394</v>
      </c>
      <c r="BA117">
        <v>1153.0261812311189</v>
      </c>
      <c r="BB117">
        <v>1157.1897702259532</v>
      </c>
    </row>
    <row r="118" spans="3:54" x14ac:dyDescent="0.2">
      <c r="C118" t="s">
        <v>120</v>
      </c>
      <c r="D118" t="s">
        <v>255</v>
      </c>
      <c r="E118" t="s">
        <v>243</v>
      </c>
      <c r="F118">
        <v>259.78452128851023</v>
      </c>
      <c r="G118">
        <v>315.0726502348503</v>
      </c>
      <c r="H118">
        <v>645.30800086504428</v>
      </c>
      <c r="I118">
        <v>-404.96359074980364</v>
      </c>
      <c r="J118">
        <v>698.76295892071937</v>
      </c>
      <c r="K118">
        <v>658.24005233170237</v>
      </c>
      <c r="L118">
        <v>797.57994743610971</v>
      </c>
      <c r="M118">
        <v>1021.7084597650802</v>
      </c>
      <c r="N118">
        <v>855.96561673341341</v>
      </c>
      <c r="O118">
        <v>1076.5456898547588</v>
      </c>
      <c r="P118">
        <v>900.754061691537</v>
      </c>
      <c r="Q118">
        <v>909.59944799505479</v>
      </c>
      <c r="R118">
        <v>826.42077978278382</v>
      </c>
      <c r="S118">
        <v>751.51186708532862</v>
      </c>
      <c r="T118">
        <v>792.49200867422053</v>
      </c>
      <c r="U118">
        <v>762.39317787916843</v>
      </c>
      <c r="V118">
        <v>838.51497084425432</v>
      </c>
      <c r="W118">
        <v>877.70356285697687</v>
      </c>
      <c r="X118">
        <v>935.33290216590126</v>
      </c>
      <c r="Y118">
        <v>985.56655742085081</v>
      </c>
      <c r="Z118">
        <v>997.00538012864581</v>
      </c>
      <c r="AA118">
        <v>1011.7224040021401</v>
      </c>
      <c r="AB118">
        <v>994.68525936605556</v>
      </c>
      <c r="AC118">
        <v>983.94289448430823</v>
      </c>
      <c r="AD118">
        <v>970.67814964509114</v>
      </c>
      <c r="AE118">
        <v>962.74466051264346</v>
      </c>
      <c r="AF118">
        <v>968.03786743967908</v>
      </c>
      <c r="AG118">
        <v>976.3288513014902</v>
      </c>
      <c r="AH118">
        <v>994.39071223102189</v>
      </c>
      <c r="AI118">
        <v>1011.9825403245297</v>
      </c>
      <c r="AJ118">
        <v>1029.53329533948</v>
      </c>
      <c r="AK118">
        <v>1044.1734648596751</v>
      </c>
      <c r="AL118">
        <v>1053.437188983163</v>
      </c>
      <c r="AM118">
        <v>1059.5228165555179</v>
      </c>
      <c r="AN118">
        <v>1061.2332368665138</v>
      </c>
      <c r="AO118">
        <v>1061.6537255499138</v>
      </c>
      <c r="AP118">
        <v>1061.6438836571683</v>
      </c>
      <c r="AQ118">
        <v>1062.7158573198826</v>
      </c>
      <c r="AR118">
        <v>1065.9959563711311</v>
      </c>
      <c r="AS118">
        <v>1071.115116581276</v>
      </c>
      <c r="AT118">
        <v>1078.0926536342192</v>
      </c>
      <c r="AU118">
        <v>1085.7230879122781</v>
      </c>
      <c r="AV118">
        <v>1093.243589920449</v>
      </c>
      <c r="AW118">
        <v>1099.858783851719</v>
      </c>
      <c r="AX118">
        <v>1105.0748229359021</v>
      </c>
      <c r="AY118">
        <v>1108.9774579348357</v>
      </c>
      <c r="AZ118">
        <v>1111.7463007464501</v>
      </c>
      <c r="BA118">
        <v>1113.9326149832414</v>
      </c>
      <c r="BB118">
        <v>1115.9883720352245</v>
      </c>
    </row>
    <row r="119" spans="3:54" x14ac:dyDescent="0.2">
      <c r="C119" t="s">
        <v>121</v>
      </c>
      <c r="D119" t="s">
        <v>256</v>
      </c>
      <c r="E119" t="s">
        <v>243</v>
      </c>
      <c r="F119">
        <v>26.114854793047954</v>
      </c>
      <c r="G119">
        <v>9.1713278390760067</v>
      </c>
      <c r="H119">
        <v>125.16236212620511</v>
      </c>
      <c r="I119">
        <v>10.194417238930509</v>
      </c>
      <c r="J119">
        <v>93.210856294502662</v>
      </c>
      <c r="K119">
        <v>66.371613142102333</v>
      </c>
      <c r="L119">
        <v>99.312271041965957</v>
      </c>
      <c r="M119">
        <v>142.85050083137369</v>
      </c>
      <c r="N119">
        <v>123.57648376104284</v>
      </c>
      <c r="O119">
        <v>159.01266551589075</v>
      </c>
      <c r="P119">
        <v>145.77621115307699</v>
      </c>
      <c r="Q119">
        <v>158.08334303896265</v>
      </c>
      <c r="R119">
        <v>155.77860664890909</v>
      </c>
      <c r="S119">
        <v>149.01109483397849</v>
      </c>
      <c r="T119">
        <v>156.34591690401305</v>
      </c>
      <c r="U119">
        <v>153.55286382262821</v>
      </c>
      <c r="V119">
        <v>164.37712942359121</v>
      </c>
      <c r="W119">
        <v>170.22550542974588</v>
      </c>
      <c r="X119">
        <v>179.01940138184113</v>
      </c>
      <c r="Y119">
        <v>188.29190236414195</v>
      </c>
      <c r="Z119">
        <v>193.46357089861783</v>
      </c>
      <c r="AA119">
        <v>199.83915782383335</v>
      </c>
      <c r="AB119">
        <v>202.05638791823111</v>
      </c>
      <c r="AC119">
        <v>204.68929877381814</v>
      </c>
      <c r="AD119">
        <v>206.38221486214084</v>
      </c>
      <c r="AE119">
        <v>207.97715089417298</v>
      </c>
      <c r="AF119">
        <v>210.67801733577218</v>
      </c>
      <c r="AG119">
        <v>213.30773140657442</v>
      </c>
      <c r="AH119">
        <v>217.07012453693352</v>
      </c>
      <c r="AI119">
        <v>220.84688650401293</v>
      </c>
      <c r="AJ119">
        <v>224.81539918498544</v>
      </c>
      <c r="AK119">
        <v>228.65412216649423</v>
      </c>
      <c r="AL119">
        <v>231.97546361201429</v>
      </c>
      <c r="AM119">
        <v>234.98889181607575</v>
      </c>
      <c r="AN119">
        <v>237.41477005618864</v>
      </c>
      <c r="AO119">
        <v>239.55348021044526</v>
      </c>
      <c r="AP119">
        <v>241.4480929302093</v>
      </c>
      <c r="AQ119">
        <v>243.26393392866927</v>
      </c>
      <c r="AR119">
        <v>245.16812555057206</v>
      </c>
      <c r="AS119">
        <v>247.15599016269391</v>
      </c>
      <c r="AT119">
        <v>249.29541592682375</v>
      </c>
      <c r="AU119">
        <v>251.49048863131171</v>
      </c>
      <c r="AV119">
        <v>253.68684701354294</v>
      </c>
      <c r="AW119">
        <v>255.80274025209127</v>
      </c>
      <c r="AX119">
        <v>257.76811926856459</v>
      </c>
      <c r="AY119">
        <v>259.57135077074997</v>
      </c>
      <c r="AZ119">
        <v>261.20277207689639</v>
      </c>
      <c r="BA119">
        <v>262.70346764241907</v>
      </c>
      <c r="BB119">
        <v>264.11131454208032</v>
      </c>
    </row>
    <row r="120" spans="3:54" x14ac:dyDescent="0.2">
      <c r="C120" t="s">
        <v>122</v>
      </c>
      <c r="D120" t="s">
        <v>257</v>
      </c>
      <c r="E120" t="s">
        <v>243</v>
      </c>
      <c r="F120">
        <v>548.72938374651039</v>
      </c>
      <c r="G120">
        <v>476.61980424192831</v>
      </c>
      <c r="H120">
        <v>554.70505322382189</v>
      </c>
      <c r="I120">
        <v>289.1305825911237</v>
      </c>
      <c r="J120">
        <v>360.63456164539252</v>
      </c>
      <c r="K120">
        <v>426.23008565204753</v>
      </c>
      <c r="L120">
        <v>355.28085315262825</v>
      </c>
      <c r="M120">
        <v>372.54778787173245</v>
      </c>
      <c r="N120">
        <v>337.1459699401637</v>
      </c>
      <c r="O120">
        <v>403.26967160631079</v>
      </c>
      <c r="P120">
        <v>413.59527818665367</v>
      </c>
      <c r="Q120">
        <v>411.66239148878014</v>
      </c>
      <c r="R120">
        <v>420.70960532052686</v>
      </c>
      <c r="S120">
        <v>409.4759925678913</v>
      </c>
      <c r="T120">
        <v>419.80061201897524</v>
      </c>
      <c r="U120">
        <v>408.48713409865121</v>
      </c>
      <c r="V120">
        <v>404.64855079885501</v>
      </c>
      <c r="W120">
        <v>401.5926198820444</v>
      </c>
      <c r="X120">
        <v>398.61795513107</v>
      </c>
      <c r="Y120">
        <v>403.41954264773091</v>
      </c>
      <c r="Z120">
        <v>404.33008309662097</v>
      </c>
      <c r="AA120">
        <v>409.99348491946637</v>
      </c>
      <c r="AB120">
        <v>413.81683075157042</v>
      </c>
      <c r="AC120">
        <v>417.19372123550653</v>
      </c>
      <c r="AD120">
        <v>419.82550418660838</v>
      </c>
      <c r="AE120">
        <v>419.63722302828785</v>
      </c>
      <c r="AF120">
        <v>419.54924737082121</v>
      </c>
      <c r="AG120">
        <v>418.11457305762872</v>
      </c>
      <c r="AH120">
        <v>417.23529181680283</v>
      </c>
      <c r="AI120">
        <v>416.78368141677595</v>
      </c>
      <c r="AJ120">
        <v>416.85007757003865</v>
      </c>
      <c r="AK120">
        <v>417.87595295463416</v>
      </c>
      <c r="AL120">
        <v>419.10100395370137</v>
      </c>
      <c r="AM120">
        <v>420.71825528241521</v>
      </c>
      <c r="AN120">
        <v>422.15733218930973</v>
      </c>
      <c r="AO120">
        <v>423.34561038113804</v>
      </c>
      <c r="AP120">
        <v>424.21840544366478</v>
      </c>
      <c r="AQ120">
        <v>424.67209067702703</v>
      </c>
      <c r="AR120">
        <v>424.91298245932148</v>
      </c>
      <c r="AS120">
        <v>424.95565564218515</v>
      </c>
      <c r="AT120">
        <v>425.00141603992597</v>
      </c>
      <c r="AU120">
        <v>425.13384066047558</v>
      </c>
      <c r="AV120">
        <v>425.41073564410539</v>
      </c>
      <c r="AW120">
        <v>425.86787330183029</v>
      </c>
      <c r="AX120">
        <v>426.44023843065668</v>
      </c>
      <c r="AY120">
        <v>427.08690568989795</v>
      </c>
      <c r="AZ120">
        <v>427.71851884735264</v>
      </c>
      <c r="BA120">
        <v>428.27940292781454</v>
      </c>
      <c r="BB120">
        <v>428.73598472952415</v>
      </c>
    </row>
    <row r="121" spans="3:54" x14ac:dyDescent="0.2">
      <c r="C121" t="s">
        <v>123</v>
      </c>
      <c r="D121" t="s">
        <v>258</v>
      </c>
      <c r="E121" t="s">
        <v>243</v>
      </c>
      <c r="F121">
        <v>1515.3574023847154</v>
      </c>
      <c r="G121">
        <v>1583.2720895824468</v>
      </c>
      <c r="H121">
        <v>2550.6270999255712</v>
      </c>
      <c r="I121">
        <v>1199.1116203810914</v>
      </c>
      <c r="J121">
        <v>2263.5287211875539</v>
      </c>
      <c r="K121">
        <v>2642.1204863025064</v>
      </c>
      <c r="L121">
        <v>2897.7196815880493</v>
      </c>
      <c r="M121">
        <v>3327.0161132193789</v>
      </c>
      <c r="N121">
        <v>3138.8324516274984</v>
      </c>
      <c r="O121">
        <v>3504.9203171473728</v>
      </c>
      <c r="P121">
        <v>3387.7153687197911</v>
      </c>
      <c r="Q121">
        <v>3378.5694219593802</v>
      </c>
      <c r="R121">
        <v>3317.4620678063975</v>
      </c>
      <c r="S121">
        <v>3214.0828892976961</v>
      </c>
      <c r="T121">
        <v>3306.1344352658439</v>
      </c>
      <c r="U121">
        <v>3324.3086254990967</v>
      </c>
      <c r="V121">
        <v>3475.2672278098003</v>
      </c>
      <c r="W121">
        <v>3603.015044320151</v>
      </c>
      <c r="X121">
        <v>3734.9717681009593</v>
      </c>
      <c r="Y121">
        <v>3863.2376721179535</v>
      </c>
      <c r="Z121">
        <v>3924.9006128622236</v>
      </c>
      <c r="AA121">
        <v>3981.0270709095657</v>
      </c>
      <c r="AB121">
        <v>3992.3545794570064</v>
      </c>
      <c r="AC121">
        <v>4003.5141180356441</v>
      </c>
      <c r="AD121">
        <v>4014.8912227603482</v>
      </c>
      <c r="AE121">
        <v>4031.1561026725817</v>
      </c>
      <c r="AF121">
        <v>4067.7219486203553</v>
      </c>
      <c r="AG121">
        <v>4110.2814533477267</v>
      </c>
      <c r="AH121">
        <v>4166.3804908348784</v>
      </c>
      <c r="AI121">
        <v>4223.6239369566611</v>
      </c>
      <c r="AJ121">
        <v>4279.2824087275158</v>
      </c>
      <c r="AK121">
        <v>4330.1265928999101</v>
      </c>
      <c r="AL121">
        <v>4371.1648635395104</v>
      </c>
      <c r="AM121">
        <v>4405.1891445888132</v>
      </c>
      <c r="AN121">
        <v>4431.0237662531836</v>
      </c>
      <c r="AO121">
        <v>4452.8732529453919</v>
      </c>
      <c r="AP121">
        <v>4473.18700774032</v>
      </c>
      <c r="AQ121">
        <v>4494.3674693509502</v>
      </c>
      <c r="AR121">
        <v>4518.6399175422603</v>
      </c>
      <c r="AS121">
        <v>4545.64663531521</v>
      </c>
      <c r="AT121">
        <v>4575.22012829101</v>
      </c>
      <c r="AU121">
        <v>4605.5340306387143</v>
      </c>
      <c r="AV121">
        <v>4635.0664408961911</v>
      </c>
      <c r="AW121">
        <v>4662.5189039996285</v>
      </c>
      <c r="AX121">
        <v>4687.0051934030498</v>
      </c>
      <c r="AY121">
        <v>4708.6279636627742</v>
      </c>
      <c r="AZ121">
        <v>4727.7506028236303</v>
      </c>
      <c r="BA121">
        <v>4745.2688265556526</v>
      </c>
      <c r="BB121">
        <v>4762.0177957848337</v>
      </c>
    </row>
    <row r="122" spans="3:54" x14ac:dyDescent="0.2">
      <c r="C122" t="s">
        <v>124</v>
      </c>
      <c r="D122" t="s">
        <v>259</v>
      </c>
      <c r="E122" t="s">
        <v>243</v>
      </c>
      <c r="F122">
        <v>35.972991118217244</v>
      </c>
      <c r="G122">
        <v>-8.2909595643858029</v>
      </c>
      <c r="H122">
        <v>105.57472558845808</v>
      </c>
      <c r="I122">
        <v>-38.693166782566983</v>
      </c>
      <c r="J122">
        <v>8.2225055329429111</v>
      </c>
      <c r="K122">
        <v>7.2888309711358366</v>
      </c>
      <c r="L122">
        <v>54.141408767417587</v>
      </c>
      <c r="M122">
        <v>124.76813503942819</v>
      </c>
      <c r="N122">
        <v>107.3375545519779</v>
      </c>
      <c r="O122">
        <v>133.73204380319322</v>
      </c>
      <c r="P122">
        <v>118.45171122734618</v>
      </c>
      <c r="Q122">
        <v>123.89032014224108</v>
      </c>
      <c r="R122">
        <v>121.2375988735987</v>
      </c>
      <c r="S122">
        <v>107.86367386932508</v>
      </c>
      <c r="T122">
        <v>111.27263219310504</v>
      </c>
      <c r="U122">
        <v>107.58092277945356</v>
      </c>
      <c r="V122">
        <v>118.43227499589246</v>
      </c>
      <c r="W122">
        <v>127.17684329851055</v>
      </c>
      <c r="X122">
        <v>137.44807188976054</v>
      </c>
      <c r="Y122">
        <v>148.99766333940505</v>
      </c>
      <c r="Z122">
        <v>155.39613013202558</v>
      </c>
      <c r="AA122">
        <v>161.90849460318509</v>
      </c>
      <c r="AB122">
        <v>163.48617039246531</v>
      </c>
      <c r="AC122">
        <v>164.28800321769975</v>
      </c>
      <c r="AD122">
        <v>164.28266881913973</v>
      </c>
      <c r="AE122">
        <v>164.19079193052053</v>
      </c>
      <c r="AF122">
        <v>165.82483067596439</v>
      </c>
      <c r="AG122">
        <v>168.01218958394074</v>
      </c>
      <c r="AH122">
        <v>171.78273352577003</v>
      </c>
      <c r="AI122">
        <v>175.99735719895202</v>
      </c>
      <c r="AJ122">
        <v>180.41760948883544</v>
      </c>
      <c r="AK122">
        <v>184.65205122532694</v>
      </c>
      <c r="AL122">
        <v>188.11456340155357</v>
      </c>
      <c r="AM122">
        <v>190.99653522885401</v>
      </c>
      <c r="AN122">
        <v>193.07649806671765</v>
      </c>
      <c r="AO122">
        <v>194.69618767459832</v>
      </c>
      <c r="AP122">
        <v>196.03920177581028</v>
      </c>
      <c r="AQ122">
        <v>197.33417916774721</v>
      </c>
      <c r="AR122">
        <v>198.83372573394598</v>
      </c>
      <c r="AS122">
        <v>200.56165831064837</v>
      </c>
      <c r="AT122">
        <v>202.57486914926318</v>
      </c>
      <c r="AU122">
        <v>204.75009381711894</v>
      </c>
      <c r="AV122">
        <v>206.97001136967683</v>
      </c>
      <c r="AW122">
        <v>209.10489077422775</v>
      </c>
      <c r="AX122">
        <v>211.03871073734206</v>
      </c>
      <c r="AY122">
        <v>212.73997473824173</v>
      </c>
      <c r="AZ122">
        <v>214.20280150766681</v>
      </c>
      <c r="BA122">
        <v>215.48710141178316</v>
      </c>
      <c r="BB122">
        <v>216.66311815709179</v>
      </c>
    </row>
    <row r="123" spans="3:54" x14ac:dyDescent="0.2">
      <c r="C123" t="s">
        <v>125</v>
      </c>
      <c r="D123" t="s">
        <v>260</v>
      </c>
      <c r="E123" t="s">
        <v>243</v>
      </c>
      <c r="F123">
        <v>-66.264231081481526</v>
      </c>
      <c r="G123">
        <v>-53.181762923128225</v>
      </c>
      <c r="H123">
        <v>365.67515264952925</v>
      </c>
      <c r="I123">
        <v>321.89508543011459</v>
      </c>
      <c r="J123">
        <v>427.59338403869685</v>
      </c>
      <c r="K123">
        <v>418.41794946356936</v>
      </c>
      <c r="L123">
        <v>457.68674219949526</v>
      </c>
      <c r="M123">
        <v>559.65122267972015</v>
      </c>
      <c r="N123">
        <v>523.72055132573144</v>
      </c>
      <c r="O123">
        <v>560.4826655779143</v>
      </c>
      <c r="P123">
        <v>539.37795439155786</v>
      </c>
      <c r="Q123">
        <v>549.92376704832236</v>
      </c>
      <c r="R123">
        <v>552.08949808015757</v>
      </c>
      <c r="S123">
        <v>532.77467246609444</v>
      </c>
      <c r="T123">
        <v>538.77808174277493</v>
      </c>
      <c r="U123">
        <v>530.62011460510325</v>
      </c>
      <c r="V123">
        <v>542.06627794792212</v>
      </c>
      <c r="W123">
        <v>549.07375106665313</v>
      </c>
      <c r="X123">
        <v>555.99733913498312</v>
      </c>
      <c r="Y123">
        <v>564.88102435440749</v>
      </c>
      <c r="Z123">
        <v>565.63103380124426</v>
      </c>
      <c r="AA123">
        <v>567.80907090998494</v>
      </c>
      <c r="AB123">
        <v>564.16842706579916</v>
      </c>
      <c r="AC123">
        <v>560.90342171366683</v>
      </c>
      <c r="AD123">
        <v>557.93256788636461</v>
      </c>
      <c r="AE123">
        <v>555.23973791267349</v>
      </c>
      <c r="AF123">
        <v>555.10931977642008</v>
      </c>
      <c r="AG123">
        <v>555.08371229287593</v>
      </c>
      <c r="AH123">
        <v>556.59881739417983</v>
      </c>
      <c r="AI123">
        <v>558.14146879269333</v>
      </c>
      <c r="AJ123">
        <v>559.6246881621546</v>
      </c>
      <c r="AK123">
        <v>560.93918707661578</v>
      </c>
      <c r="AL123">
        <v>561.44001316560616</v>
      </c>
      <c r="AM123">
        <v>561.61443341360621</v>
      </c>
      <c r="AN123">
        <v>561.13221405887703</v>
      </c>
      <c r="AO123">
        <v>560.4066704842794</v>
      </c>
      <c r="AP123">
        <v>559.58915686004332</v>
      </c>
      <c r="AQ123">
        <v>558.85351068738942</v>
      </c>
      <c r="AR123">
        <v>558.47025929822087</v>
      </c>
      <c r="AS123">
        <v>558.38223436818066</v>
      </c>
      <c r="AT123">
        <v>558.64066089198889</v>
      </c>
      <c r="AU123">
        <v>559.07134145200621</v>
      </c>
      <c r="AV123">
        <v>559.53978546514327</v>
      </c>
      <c r="AW123">
        <v>559.92394602980971</v>
      </c>
      <c r="AX123">
        <v>560.11705702647748</v>
      </c>
      <c r="AY123">
        <v>560.12915521459797</v>
      </c>
      <c r="AZ123">
        <v>559.97719655355036</v>
      </c>
      <c r="BA123">
        <v>559.74417491193435</v>
      </c>
      <c r="BB123">
        <v>559.50305014204446</v>
      </c>
    </row>
    <row r="124" spans="3:54" x14ac:dyDescent="0.2">
      <c r="C124" t="s">
        <v>126</v>
      </c>
      <c r="D124" t="s">
        <v>274</v>
      </c>
      <c r="E124" t="s">
        <v>267</v>
      </c>
      <c r="F124">
        <v>10.232948169404569</v>
      </c>
      <c r="G124">
        <v>-6.9257775349473296E-3</v>
      </c>
      <c r="H124">
        <v>28.168613088753009</v>
      </c>
      <c r="I124">
        <v>-2.623504894596949</v>
      </c>
      <c r="J124">
        <v>19.668057483085725</v>
      </c>
      <c r="K124">
        <v>15.770242783997562</v>
      </c>
      <c r="L124">
        <v>18.705622556737843</v>
      </c>
      <c r="M124">
        <v>24.522086523678777</v>
      </c>
      <c r="N124">
        <v>18.102253516902806</v>
      </c>
      <c r="O124">
        <v>26.476503997170191</v>
      </c>
      <c r="P124">
        <v>22.829828908091393</v>
      </c>
      <c r="Q124">
        <v>25.446290800411266</v>
      </c>
      <c r="R124">
        <v>25.819015029255464</v>
      </c>
      <c r="S124">
        <v>25.577750039818966</v>
      </c>
      <c r="T124">
        <v>28.741382675217373</v>
      </c>
      <c r="U124">
        <v>28.989636328939518</v>
      </c>
      <c r="V124">
        <v>31.97139625417552</v>
      </c>
      <c r="W124">
        <v>33.361742198656117</v>
      </c>
      <c r="X124">
        <v>35.060553377054177</v>
      </c>
      <c r="Y124">
        <v>36.724466988500623</v>
      </c>
      <c r="Z124">
        <v>37.41026993803505</v>
      </c>
      <c r="AA124">
        <v>38.611630698435228</v>
      </c>
      <c r="AB124">
        <v>39.120111741616569</v>
      </c>
      <c r="AC124">
        <v>39.984160043421149</v>
      </c>
      <c r="AD124">
        <v>40.800436399644944</v>
      </c>
      <c r="AE124">
        <v>41.633759868399579</v>
      </c>
      <c r="AF124">
        <v>42.688543958202736</v>
      </c>
      <c r="AG124">
        <v>43.610914605523142</v>
      </c>
      <c r="AH124">
        <v>44.666333605682247</v>
      </c>
      <c r="AI124">
        <v>45.604761549770267</v>
      </c>
      <c r="AJ124">
        <v>46.504128168034306</v>
      </c>
      <c r="AK124">
        <v>47.341482626896713</v>
      </c>
      <c r="AL124">
        <v>48.065295533140379</v>
      </c>
      <c r="AM124">
        <v>48.759358953963876</v>
      </c>
      <c r="AN124">
        <v>49.37219907152145</v>
      </c>
      <c r="AO124">
        <v>49.974050258336803</v>
      </c>
      <c r="AP124">
        <v>50.561454067319644</v>
      </c>
      <c r="AQ124">
        <v>51.149524534825041</v>
      </c>
      <c r="AR124">
        <v>51.754047686260513</v>
      </c>
      <c r="AS124">
        <v>52.353377249503694</v>
      </c>
      <c r="AT124">
        <v>52.952826853316942</v>
      </c>
      <c r="AU124">
        <v>53.529138691281666</v>
      </c>
      <c r="AV124">
        <v>54.07750643085781</v>
      </c>
      <c r="AW124">
        <v>54.592270367083636</v>
      </c>
      <c r="AX124">
        <v>55.070817945821133</v>
      </c>
      <c r="AY124">
        <v>55.521526687986238</v>
      </c>
      <c r="AZ124">
        <v>55.947620718983998</v>
      </c>
      <c r="BA124">
        <v>56.358604423819962</v>
      </c>
      <c r="BB124">
        <v>56.758800358268701</v>
      </c>
    </row>
    <row r="125" spans="3:54" x14ac:dyDescent="0.2">
      <c r="C125" t="s">
        <v>127</v>
      </c>
      <c r="D125" t="s">
        <v>275</v>
      </c>
      <c r="E125" t="s">
        <v>267</v>
      </c>
      <c r="F125">
        <v>187.63093708231315</v>
      </c>
      <c r="G125">
        <v>256.71922202142031</v>
      </c>
      <c r="H125">
        <v>460.90456937423153</v>
      </c>
      <c r="I125">
        <v>185.25422985196278</v>
      </c>
      <c r="J125">
        <v>303.45891647746635</v>
      </c>
      <c r="K125">
        <v>348.3776657582145</v>
      </c>
      <c r="L125">
        <v>379.85424533477482</v>
      </c>
      <c r="M125">
        <v>428.54677089203096</v>
      </c>
      <c r="N125">
        <v>369.83135266957879</v>
      </c>
      <c r="O125">
        <v>420.57108202830841</v>
      </c>
      <c r="P125">
        <v>397.77606082726095</v>
      </c>
      <c r="Q125">
        <v>398.79840493216295</v>
      </c>
      <c r="R125">
        <v>395.24427426964678</v>
      </c>
      <c r="S125">
        <v>386.30507852791061</v>
      </c>
      <c r="T125">
        <v>413.52712156432318</v>
      </c>
      <c r="U125">
        <v>427.26383599066889</v>
      </c>
      <c r="V125">
        <v>460.793621635828</v>
      </c>
      <c r="W125">
        <v>486.52186340898561</v>
      </c>
      <c r="X125">
        <v>509.63303585550193</v>
      </c>
      <c r="Y125">
        <v>530.52606764518885</v>
      </c>
      <c r="Z125">
        <v>539.57296531408383</v>
      </c>
      <c r="AA125">
        <v>548.76174137550174</v>
      </c>
      <c r="AB125">
        <v>552.04037634854888</v>
      </c>
      <c r="AC125">
        <v>557.20724538340403</v>
      </c>
      <c r="AD125">
        <v>563.92032052816273</v>
      </c>
      <c r="AE125">
        <v>572.07398507771541</v>
      </c>
      <c r="AF125">
        <v>583.57926034923048</v>
      </c>
      <c r="AG125">
        <v>595.36295381891966</v>
      </c>
      <c r="AH125">
        <v>608.48270639134205</v>
      </c>
      <c r="AI125">
        <v>620.82768785000133</v>
      </c>
      <c r="AJ125">
        <v>632.13006948027248</v>
      </c>
      <c r="AK125">
        <v>642.17537356292394</v>
      </c>
      <c r="AL125">
        <v>650.42030072128478</v>
      </c>
      <c r="AM125">
        <v>657.62328407496227</v>
      </c>
      <c r="AN125">
        <v>663.73929203821137</v>
      </c>
      <c r="AO125">
        <v>669.53304622042378</v>
      </c>
      <c r="AP125">
        <v>675.36525606031512</v>
      </c>
      <c r="AQ125">
        <v>681.50419502771058</v>
      </c>
      <c r="AR125">
        <v>688.16295779117297</v>
      </c>
      <c r="AS125">
        <v>695.11866291655576</v>
      </c>
      <c r="AT125">
        <v>702.23746165037869</v>
      </c>
      <c r="AU125">
        <v>709.17250769101997</v>
      </c>
      <c r="AV125">
        <v>715.69869303306086</v>
      </c>
      <c r="AW125">
        <v>721.68024800147589</v>
      </c>
      <c r="AX125">
        <v>727.06822428298892</v>
      </c>
      <c r="AY125">
        <v>731.97231127730379</v>
      </c>
      <c r="AZ125">
        <v>736.51215045353683</v>
      </c>
      <c r="BA125">
        <v>740.85718149995</v>
      </c>
      <c r="BB125">
        <v>745.13001334482885</v>
      </c>
    </row>
    <row r="126" spans="3:54" x14ac:dyDescent="0.2">
      <c r="C126" t="s">
        <v>128</v>
      </c>
      <c r="D126" t="s">
        <v>276</v>
      </c>
      <c r="E126" t="s">
        <v>267</v>
      </c>
      <c r="F126">
        <v>-101.13478042039529</v>
      </c>
      <c r="G126">
        <v>113.12275539347077</v>
      </c>
      <c r="H126">
        <v>271.65048170240544</v>
      </c>
      <c r="I126">
        <v>151.97363650705114</v>
      </c>
      <c r="J126">
        <v>229.7928679233282</v>
      </c>
      <c r="K126">
        <v>203.03470140369555</v>
      </c>
      <c r="L126">
        <v>268.24435612143623</v>
      </c>
      <c r="M126">
        <v>280.53000765316312</v>
      </c>
      <c r="N126">
        <v>269.06152229964289</v>
      </c>
      <c r="O126">
        <v>306.43501074709906</v>
      </c>
      <c r="P126">
        <v>296.95275948258922</v>
      </c>
      <c r="Q126">
        <v>316.86404829080254</v>
      </c>
      <c r="R126">
        <v>309.23090454664202</v>
      </c>
      <c r="S126">
        <v>307.36696633530869</v>
      </c>
      <c r="T126">
        <v>312.51035297587606</v>
      </c>
      <c r="U126">
        <v>311.14356145324001</v>
      </c>
      <c r="V126">
        <v>322.70043668149412</v>
      </c>
      <c r="W126">
        <v>327.18864750152579</v>
      </c>
      <c r="X126">
        <v>336.88214666159433</v>
      </c>
      <c r="Y126">
        <v>344.46143426121205</v>
      </c>
      <c r="Z126">
        <v>349.55188423892974</v>
      </c>
      <c r="AA126">
        <v>355.22418037046805</v>
      </c>
      <c r="AB126">
        <v>357.20852639976545</v>
      </c>
      <c r="AC126">
        <v>360.42919736064766</v>
      </c>
      <c r="AD126">
        <v>362.35079123058125</v>
      </c>
      <c r="AE126">
        <v>364.66239760158322</v>
      </c>
      <c r="AF126">
        <v>367.44757675118552</v>
      </c>
      <c r="AG126">
        <v>370.03813246241049</v>
      </c>
      <c r="AH126">
        <v>373.50689114763333</v>
      </c>
      <c r="AI126">
        <v>376.78133271310026</v>
      </c>
      <c r="AJ126">
        <v>380.39435722840807</v>
      </c>
      <c r="AK126">
        <v>383.85511970485436</v>
      </c>
      <c r="AL126">
        <v>387.01388388463209</v>
      </c>
      <c r="AM126">
        <v>389.93057738135496</v>
      </c>
      <c r="AN126">
        <v>392.32362943782709</v>
      </c>
      <c r="AO126">
        <v>394.4703041969579</v>
      </c>
      <c r="AP126">
        <v>396.33462348732382</v>
      </c>
      <c r="AQ126">
        <v>398.12813808547946</v>
      </c>
      <c r="AR126">
        <v>399.96550492362695</v>
      </c>
      <c r="AS126">
        <v>401.86940145789981</v>
      </c>
      <c r="AT126">
        <v>403.89903135863119</v>
      </c>
      <c r="AU126">
        <v>405.95853666566666</v>
      </c>
      <c r="AV126">
        <v>408.01507703772063</v>
      </c>
      <c r="AW126">
        <v>409.98685565704346</v>
      </c>
      <c r="AX126">
        <v>411.8285120992328</v>
      </c>
      <c r="AY126">
        <v>413.53156243827732</v>
      </c>
      <c r="AZ126">
        <v>415.09065225082622</v>
      </c>
      <c r="BA126">
        <v>416.54230841770021</v>
      </c>
      <c r="BB126">
        <v>417.91081609812619</v>
      </c>
    </row>
    <row r="127" spans="3:54" x14ac:dyDescent="0.2">
      <c r="C127" t="s">
        <v>129</v>
      </c>
      <c r="D127" t="s">
        <v>277</v>
      </c>
      <c r="E127" t="s">
        <v>267</v>
      </c>
      <c r="F127">
        <v>-212.08045570966758</v>
      </c>
      <c r="G127">
        <v>15.523668384693218</v>
      </c>
      <c r="H127">
        <v>203.18167953068377</v>
      </c>
      <c r="I127">
        <v>-25.220195663957334</v>
      </c>
      <c r="J127">
        <v>113.7630509152097</v>
      </c>
      <c r="K127">
        <v>43.906740221541128</v>
      </c>
      <c r="L127">
        <v>125.38773795873291</v>
      </c>
      <c r="M127">
        <v>129.78904872906608</v>
      </c>
      <c r="N127">
        <v>94.459961722282131</v>
      </c>
      <c r="O127">
        <v>146.99332346206344</v>
      </c>
      <c r="P127">
        <v>120.17622524289416</v>
      </c>
      <c r="Q127">
        <v>150.39578454169029</v>
      </c>
      <c r="R127">
        <v>141.05752232175183</v>
      </c>
      <c r="S127">
        <v>142.76353901574814</v>
      </c>
      <c r="T127">
        <v>156.60406382912993</v>
      </c>
      <c r="U127">
        <v>155.36874340475066</v>
      </c>
      <c r="V127">
        <v>173.52515248399888</v>
      </c>
      <c r="W127">
        <v>177.15412958148266</v>
      </c>
      <c r="X127">
        <v>188.03885389632791</v>
      </c>
      <c r="Y127">
        <v>195.45786864110926</v>
      </c>
      <c r="Z127">
        <v>199.23415271657842</v>
      </c>
      <c r="AA127">
        <v>205.74667517472241</v>
      </c>
      <c r="AB127">
        <v>207.41914667727659</v>
      </c>
      <c r="AC127">
        <v>212.40833344331605</v>
      </c>
      <c r="AD127">
        <v>215.95272623671752</v>
      </c>
      <c r="AE127">
        <v>220.34448721280012</v>
      </c>
      <c r="AF127">
        <v>225.4755495171072</v>
      </c>
      <c r="AG127">
        <v>229.7914310026803</v>
      </c>
      <c r="AH127">
        <v>235.04485490826769</v>
      </c>
      <c r="AI127">
        <v>239.39516958071198</v>
      </c>
      <c r="AJ127">
        <v>243.89573645362245</v>
      </c>
      <c r="AK127">
        <v>247.97987668540077</v>
      </c>
      <c r="AL127">
        <v>251.61879519555868</v>
      </c>
      <c r="AM127">
        <v>255.15373229372906</v>
      </c>
      <c r="AN127">
        <v>258.20067453834992</v>
      </c>
      <c r="AO127">
        <v>261.23240537948732</v>
      </c>
      <c r="AP127">
        <v>264.08393979580649</v>
      </c>
      <c r="AQ127">
        <v>266.94925956260016</v>
      </c>
      <c r="AR127">
        <v>269.87235260076801</v>
      </c>
      <c r="AS127">
        <v>272.77135103637198</v>
      </c>
      <c r="AT127">
        <v>275.70316898345436</v>
      </c>
      <c r="AU127">
        <v>278.51986871666082</v>
      </c>
      <c r="AV127">
        <v>281.22683223002036</v>
      </c>
      <c r="AW127">
        <v>283.76623917643963</v>
      </c>
      <c r="AX127">
        <v>286.13215783911045</v>
      </c>
      <c r="AY127">
        <v>288.36089983141369</v>
      </c>
      <c r="AZ127">
        <v>290.46155872112456</v>
      </c>
      <c r="BA127">
        <v>292.48795755114799</v>
      </c>
      <c r="BB127">
        <v>294.45334985760189</v>
      </c>
    </row>
    <row r="128" spans="3:54" x14ac:dyDescent="0.2">
      <c r="C128" t="s">
        <v>130</v>
      </c>
      <c r="D128" t="s">
        <v>278</v>
      </c>
      <c r="E128" t="s">
        <v>267</v>
      </c>
      <c r="F128">
        <v>-46.358754962891432</v>
      </c>
      <c r="G128">
        <v>270.59196757668411</v>
      </c>
      <c r="H128">
        <v>576.25588663019323</v>
      </c>
      <c r="I128">
        <v>169.36391495565553</v>
      </c>
      <c r="J128">
        <v>189.30385657724733</v>
      </c>
      <c r="K128">
        <v>296.09667877296772</v>
      </c>
      <c r="L128">
        <v>455.96933059270469</v>
      </c>
      <c r="M128">
        <v>505.95073254307954</v>
      </c>
      <c r="N128">
        <v>406.98852888405634</v>
      </c>
      <c r="O128">
        <v>454.46043800472557</v>
      </c>
      <c r="P128">
        <v>460.23825022107599</v>
      </c>
      <c r="Q128">
        <v>475.93372972336101</v>
      </c>
      <c r="R128">
        <v>444.34591390342212</v>
      </c>
      <c r="S128">
        <v>408.58247600135525</v>
      </c>
      <c r="T128">
        <v>420.92415860586539</v>
      </c>
      <c r="U128">
        <v>428.17276812337434</v>
      </c>
      <c r="V128">
        <v>452.81018835935686</v>
      </c>
      <c r="W128">
        <v>466.61680565438712</v>
      </c>
      <c r="X128">
        <v>484.7715065761152</v>
      </c>
      <c r="Y128">
        <v>504.70680528854172</v>
      </c>
      <c r="Z128">
        <v>513.89751150237487</v>
      </c>
      <c r="AA128">
        <v>520.27858758857997</v>
      </c>
      <c r="AB128">
        <v>518.25423506716641</v>
      </c>
      <c r="AC128">
        <v>517.51934068417722</v>
      </c>
      <c r="AD128">
        <v>517.16195118830672</v>
      </c>
      <c r="AE128">
        <v>517.67591211237925</v>
      </c>
      <c r="AF128">
        <v>521.10942900519547</v>
      </c>
      <c r="AG128">
        <v>525.58688967561216</v>
      </c>
      <c r="AH128">
        <v>532.7364968803837</v>
      </c>
      <c r="AI128">
        <v>540.23134435435315</v>
      </c>
      <c r="AJ128">
        <v>547.64047585446428</v>
      </c>
      <c r="AK128">
        <v>554.27111980313748</v>
      </c>
      <c r="AL128">
        <v>559.3939375366632</v>
      </c>
      <c r="AM128">
        <v>563.41574386832349</v>
      </c>
      <c r="AN128">
        <v>566.04358189561935</v>
      </c>
      <c r="AO128">
        <v>567.99347229238458</v>
      </c>
      <c r="AP128">
        <v>569.67284064787236</v>
      </c>
      <c r="AQ128">
        <v>571.56556355995542</v>
      </c>
      <c r="AR128">
        <v>574.05278559113731</v>
      </c>
      <c r="AS128">
        <v>577.08262839638348</v>
      </c>
      <c r="AT128">
        <v>580.62743575963225</v>
      </c>
      <c r="AU128">
        <v>584.36516684065373</v>
      </c>
      <c r="AV128">
        <v>588.03811728394624</v>
      </c>
      <c r="AW128">
        <v>591.40799413973286</v>
      </c>
      <c r="AX128">
        <v>594.32040364975069</v>
      </c>
      <c r="AY128">
        <v>596.78744915626862</v>
      </c>
      <c r="AZ128">
        <v>598.86805580171108</v>
      </c>
      <c r="BA128">
        <v>600.71387235835493</v>
      </c>
      <c r="BB128">
        <v>602.46246391841419</v>
      </c>
    </row>
    <row r="129" spans="3:54" x14ac:dyDescent="0.2">
      <c r="C129" t="s">
        <v>131</v>
      </c>
      <c r="D129" t="s">
        <v>279</v>
      </c>
      <c r="E129" t="s">
        <v>267</v>
      </c>
      <c r="F129">
        <v>-36.992435810322675</v>
      </c>
      <c r="G129">
        <v>-12.381483881564606</v>
      </c>
      <c r="H129">
        <v>65.880248247096617</v>
      </c>
      <c r="I129">
        <v>-1.8439941489183418</v>
      </c>
      <c r="J129">
        <v>-2.6296159196528222</v>
      </c>
      <c r="K129">
        <v>-0.16618217714869873</v>
      </c>
      <c r="L129">
        <v>27.412716940142403</v>
      </c>
      <c r="M129">
        <v>42.550384361031604</v>
      </c>
      <c r="N129">
        <v>26.335823076426699</v>
      </c>
      <c r="O129">
        <v>36.271892956912474</v>
      </c>
      <c r="P129">
        <v>37.17919006554915</v>
      </c>
      <c r="Q129">
        <v>43.876467280212985</v>
      </c>
      <c r="R129">
        <v>42.803976742418712</v>
      </c>
      <c r="S129">
        <v>40.478814257290992</v>
      </c>
      <c r="T129">
        <v>45.878173976158145</v>
      </c>
      <c r="U129">
        <v>48.530355853913065</v>
      </c>
      <c r="V129">
        <v>54.666947637239552</v>
      </c>
      <c r="W129">
        <v>58.723126539941276</v>
      </c>
      <c r="X129">
        <v>63.657166965408834</v>
      </c>
      <c r="Y129">
        <v>68.782755829595942</v>
      </c>
      <c r="Z129">
        <v>72.060958446484236</v>
      </c>
      <c r="AA129">
        <v>75.454002794664248</v>
      </c>
      <c r="AB129">
        <v>77.481802911334213</v>
      </c>
      <c r="AC129">
        <v>79.750224912175725</v>
      </c>
      <c r="AD129">
        <v>81.85761354771806</v>
      </c>
      <c r="AE129">
        <v>83.967932209864756</v>
      </c>
      <c r="AF129">
        <v>86.499340476427932</v>
      </c>
      <c r="AG129">
        <v>89.004794865298976</v>
      </c>
      <c r="AH129">
        <v>91.833184801847054</v>
      </c>
      <c r="AI129">
        <v>94.58318735230435</v>
      </c>
      <c r="AJ129">
        <v>97.277910891702817</v>
      </c>
      <c r="AK129">
        <v>99.827568624859481</v>
      </c>
      <c r="AL129">
        <v>102.10759742135313</v>
      </c>
      <c r="AM129">
        <v>104.2138254193838</v>
      </c>
      <c r="AN129">
        <v>106.07814689337067</v>
      </c>
      <c r="AO129">
        <v>107.82057756819559</v>
      </c>
      <c r="AP129">
        <v>109.47613588111876</v>
      </c>
      <c r="AQ129">
        <v>111.10314629753759</v>
      </c>
      <c r="AR129">
        <v>112.75575040445409</v>
      </c>
      <c r="AS129">
        <v>114.41989073363455</v>
      </c>
      <c r="AT129">
        <v>116.10369300158676</v>
      </c>
      <c r="AU129">
        <v>117.76347149238778</v>
      </c>
      <c r="AV129">
        <v>119.3729481769671</v>
      </c>
      <c r="AW129">
        <v>120.90486644276338</v>
      </c>
      <c r="AX129">
        <v>122.34028010524172</v>
      </c>
      <c r="AY129">
        <v>123.6839746713151</v>
      </c>
      <c r="AZ129">
        <v>124.94196736132039</v>
      </c>
      <c r="BA129">
        <v>126.13537243163225</v>
      </c>
      <c r="BB129">
        <v>127.28164594428777</v>
      </c>
    </row>
    <row r="130" spans="3:54" x14ac:dyDescent="0.2">
      <c r="C130" t="s">
        <v>132</v>
      </c>
      <c r="D130" t="s">
        <v>280</v>
      </c>
      <c r="E130" t="s">
        <v>267</v>
      </c>
      <c r="F130">
        <v>-171.17387124526047</v>
      </c>
      <c r="G130">
        <v>23.422844655943262</v>
      </c>
      <c r="H130">
        <v>208.7779478867333</v>
      </c>
      <c r="I130">
        <v>125.46231140055696</v>
      </c>
      <c r="J130">
        <v>175.74629116566103</v>
      </c>
      <c r="K130">
        <v>69.849985542556567</v>
      </c>
      <c r="L130">
        <v>119.18299477504547</v>
      </c>
      <c r="M130">
        <v>115.64449952460036</v>
      </c>
      <c r="N130">
        <v>93.568449172959646</v>
      </c>
      <c r="O130">
        <v>110.15973976022399</v>
      </c>
      <c r="P130">
        <v>90.884495645615402</v>
      </c>
      <c r="Q130">
        <v>117.32126838516484</v>
      </c>
      <c r="R130">
        <v>113.02031150655577</v>
      </c>
      <c r="S130">
        <v>116.07957821118828</v>
      </c>
      <c r="T130">
        <v>119.54067273787662</v>
      </c>
      <c r="U130">
        <v>114.9265106132615</v>
      </c>
      <c r="V130">
        <v>120.59268089087244</v>
      </c>
      <c r="W130">
        <v>115.79998417372606</v>
      </c>
      <c r="X130">
        <v>116.58174603110655</v>
      </c>
      <c r="Y130">
        <v>115.01059604680093</v>
      </c>
      <c r="Z130">
        <v>113.6575164963233</v>
      </c>
      <c r="AA130">
        <v>114.82776200366199</v>
      </c>
      <c r="AB130">
        <v>114.1023063582852</v>
      </c>
      <c r="AC130">
        <v>116.05867322367459</v>
      </c>
      <c r="AD130">
        <v>116.95107775507866</v>
      </c>
      <c r="AE130">
        <v>118.3682260832896</v>
      </c>
      <c r="AF130">
        <v>119.49867036525339</v>
      </c>
      <c r="AG130">
        <v>119.67823220082623</v>
      </c>
      <c r="AH130">
        <v>119.98546311543988</v>
      </c>
      <c r="AI130">
        <v>119.53675880671027</v>
      </c>
      <c r="AJ130">
        <v>119.33071568595307</v>
      </c>
      <c r="AK130">
        <v>119.09299000080119</v>
      </c>
      <c r="AL130">
        <v>119.03023813471083</v>
      </c>
      <c r="AM130">
        <v>119.28678506767714</v>
      </c>
      <c r="AN130">
        <v>119.58205515231131</v>
      </c>
      <c r="AO130">
        <v>120.07761106070143</v>
      </c>
      <c r="AP130">
        <v>120.51202961598243</v>
      </c>
      <c r="AQ130">
        <v>120.92432690702344</v>
      </c>
      <c r="AR130">
        <v>121.25568155347557</v>
      </c>
      <c r="AS130">
        <v>121.46539822756748</v>
      </c>
      <c r="AT130">
        <v>121.61648442328955</v>
      </c>
      <c r="AU130">
        <v>121.67844321884697</v>
      </c>
      <c r="AV130">
        <v>121.72545120429027</v>
      </c>
      <c r="AW130">
        <v>121.76848159338832</v>
      </c>
      <c r="AX130">
        <v>121.83932812806169</v>
      </c>
      <c r="AY130">
        <v>121.95948752415184</v>
      </c>
      <c r="AZ130">
        <v>122.11687114938047</v>
      </c>
      <c r="BA130">
        <v>122.31158235643788</v>
      </c>
      <c r="BB130">
        <v>122.51408217755602</v>
      </c>
    </row>
    <row r="131" spans="3:54" x14ac:dyDescent="0.2">
      <c r="C131" t="s">
        <v>133</v>
      </c>
      <c r="D131" t="s">
        <v>281</v>
      </c>
      <c r="E131" t="s">
        <v>267</v>
      </c>
      <c r="F131">
        <v>333.77294488674625</v>
      </c>
      <c r="G131">
        <v>126.49926435610986</v>
      </c>
      <c r="H131">
        <v>454.80857776931845</v>
      </c>
      <c r="I131">
        <v>154.35244812538954</v>
      </c>
      <c r="J131">
        <v>473.65538424325388</v>
      </c>
      <c r="K131">
        <v>403.77627883864233</v>
      </c>
      <c r="L131">
        <v>423.95239905163004</v>
      </c>
      <c r="M131">
        <v>516.91820956026265</v>
      </c>
      <c r="N131">
        <v>456.59775269024135</v>
      </c>
      <c r="O131">
        <v>556.69761648250699</v>
      </c>
      <c r="P131">
        <v>506.20146200780306</v>
      </c>
      <c r="Q131">
        <v>533.24853581587161</v>
      </c>
      <c r="R131">
        <v>535.94329924051533</v>
      </c>
      <c r="S131">
        <v>526.76441992909656</v>
      </c>
      <c r="T131">
        <v>558.30110773943716</v>
      </c>
      <c r="U131">
        <v>556.36694943568875</v>
      </c>
      <c r="V131">
        <v>591.03952129816275</v>
      </c>
      <c r="W131">
        <v>609.98366081609902</v>
      </c>
      <c r="X131">
        <v>633.92781354066767</v>
      </c>
      <c r="Y131">
        <v>658.18676045098812</v>
      </c>
      <c r="Z131">
        <v>669.78019709136402</v>
      </c>
      <c r="AA131">
        <v>686.24696911618264</v>
      </c>
      <c r="AB131">
        <v>692.60246451943294</v>
      </c>
      <c r="AC131">
        <v>701.67319092592777</v>
      </c>
      <c r="AD131">
        <v>709.50655022620731</v>
      </c>
      <c r="AE131">
        <v>717.50504946672243</v>
      </c>
      <c r="AF131">
        <v>728.80680108212448</v>
      </c>
      <c r="AG131">
        <v>739.28988538811291</v>
      </c>
      <c r="AH131">
        <v>752.13470446280689</v>
      </c>
      <c r="AI131">
        <v>764.15429228042376</v>
      </c>
      <c r="AJ131">
        <v>775.97655634288913</v>
      </c>
      <c r="AK131">
        <v>787.09066350925968</v>
      </c>
      <c r="AL131">
        <v>796.63167209807659</v>
      </c>
      <c r="AM131">
        <v>805.50277528429763</v>
      </c>
      <c r="AN131">
        <v>813.04782077002767</v>
      </c>
      <c r="AO131">
        <v>820.15310066482448</v>
      </c>
      <c r="AP131">
        <v>826.88752966497555</v>
      </c>
      <c r="AQ131">
        <v>833.55658676534301</v>
      </c>
      <c r="AR131">
        <v>840.4880184962019</v>
      </c>
      <c r="AS131">
        <v>847.51396238108509</v>
      </c>
      <c r="AT131">
        <v>854.74075992455982</v>
      </c>
      <c r="AU131">
        <v>861.87172081114488</v>
      </c>
      <c r="AV131">
        <v>868.78369871552547</v>
      </c>
      <c r="AW131">
        <v>875.32622756165165</v>
      </c>
      <c r="AX131">
        <v>881.38748501952716</v>
      </c>
      <c r="AY131">
        <v>887.01673912108902</v>
      </c>
      <c r="AZ131">
        <v>892.23579218560553</v>
      </c>
      <c r="BA131">
        <v>897.17503346638807</v>
      </c>
      <c r="BB131">
        <v>901.92468735594161</v>
      </c>
    </row>
    <row r="132" spans="3:54" x14ac:dyDescent="0.2">
      <c r="C132" t="s">
        <v>134</v>
      </c>
      <c r="D132" t="s">
        <v>282</v>
      </c>
      <c r="E132" t="s">
        <v>267</v>
      </c>
      <c r="F132">
        <v>-30.343244655697262</v>
      </c>
      <c r="G132">
        <v>57.014937659066725</v>
      </c>
      <c r="H132">
        <v>251.66565706093706</v>
      </c>
      <c r="I132">
        <v>30.770258272520582</v>
      </c>
      <c r="J132">
        <v>20.867514658583143</v>
      </c>
      <c r="K132">
        <v>45.94464796853692</v>
      </c>
      <c r="L132">
        <v>113.69940859699096</v>
      </c>
      <c r="M132">
        <v>156.48504315224983</v>
      </c>
      <c r="N132">
        <v>120.06940011675634</v>
      </c>
      <c r="O132">
        <v>156.78622863434811</v>
      </c>
      <c r="P132">
        <v>164.08223545776215</v>
      </c>
      <c r="Q132">
        <v>180.53217147159393</v>
      </c>
      <c r="R132">
        <v>178.38848007873634</v>
      </c>
      <c r="S132">
        <v>168.13704242229969</v>
      </c>
      <c r="T132">
        <v>176.98500099610882</v>
      </c>
      <c r="U132">
        <v>177.84139723464457</v>
      </c>
      <c r="V132">
        <v>188.99881958527652</v>
      </c>
      <c r="W132">
        <v>196.27698955086768</v>
      </c>
      <c r="X132">
        <v>206.24205758571225</v>
      </c>
      <c r="Y132">
        <v>218.70276793282105</v>
      </c>
      <c r="Z132">
        <v>227.21965406957733</v>
      </c>
      <c r="AA132">
        <v>236.46466418922165</v>
      </c>
      <c r="AB132">
        <v>241.66311489746755</v>
      </c>
      <c r="AC132">
        <v>246.60750525432383</v>
      </c>
      <c r="AD132">
        <v>250.50787850931403</v>
      </c>
      <c r="AE132">
        <v>253.61674862868233</v>
      </c>
      <c r="AF132">
        <v>257.47692127714646</v>
      </c>
      <c r="AG132">
        <v>261.19308597283845</v>
      </c>
      <c r="AH132">
        <v>266.04409420941363</v>
      </c>
      <c r="AI132">
        <v>271.18617888713726</v>
      </c>
      <c r="AJ132">
        <v>276.63162272756165</v>
      </c>
      <c r="AK132">
        <v>282.11998348201558</v>
      </c>
      <c r="AL132">
        <v>287.13872080636321</v>
      </c>
      <c r="AM132">
        <v>291.80161748286497</v>
      </c>
      <c r="AN132">
        <v>295.78358168850644</v>
      </c>
      <c r="AO132">
        <v>299.30184737558164</v>
      </c>
      <c r="AP132">
        <v>302.4359857094837</v>
      </c>
      <c r="AQ132">
        <v>305.3523490137743</v>
      </c>
      <c r="AR132">
        <v>308.26626032349543</v>
      </c>
      <c r="AS132">
        <v>311.21399704027436</v>
      </c>
      <c r="AT132">
        <v>314.29132969756887</v>
      </c>
      <c r="AU132">
        <v>317.43687488804363</v>
      </c>
      <c r="AV132">
        <v>320.5980108409214</v>
      </c>
      <c r="AW132">
        <v>323.69429543783446</v>
      </c>
      <c r="AX132">
        <v>326.63818938525696</v>
      </c>
      <c r="AY132">
        <v>329.39745915496309</v>
      </c>
      <c r="AZ132">
        <v>331.94461115337526</v>
      </c>
      <c r="BA132">
        <v>334.30472142705361</v>
      </c>
      <c r="BB132">
        <v>336.5126081266514</v>
      </c>
    </row>
    <row r="133" spans="3:54" x14ac:dyDescent="0.2">
      <c r="C133" t="s">
        <v>135</v>
      </c>
      <c r="D133" t="s">
        <v>268</v>
      </c>
      <c r="E133" t="s">
        <v>267</v>
      </c>
      <c r="F133">
        <v>24.519811085006801</v>
      </c>
      <c r="G133">
        <v>11.273599245279126</v>
      </c>
      <c r="H133">
        <v>22.0355547533809</v>
      </c>
      <c r="I133">
        <v>16.824876237286727</v>
      </c>
      <c r="J133">
        <v>20.280533145869828</v>
      </c>
      <c r="K133">
        <v>30.365821068618025</v>
      </c>
      <c r="L133">
        <v>27.716828571195329</v>
      </c>
      <c r="M133">
        <v>32.080096786371037</v>
      </c>
      <c r="N133">
        <v>29.359858231960509</v>
      </c>
      <c r="O133">
        <v>30.975979086145536</v>
      </c>
      <c r="P133">
        <v>31.666319763448399</v>
      </c>
      <c r="Q133">
        <v>31.152269879411882</v>
      </c>
      <c r="R133">
        <v>33.359858138967056</v>
      </c>
      <c r="S133">
        <v>34.168787306826523</v>
      </c>
      <c r="T133">
        <v>37.074253028093977</v>
      </c>
      <c r="U133">
        <v>39.214331697606077</v>
      </c>
      <c r="V133">
        <v>41.37155115403062</v>
      </c>
      <c r="W133">
        <v>43.50998899810461</v>
      </c>
      <c r="X133">
        <v>44.787196624819124</v>
      </c>
      <c r="Y133">
        <v>46.193436090675164</v>
      </c>
      <c r="Z133">
        <v>46.952083835658428</v>
      </c>
      <c r="AA133">
        <v>47.767352346013986</v>
      </c>
      <c r="AB133">
        <v>48.54984688455513</v>
      </c>
      <c r="AC133">
        <v>49.369094204777689</v>
      </c>
      <c r="AD133">
        <v>50.440580965851353</v>
      </c>
      <c r="AE133">
        <v>51.52413777981063</v>
      </c>
      <c r="AF133">
        <v>52.768427155282332</v>
      </c>
      <c r="AG133">
        <v>53.981913007703035</v>
      </c>
      <c r="AH133">
        <v>55.152916977087365</v>
      </c>
      <c r="AI133">
        <v>56.241280318911734</v>
      </c>
      <c r="AJ133">
        <v>57.184040039776313</v>
      </c>
      <c r="AK133">
        <v>58.03737497910496</v>
      </c>
      <c r="AL133">
        <v>58.780412877877112</v>
      </c>
      <c r="AM133">
        <v>59.475812848844058</v>
      </c>
      <c r="AN133">
        <v>60.146301943691235</v>
      </c>
      <c r="AO133">
        <v>60.816932491308258</v>
      </c>
      <c r="AP133">
        <v>61.511604412700677</v>
      </c>
      <c r="AQ133">
        <v>62.219104798242014</v>
      </c>
      <c r="AR133">
        <v>62.939145442057601</v>
      </c>
      <c r="AS133">
        <v>63.648588961743705</v>
      </c>
      <c r="AT133">
        <v>64.332830168388952</v>
      </c>
      <c r="AU133">
        <v>64.979164999793127</v>
      </c>
      <c r="AV133">
        <v>65.578988232815448</v>
      </c>
      <c r="AW133">
        <v>66.135883256327546</v>
      </c>
      <c r="AX133">
        <v>66.654203038470541</v>
      </c>
      <c r="AY133">
        <v>67.145232934752983</v>
      </c>
      <c r="AZ133">
        <v>67.618413048476086</v>
      </c>
      <c r="BA133">
        <v>68.081480432205836</v>
      </c>
      <c r="BB133">
        <v>68.539282875465148</v>
      </c>
    </row>
    <row r="134" spans="3:54" x14ac:dyDescent="0.2">
      <c r="C134" t="s">
        <v>136</v>
      </c>
      <c r="D134" t="s">
        <v>269</v>
      </c>
      <c r="E134" t="s">
        <v>267</v>
      </c>
      <c r="F134">
        <v>-5.1496966751947788</v>
      </c>
      <c r="G134">
        <v>17.755648326228489</v>
      </c>
      <c r="H134">
        <v>56.681445941862528</v>
      </c>
      <c r="I134">
        <v>34.32726279863153</v>
      </c>
      <c r="J134">
        <v>48.612459371010935</v>
      </c>
      <c r="K134">
        <v>43.244962642586152</v>
      </c>
      <c r="L134">
        <v>49.04514450696955</v>
      </c>
      <c r="M134">
        <v>51.675346102129325</v>
      </c>
      <c r="N134">
        <v>46.902411298518878</v>
      </c>
      <c r="O134">
        <v>54.032324239334855</v>
      </c>
      <c r="P134">
        <v>53.074608479826551</v>
      </c>
      <c r="Q134">
        <v>57.61314755888592</v>
      </c>
      <c r="R134">
        <v>58.79578716659406</v>
      </c>
      <c r="S134">
        <v>59.695441925049941</v>
      </c>
      <c r="T134">
        <v>62.384611890653915</v>
      </c>
      <c r="U134">
        <v>62.891785175440873</v>
      </c>
      <c r="V134">
        <v>65.427024697340059</v>
      </c>
      <c r="W134">
        <v>66.547121792363555</v>
      </c>
      <c r="X134">
        <v>68.204775969387015</v>
      </c>
      <c r="Y134">
        <v>69.79937004399099</v>
      </c>
      <c r="Z134">
        <v>70.89193214842382</v>
      </c>
      <c r="AA134">
        <v>72.419710471409758</v>
      </c>
      <c r="AB134">
        <v>73.455104765623517</v>
      </c>
      <c r="AC134">
        <v>74.814758203360341</v>
      </c>
      <c r="AD134">
        <v>76.055414651838888</v>
      </c>
      <c r="AE134">
        <v>77.270917140375616</v>
      </c>
      <c r="AF134">
        <v>78.523800438875497</v>
      </c>
      <c r="AG134">
        <v>79.583867473133296</v>
      </c>
      <c r="AH134">
        <v>80.675694025275078</v>
      </c>
      <c r="AI134">
        <v>81.636618625898521</v>
      </c>
      <c r="AJ134">
        <v>82.585211416212232</v>
      </c>
      <c r="AK134">
        <v>83.509625714741944</v>
      </c>
      <c r="AL134">
        <v>84.394622127403125</v>
      </c>
      <c r="AM134">
        <v>85.287879352896098</v>
      </c>
      <c r="AN134">
        <v>86.132294261623088</v>
      </c>
      <c r="AO134">
        <v>86.962349047458204</v>
      </c>
      <c r="AP134">
        <v>87.753248499892052</v>
      </c>
      <c r="AQ134">
        <v>88.512117119764326</v>
      </c>
      <c r="AR134">
        <v>89.24686563536315</v>
      </c>
      <c r="AS134">
        <v>89.948479955669356</v>
      </c>
      <c r="AT134">
        <v>90.629754951507081</v>
      </c>
      <c r="AU134">
        <v>91.281817592988403</v>
      </c>
      <c r="AV134">
        <v>91.909940479074194</v>
      </c>
      <c r="AW134">
        <v>92.513670464444189</v>
      </c>
      <c r="AX134">
        <v>93.093518962814656</v>
      </c>
      <c r="AY134">
        <v>93.654320693970348</v>
      </c>
      <c r="AZ134">
        <v>94.195397402910046</v>
      </c>
      <c r="BA134">
        <v>94.719978603420003</v>
      </c>
      <c r="BB134">
        <v>95.22711908871797</v>
      </c>
    </row>
    <row r="135" spans="3:54" x14ac:dyDescent="0.2">
      <c r="C135" t="s">
        <v>137</v>
      </c>
      <c r="D135" t="s">
        <v>270</v>
      </c>
      <c r="E135" t="s">
        <v>267</v>
      </c>
      <c r="F135">
        <v>133.29442136646912</v>
      </c>
      <c r="G135">
        <v>920.41595259549047</v>
      </c>
      <c r="H135">
        <v>1719.1449936411821</v>
      </c>
      <c r="I135">
        <v>1114.9208006457118</v>
      </c>
      <c r="J135">
        <v>1570.8558229054981</v>
      </c>
      <c r="K135">
        <v>1460.4735680269889</v>
      </c>
      <c r="L135">
        <v>1708.309152599538</v>
      </c>
      <c r="M135">
        <v>1790.6384132457827</v>
      </c>
      <c r="N135">
        <v>1725.1870181600389</v>
      </c>
      <c r="O135">
        <v>1922.7040988360884</v>
      </c>
      <c r="P135">
        <v>1894.2342754704689</v>
      </c>
      <c r="Q135">
        <v>2008.4865880189514</v>
      </c>
      <c r="R135">
        <v>2012.6027215890222</v>
      </c>
      <c r="S135">
        <v>2028.2287151911287</v>
      </c>
      <c r="T135">
        <v>2082.5349464282513</v>
      </c>
      <c r="U135">
        <v>2091.6178837605335</v>
      </c>
      <c r="V135">
        <v>2158.3655268453849</v>
      </c>
      <c r="W135">
        <v>2190.5172358888562</v>
      </c>
      <c r="X135">
        <v>2243.9926799841119</v>
      </c>
      <c r="Y135">
        <v>2292.3018595540111</v>
      </c>
      <c r="Z135">
        <v>2328.324605081802</v>
      </c>
      <c r="AA135">
        <v>2370.7300683608123</v>
      </c>
      <c r="AB135">
        <v>2396.540346401619</v>
      </c>
      <c r="AC135">
        <v>2428.2004365352732</v>
      </c>
      <c r="AD135">
        <v>2454.0164282891974</v>
      </c>
      <c r="AE135">
        <v>2480.0224195805094</v>
      </c>
      <c r="AF135">
        <v>2507.7508426179102</v>
      </c>
      <c r="AG135">
        <v>2532.9418880665853</v>
      </c>
      <c r="AH135">
        <v>2561.1233852867463</v>
      </c>
      <c r="AI135">
        <v>2587.3765265708107</v>
      </c>
      <c r="AJ135">
        <v>2614.3046950793373</v>
      </c>
      <c r="AK135">
        <v>2640.3279475441791</v>
      </c>
      <c r="AL135">
        <v>2664.7789574148956</v>
      </c>
      <c r="AM135">
        <v>2688.3836746536281</v>
      </c>
      <c r="AN135">
        <v>2709.7460965871733</v>
      </c>
      <c r="AO135">
        <v>2730.0404069100364</v>
      </c>
      <c r="AP135">
        <v>2748.9021888661941</v>
      </c>
      <c r="AQ135">
        <v>2766.9893196770176</v>
      </c>
      <c r="AR135">
        <v>2784.7268191017165</v>
      </c>
      <c r="AS135">
        <v>2802.10227694681</v>
      </c>
      <c r="AT135">
        <v>2819.4649587661465</v>
      </c>
      <c r="AU135">
        <v>2836.485914171581</v>
      </c>
      <c r="AV135">
        <v>2853.1481787850748</v>
      </c>
      <c r="AW135">
        <v>2869.2154840168332</v>
      </c>
      <c r="AX135">
        <v>2884.5427512840124</v>
      </c>
      <c r="AY135">
        <v>2899.1335924145192</v>
      </c>
      <c r="AZ135">
        <v>2912.9454772106819</v>
      </c>
      <c r="BA135">
        <v>2926.1112780481581</v>
      </c>
      <c r="BB135">
        <v>2938.6989649121374</v>
      </c>
    </row>
    <row r="136" spans="3:54" x14ac:dyDescent="0.2">
      <c r="C136" t="s">
        <v>138</v>
      </c>
      <c r="D136" t="s">
        <v>271</v>
      </c>
      <c r="E136" t="s">
        <v>267</v>
      </c>
      <c r="F136">
        <v>-83.978047441834235</v>
      </c>
      <c r="G136">
        <v>32.905587027061962</v>
      </c>
      <c r="H136">
        <v>177.65006732815687</v>
      </c>
      <c r="I136">
        <v>96.338612676931106</v>
      </c>
      <c r="J136">
        <v>150.40575690947216</v>
      </c>
      <c r="K136">
        <v>102.29444118666341</v>
      </c>
      <c r="L136">
        <v>134.3998169837329</v>
      </c>
      <c r="M136">
        <v>141.51361622645638</v>
      </c>
      <c r="N136">
        <v>135.39700199404635</v>
      </c>
      <c r="O136">
        <v>170.01363839148701</v>
      </c>
      <c r="P136">
        <v>172.48563154454976</v>
      </c>
      <c r="Q136">
        <v>202.1239180593457</v>
      </c>
      <c r="R136">
        <v>211.05705575543556</v>
      </c>
      <c r="S136">
        <v>220.66014139473293</v>
      </c>
      <c r="T136">
        <v>230.97291937158317</v>
      </c>
      <c r="U136">
        <v>231.6847962642187</v>
      </c>
      <c r="V136">
        <v>239.59283990130751</v>
      </c>
      <c r="W136">
        <v>240.88507071293822</v>
      </c>
      <c r="X136">
        <v>246.72572283161685</v>
      </c>
      <c r="Y136">
        <v>252.85016262776031</v>
      </c>
      <c r="Z136">
        <v>259.36181330261945</v>
      </c>
      <c r="AA136">
        <v>268.41181641674564</v>
      </c>
      <c r="AB136">
        <v>275.76683138724616</v>
      </c>
      <c r="AC136">
        <v>284.2775382222286</v>
      </c>
      <c r="AD136">
        <v>291.21256141290286</v>
      </c>
      <c r="AE136">
        <v>297.40083066761918</v>
      </c>
      <c r="AF136">
        <v>302.80748795702061</v>
      </c>
      <c r="AG136">
        <v>307.03425763036347</v>
      </c>
      <c r="AH136">
        <v>311.24491306659803</v>
      </c>
      <c r="AI136">
        <v>314.99392976903113</v>
      </c>
      <c r="AJ136">
        <v>319.04971153871003</v>
      </c>
      <c r="AK136">
        <v>323.29703017560757</v>
      </c>
      <c r="AL136">
        <v>327.7391192082049</v>
      </c>
      <c r="AM136">
        <v>332.41541235527535</v>
      </c>
      <c r="AN136">
        <v>336.97750355891299</v>
      </c>
      <c r="AO136">
        <v>341.44383005642283</v>
      </c>
      <c r="AP136">
        <v>345.57905503564592</v>
      </c>
      <c r="AQ136">
        <v>349.38219348301749</v>
      </c>
      <c r="AR136">
        <v>352.86118634975958</v>
      </c>
      <c r="AS136">
        <v>356.04027256205893</v>
      </c>
      <c r="AT136">
        <v>359.04680772677426</v>
      </c>
      <c r="AU136">
        <v>361.92593864919593</v>
      </c>
      <c r="AV136">
        <v>364.77166749461185</v>
      </c>
      <c r="AW136">
        <v>367.60926009526588</v>
      </c>
      <c r="AX136">
        <v>370.44390285556369</v>
      </c>
      <c r="AY136">
        <v>373.26233352273385</v>
      </c>
      <c r="AZ136">
        <v>376.01841072191758</v>
      </c>
      <c r="BA136">
        <v>378.68261260480864</v>
      </c>
      <c r="BB136">
        <v>381.21843879489995</v>
      </c>
    </row>
    <row r="137" spans="3:54" x14ac:dyDescent="0.2">
      <c r="C137" t="s">
        <v>139</v>
      </c>
      <c r="D137" t="s">
        <v>272</v>
      </c>
      <c r="E137" t="s">
        <v>267</v>
      </c>
      <c r="F137">
        <v>-503.63849755277266</v>
      </c>
      <c r="G137">
        <v>257.47327990468733</v>
      </c>
      <c r="H137">
        <v>906.35653245309652</v>
      </c>
      <c r="I137">
        <v>348.78890317824204</v>
      </c>
      <c r="J137">
        <v>512.22520947041107</v>
      </c>
      <c r="K137">
        <v>381.00507643682414</v>
      </c>
      <c r="L137">
        <v>651.77641275526605</v>
      </c>
      <c r="M137">
        <v>629.94368280490244</v>
      </c>
      <c r="N137">
        <v>544.7703674493805</v>
      </c>
      <c r="O137">
        <v>644.63963628539511</v>
      </c>
      <c r="P137">
        <v>615.16602917658406</v>
      </c>
      <c r="Q137">
        <v>698.01462357741229</v>
      </c>
      <c r="R137">
        <v>672.63433327180712</v>
      </c>
      <c r="S137">
        <v>680.66883212811661</v>
      </c>
      <c r="T137">
        <v>704.79296850011644</v>
      </c>
      <c r="U137">
        <v>703.81221160848929</v>
      </c>
      <c r="V137">
        <v>737.39689688522753</v>
      </c>
      <c r="W137">
        <v>738.22787861420375</v>
      </c>
      <c r="X137">
        <v>757.37099285873251</v>
      </c>
      <c r="Y137">
        <v>767.85936581737576</v>
      </c>
      <c r="Z137">
        <v>774.70390640931885</v>
      </c>
      <c r="AA137">
        <v>786.6033487539928</v>
      </c>
      <c r="AB137">
        <v>789.81489133903153</v>
      </c>
      <c r="AC137">
        <v>800.64055528929885</v>
      </c>
      <c r="AD137">
        <v>807.83697823901491</v>
      </c>
      <c r="AE137">
        <v>816.89513993231446</v>
      </c>
      <c r="AF137">
        <v>826.04707522440833</v>
      </c>
      <c r="AG137">
        <v>833.12957927830939</v>
      </c>
      <c r="AH137">
        <v>841.61954737026497</v>
      </c>
      <c r="AI137">
        <v>848.11730213925898</v>
      </c>
      <c r="AJ137">
        <v>855.28054116829639</v>
      </c>
      <c r="AK137">
        <v>861.81864430233361</v>
      </c>
      <c r="AL137">
        <v>868.02597120227927</v>
      </c>
      <c r="AM137">
        <v>874.33172864364565</v>
      </c>
      <c r="AN137">
        <v>879.90214411163731</v>
      </c>
      <c r="AO137">
        <v>885.54141906912866</v>
      </c>
      <c r="AP137">
        <v>890.73423889471667</v>
      </c>
      <c r="AQ137">
        <v>895.87373341357181</v>
      </c>
      <c r="AR137">
        <v>900.95715193969238</v>
      </c>
      <c r="AS137">
        <v>905.88123984765286</v>
      </c>
      <c r="AT137">
        <v>910.79107831084946</v>
      </c>
      <c r="AU137">
        <v>915.45061525362189</v>
      </c>
      <c r="AV137">
        <v>919.94662275749909</v>
      </c>
      <c r="AW137">
        <v>924.19160865527533</v>
      </c>
      <c r="AX137">
        <v>928.21129739266485</v>
      </c>
      <c r="AY137">
        <v>932.06543799323447</v>
      </c>
      <c r="AZ137">
        <v>935.75130327865907</v>
      </c>
      <c r="BA137">
        <v>939.34022409340946</v>
      </c>
      <c r="BB137">
        <v>942.81710873580516</v>
      </c>
    </row>
    <row r="138" spans="3:54" x14ac:dyDescent="0.2">
      <c r="C138" t="s">
        <v>140</v>
      </c>
      <c r="D138" t="s">
        <v>273</v>
      </c>
      <c r="E138" t="s">
        <v>267</v>
      </c>
      <c r="F138">
        <v>428.52515463285619</v>
      </c>
      <c r="G138">
        <v>357.72536136051809</v>
      </c>
      <c r="H138">
        <v>1145.7372422075434</v>
      </c>
      <c r="I138">
        <v>353.13449353257244</v>
      </c>
      <c r="J138">
        <v>817.66753597771708</v>
      </c>
      <c r="K138">
        <v>876.88380799088043</v>
      </c>
      <c r="L138">
        <v>992.85372284882021</v>
      </c>
      <c r="M138">
        <v>1186.1619793523018</v>
      </c>
      <c r="N138">
        <v>1052.3461121064463</v>
      </c>
      <c r="O138">
        <v>1263.3478248361407</v>
      </c>
      <c r="P138">
        <v>1217.3307738168808</v>
      </c>
      <c r="Q138">
        <v>1269.3448157157948</v>
      </c>
      <c r="R138">
        <v>1280.5003162454007</v>
      </c>
      <c r="S138">
        <v>1258.6155512060693</v>
      </c>
      <c r="T138">
        <v>1326.8203146265762</v>
      </c>
      <c r="U138">
        <v>1335.6933152755137</v>
      </c>
      <c r="V138">
        <v>1409.1620890466058</v>
      </c>
      <c r="W138">
        <v>1458.3145927303558</v>
      </c>
      <c r="X138">
        <v>1512.6052559944092</v>
      </c>
      <c r="Y138">
        <v>1569.9092450810069</v>
      </c>
      <c r="Z138">
        <v>1600.0048815460591</v>
      </c>
      <c r="AA138">
        <v>1636.9156123618575</v>
      </c>
      <c r="AB138">
        <v>1654.5337068312729</v>
      </c>
      <c r="AC138">
        <v>1675.8315913440008</v>
      </c>
      <c r="AD138">
        <v>1696.0533212500359</v>
      </c>
      <c r="AE138">
        <v>1716.0691837153818</v>
      </c>
      <c r="AF138">
        <v>1742.7485695848284</v>
      </c>
      <c r="AG138">
        <v>1768.0903087011075</v>
      </c>
      <c r="AH138">
        <v>1797.7686373626609</v>
      </c>
      <c r="AI138">
        <v>1826.1567767142949</v>
      </c>
      <c r="AJ138">
        <v>1853.7819529404837</v>
      </c>
      <c r="AK138">
        <v>1879.9854624271738</v>
      </c>
      <c r="AL138">
        <v>1902.8356690491512</v>
      </c>
      <c r="AM138">
        <v>1924.0248062640294</v>
      </c>
      <c r="AN138">
        <v>1942.3641376886485</v>
      </c>
      <c r="AO138">
        <v>1959.4660474351135</v>
      </c>
      <c r="AP138">
        <v>1975.6970234552759</v>
      </c>
      <c r="AQ138">
        <v>1991.6700139884113</v>
      </c>
      <c r="AR138">
        <v>2008.148642038034</v>
      </c>
      <c r="AS138">
        <v>2024.8450317741476</v>
      </c>
      <c r="AT138">
        <v>2041.9290267619381</v>
      </c>
      <c r="AU138">
        <v>2058.8132451815677</v>
      </c>
      <c r="AV138">
        <v>2075.1697607596439</v>
      </c>
      <c r="AW138">
        <v>2090.6790568868814</v>
      </c>
      <c r="AX138">
        <v>2105.0898365507223</v>
      </c>
      <c r="AY138">
        <v>2118.4982338212667</v>
      </c>
      <c r="AZ138">
        <v>2130.971948100268</v>
      </c>
      <c r="BA138">
        <v>2142.7842878896404</v>
      </c>
      <c r="BB138">
        <v>2154.1450552471961</v>
      </c>
    </row>
    <row r="140" spans="3:54" x14ac:dyDescent="0.2">
      <c r="F140">
        <f>SUM(F2:F138)</f>
        <v>8596.3391489834721</v>
      </c>
      <c r="G140">
        <f t="shared" ref="G140:BB140" si="0">SUM(G2:G138)</f>
        <v>22243.920359970649</v>
      </c>
      <c r="H140">
        <f t="shared" si="0"/>
        <v>67857.035252351023</v>
      </c>
      <c r="I140">
        <f t="shared" si="0"/>
        <v>25328.222064573289</v>
      </c>
      <c r="J140">
        <f t="shared" si="0"/>
        <v>54140.228547656632</v>
      </c>
      <c r="K140">
        <f t="shared" si="0"/>
        <v>55869.119070781751</v>
      </c>
      <c r="L140">
        <f t="shared" si="0"/>
        <v>66616.669755349896</v>
      </c>
      <c r="M140">
        <f t="shared" si="0"/>
        <v>74758.628509346177</v>
      </c>
      <c r="N140">
        <f t="shared" si="0"/>
        <v>66644.912787154448</v>
      </c>
      <c r="O140">
        <f t="shared" si="0"/>
        <v>77314.955783187761</v>
      </c>
      <c r="P140">
        <f t="shared" si="0"/>
        <v>73658.832993062926</v>
      </c>
      <c r="Q140">
        <f t="shared" si="0"/>
        <v>76651.755410619822</v>
      </c>
      <c r="R140">
        <f t="shared" si="0"/>
        <v>75707.636751195692</v>
      </c>
      <c r="S140">
        <f t="shared" si="0"/>
        <v>74162.580183322847</v>
      </c>
      <c r="T140">
        <f t="shared" si="0"/>
        <v>77316.570271586635</v>
      </c>
      <c r="U140">
        <f t="shared" si="0"/>
        <v>77643.917367945629</v>
      </c>
      <c r="V140">
        <f t="shared" si="0"/>
        <v>81836.394595477963</v>
      </c>
      <c r="W140">
        <f t="shared" si="0"/>
        <v>84382.817639169036</v>
      </c>
      <c r="X140">
        <f t="shared" si="0"/>
        <v>87463.025515334084</v>
      </c>
      <c r="Y140">
        <f t="shared" si="0"/>
        <v>90310.546307111115</v>
      </c>
      <c r="Z140">
        <f t="shared" si="0"/>
        <v>91625.315546224738</v>
      </c>
      <c r="AA140">
        <f t="shared" si="0"/>
        <v>93153.963168011804</v>
      </c>
      <c r="AB140">
        <f t="shared" si="0"/>
        <v>93542.08344284512</v>
      </c>
      <c r="AC140">
        <f t="shared" si="0"/>
        <v>94254.260170896348</v>
      </c>
      <c r="AD140">
        <f t="shared" si="0"/>
        <v>94927.107277617863</v>
      </c>
      <c r="AE140">
        <f t="shared" si="0"/>
        <v>95745.442463065017</v>
      </c>
      <c r="AF140">
        <f t="shared" si="0"/>
        <v>96977.291800974432</v>
      </c>
      <c r="AG140">
        <f t="shared" si="0"/>
        <v>98187.856900684579</v>
      </c>
      <c r="AH140">
        <f t="shared" si="0"/>
        <v>99661.081343089259</v>
      </c>
      <c r="AI140">
        <f t="shared" si="0"/>
        <v>101038.50137495867</v>
      </c>
      <c r="AJ140">
        <f t="shared" si="0"/>
        <v>102371.47521733637</v>
      </c>
      <c r="AK140">
        <f t="shared" si="0"/>
        <v>103591.20728135676</v>
      </c>
      <c r="AL140">
        <f t="shared" si="0"/>
        <v>104614.87793966518</v>
      </c>
      <c r="AM140">
        <f t="shared" si="0"/>
        <v>105533.94955862786</v>
      </c>
      <c r="AN140">
        <f t="shared" si="0"/>
        <v>106290.98039720937</v>
      </c>
      <c r="AO140">
        <f t="shared" si="0"/>
        <v>106990.44243570528</v>
      </c>
      <c r="AP140">
        <f t="shared" si="0"/>
        <v>107653.83040036268</v>
      </c>
      <c r="AQ140">
        <f t="shared" si="0"/>
        <v>108328.24497403292</v>
      </c>
      <c r="AR140">
        <f t="shared" si="0"/>
        <v>109053.2764729671</v>
      </c>
      <c r="AS140">
        <f t="shared" si="0"/>
        <v>109812.12607850439</v>
      </c>
      <c r="AT140">
        <f t="shared" si="0"/>
        <v>110607.67417301006</v>
      </c>
      <c r="AU140">
        <f t="shared" si="0"/>
        <v>111398.01577156947</v>
      </c>
      <c r="AV140">
        <f t="shared" si="0"/>
        <v>112159.75687642203</v>
      </c>
      <c r="AW140">
        <f t="shared" si="0"/>
        <v>112869.56360598607</v>
      </c>
      <c r="AX140">
        <f t="shared" si="0"/>
        <v>113514.08761949737</v>
      </c>
      <c r="AY140">
        <f t="shared" si="0"/>
        <v>114100.72071858784</v>
      </c>
      <c r="AZ140">
        <f t="shared" si="0"/>
        <v>114637.29724589561</v>
      </c>
      <c r="BA140">
        <f t="shared" si="0"/>
        <v>115143.35586133474</v>
      </c>
      <c r="BB140">
        <f t="shared" si="0"/>
        <v>115632.99014951655</v>
      </c>
    </row>
    <row r="141" spans="3:54" x14ac:dyDescent="0.2">
      <c r="F141">
        <f>'Point Estimates'!C143</f>
        <v>8596.3391489834721</v>
      </c>
      <c r="G141">
        <f>'Point Estimates'!D143</f>
        <v>22243.920359970649</v>
      </c>
      <c r="H141">
        <f>'Point Estimates'!E143</f>
        <v>67857.035252351023</v>
      </c>
      <c r="I141">
        <f>'Point Estimates'!F143</f>
        <v>25328.222064573289</v>
      </c>
      <c r="J141">
        <f>'Point Estimates'!G143</f>
        <v>54140.228547656632</v>
      </c>
      <c r="K141">
        <f>'Point Estimates'!H143</f>
        <v>55869.119070781751</v>
      </c>
      <c r="L141">
        <f>'Point Estimates'!I143</f>
        <v>66616.669755349896</v>
      </c>
      <c r="M141">
        <f>'Point Estimates'!J143</f>
        <v>74758.628509346177</v>
      </c>
      <c r="N141">
        <f>'Point Estimates'!K143</f>
        <v>66644.912787154448</v>
      </c>
      <c r="O141">
        <f>'Point Estimates'!L143</f>
        <v>77314.955783187761</v>
      </c>
      <c r="P141">
        <f>'Point Estimates'!M143</f>
        <v>73658.832993062926</v>
      </c>
      <c r="Q141">
        <f>'Point Estimates'!N143</f>
        <v>76651.755410619822</v>
      </c>
      <c r="R141">
        <f>'Point Estimates'!O143</f>
        <v>75707.636751195692</v>
      </c>
      <c r="S141">
        <f>'Point Estimates'!P143</f>
        <v>74162.580183322847</v>
      </c>
      <c r="T141">
        <f>'Point Estimates'!Q143</f>
        <v>77316.570271586635</v>
      </c>
      <c r="U141">
        <f>'Point Estimates'!R143</f>
        <v>77643.917367945629</v>
      </c>
      <c r="V141">
        <f>'Point Estimates'!S143</f>
        <v>81836.394595477963</v>
      </c>
      <c r="W141">
        <f>'Point Estimates'!T143</f>
        <v>84382.817639169036</v>
      </c>
      <c r="X141">
        <f>'Point Estimates'!U143</f>
        <v>87463.025515334084</v>
      </c>
      <c r="Y141">
        <f>'Point Estimates'!V143</f>
        <v>90310.546307111115</v>
      </c>
      <c r="Z141">
        <f>'Point Estimates'!W143</f>
        <v>91625.315546224738</v>
      </c>
      <c r="AA141">
        <f>'Point Estimates'!X143</f>
        <v>93153.963168011804</v>
      </c>
      <c r="AB141">
        <f>'Point Estimates'!Y143</f>
        <v>93542.08344284512</v>
      </c>
      <c r="AC141">
        <f>'Point Estimates'!Z143</f>
        <v>94254.260170896348</v>
      </c>
      <c r="AD141">
        <f>'Point Estimates'!AA143</f>
        <v>94927.107277617863</v>
      </c>
      <c r="AE141">
        <f>'Point Estimates'!AB143</f>
        <v>95745.442463065017</v>
      </c>
      <c r="AF141">
        <f>'Point Estimates'!AC143</f>
        <v>96977.291800974432</v>
      </c>
      <c r="AG141">
        <f>'Point Estimates'!AD143</f>
        <v>98187.856900684579</v>
      </c>
      <c r="AH141">
        <f>'Point Estimates'!AE143</f>
        <v>99661.081343089259</v>
      </c>
      <c r="AI141">
        <f>'Point Estimates'!AF143</f>
        <v>101038.50137495867</v>
      </c>
      <c r="AJ141">
        <f>'Point Estimates'!AG143</f>
        <v>102371.47521733637</v>
      </c>
      <c r="AK141">
        <f>'Point Estimates'!AH143</f>
        <v>103591.20728135676</v>
      </c>
      <c r="AL141">
        <f>'Point Estimates'!AI143</f>
        <v>104614.87793966518</v>
      </c>
      <c r="AM141">
        <f>'Point Estimates'!AJ143</f>
        <v>105533.94955862786</v>
      </c>
      <c r="AN141">
        <f>'Point Estimates'!AK143</f>
        <v>106290.98039720937</v>
      </c>
      <c r="AO141">
        <f>'Point Estimates'!AL143</f>
        <v>106990.44243570528</v>
      </c>
      <c r="AP141">
        <f>'Point Estimates'!AM143</f>
        <v>107653.83040036268</v>
      </c>
      <c r="AQ141">
        <f>'Point Estimates'!AN143</f>
        <v>108328.24497403292</v>
      </c>
      <c r="AR141">
        <f>'Point Estimates'!AO143</f>
        <v>109053.2764729671</v>
      </c>
      <c r="AS141">
        <f>'Point Estimates'!AP143</f>
        <v>109812.12607850439</v>
      </c>
      <c r="AT141">
        <f>'Point Estimates'!AQ143</f>
        <v>110607.67417301006</v>
      </c>
      <c r="AU141">
        <f>'Point Estimates'!AR143</f>
        <v>111398.01577156947</v>
      </c>
      <c r="AV141">
        <f>'Point Estimates'!AS143</f>
        <v>112159.75687642203</v>
      </c>
      <c r="AW141">
        <f>'Point Estimates'!AT143</f>
        <v>112869.56360598607</v>
      </c>
      <c r="AX141">
        <f>'Point Estimates'!AU143</f>
        <v>113514.08761949737</v>
      </c>
      <c r="AY141">
        <f>'Point Estimates'!AV143</f>
        <v>114100.72071858784</v>
      </c>
      <c r="AZ141">
        <f>'Point Estimates'!AW143</f>
        <v>114637.29724589561</v>
      </c>
      <c r="BA141">
        <f>'Point Estimates'!AX143</f>
        <v>115143.35586133474</v>
      </c>
      <c r="BB141">
        <f>'Point Estimates'!AY143</f>
        <v>115632.99014951655</v>
      </c>
    </row>
    <row r="143" spans="3:54" x14ac:dyDescent="0.2">
      <c r="C143" t="b">
        <f>AND(F143:BB143)</f>
        <v>1</v>
      </c>
      <c r="F143" t="b">
        <f>EXACT(F140,F141)</f>
        <v>1</v>
      </c>
      <c r="G143" t="b">
        <f t="shared" ref="G143:BB143" si="1">EXACT(G140,G141)</f>
        <v>1</v>
      </c>
      <c r="H143" t="b">
        <f t="shared" si="1"/>
        <v>1</v>
      </c>
      <c r="I143" t="b">
        <f t="shared" si="1"/>
        <v>1</v>
      </c>
      <c r="J143" t="b">
        <f t="shared" si="1"/>
        <v>1</v>
      </c>
      <c r="K143" t="b">
        <f t="shared" si="1"/>
        <v>1</v>
      </c>
      <c r="L143" t="b">
        <f t="shared" si="1"/>
        <v>1</v>
      </c>
      <c r="M143" t="b">
        <f t="shared" si="1"/>
        <v>1</v>
      </c>
      <c r="N143" t="b">
        <f t="shared" si="1"/>
        <v>1</v>
      </c>
      <c r="O143" t="b">
        <f t="shared" si="1"/>
        <v>1</v>
      </c>
      <c r="P143" t="b">
        <f t="shared" si="1"/>
        <v>1</v>
      </c>
      <c r="Q143" t="b">
        <f t="shared" si="1"/>
        <v>1</v>
      </c>
      <c r="R143" t="b">
        <f t="shared" si="1"/>
        <v>1</v>
      </c>
      <c r="S143" t="b">
        <f t="shared" si="1"/>
        <v>1</v>
      </c>
      <c r="T143" t="b">
        <f t="shared" si="1"/>
        <v>1</v>
      </c>
      <c r="U143" t="b">
        <f t="shared" si="1"/>
        <v>1</v>
      </c>
      <c r="V143" t="b">
        <f t="shared" si="1"/>
        <v>1</v>
      </c>
      <c r="W143" t="b">
        <f t="shared" si="1"/>
        <v>1</v>
      </c>
      <c r="X143" t="b">
        <f t="shared" si="1"/>
        <v>1</v>
      </c>
      <c r="Y143" t="b">
        <f t="shared" si="1"/>
        <v>1</v>
      </c>
      <c r="Z143" t="b">
        <f t="shared" si="1"/>
        <v>1</v>
      </c>
      <c r="AA143" t="b">
        <f t="shared" si="1"/>
        <v>1</v>
      </c>
      <c r="AB143" t="b">
        <f t="shared" si="1"/>
        <v>1</v>
      </c>
      <c r="AC143" t="b">
        <f t="shared" si="1"/>
        <v>1</v>
      </c>
      <c r="AD143" t="b">
        <f t="shared" si="1"/>
        <v>1</v>
      </c>
      <c r="AE143" t="b">
        <f t="shared" si="1"/>
        <v>1</v>
      </c>
      <c r="AF143" t="b">
        <f t="shared" si="1"/>
        <v>1</v>
      </c>
      <c r="AG143" t="b">
        <f t="shared" si="1"/>
        <v>1</v>
      </c>
      <c r="AH143" t="b">
        <f t="shared" si="1"/>
        <v>1</v>
      </c>
      <c r="AI143" t="b">
        <f t="shared" si="1"/>
        <v>1</v>
      </c>
      <c r="AJ143" t="b">
        <f t="shared" si="1"/>
        <v>1</v>
      </c>
      <c r="AK143" t="b">
        <f t="shared" si="1"/>
        <v>1</v>
      </c>
      <c r="AL143" t="b">
        <f t="shared" si="1"/>
        <v>1</v>
      </c>
      <c r="AM143" t="b">
        <f t="shared" si="1"/>
        <v>1</v>
      </c>
      <c r="AN143" t="b">
        <f t="shared" si="1"/>
        <v>1</v>
      </c>
      <c r="AO143" t="b">
        <f t="shared" si="1"/>
        <v>1</v>
      </c>
      <c r="AP143" t="b">
        <f t="shared" si="1"/>
        <v>1</v>
      </c>
      <c r="AQ143" t="b">
        <f t="shared" si="1"/>
        <v>1</v>
      </c>
      <c r="AR143" t="b">
        <f t="shared" si="1"/>
        <v>1</v>
      </c>
      <c r="AS143" t="b">
        <f t="shared" si="1"/>
        <v>1</v>
      </c>
      <c r="AT143" t="b">
        <f t="shared" si="1"/>
        <v>1</v>
      </c>
      <c r="AU143" t="b">
        <f t="shared" si="1"/>
        <v>1</v>
      </c>
      <c r="AV143" t="b">
        <f t="shared" si="1"/>
        <v>1</v>
      </c>
      <c r="AW143" t="b">
        <f t="shared" si="1"/>
        <v>1</v>
      </c>
      <c r="AX143" t="b">
        <f t="shared" si="1"/>
        <v>1</v>
      </c>
      <c r="AY143" t="b">
        <f t="shared" si="1"/>
        <v>1</v>
      </c>
      <c r="AZ143" t="b">
        <f t="shared" si="1"/>
        <v>1</v>
      </c>
      <c r="BA143" t="b">
        <f t="shared" si="1"/>
        <v>1</v>
      </c>
      <c r="BB143" t="b">
        <f t="shared" si="1"/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"/>
  <sheetViews>
    <sheetView topLeftCell="AK1" workbookViewId="0">
      <selection activeCell="A2" sqref="A2:AX6"/>
    </sheetView>
  </sheetViews>
  <sheetFormatPr defaultRowHeight="12.75" x14ac:dyDescent="0.2"/>
  <cols>
    <col min="2" max="2" width="13.28515625" bestFit="1" customWidth="1"/>
    <col min="3" max="4" width="7.140625" customWidth="1"/>
    <col min="5" max="6" width="13.28515625" bestFit="1" customWidth="1"/>
    <col min="7" max="7" width="7.140625" customWidth="1"/>
    <col min="8" max="11" width="13.28515625" bestFit="1" customWidth="1"/>
    <col min="12" max="12" width="7.140625" customWidth="1"/>
    <col min="13" max="18" width="13.28515625" bestFit="1" customWidth="1"/>
    <col min="19" max="19" width="7.140625" customWidth="1"/>
    <col min="20" max="50" width="13.28515625" bestFit="1" customWidth="1"/>
  </cols>
  <sheetData>
    <row r="1" spans="1:50" x14ac:dyDescent="0.2">
      <c r="A1" t="s">
        <v>283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</row>
    <row r="2" spans="1:50" x14ac:dyDescent="0.2">
      <c r="A2" t="s">
        <v>141</v>
      </c>
      <c r="B2">
        <f>SUMIF(Planilha1!$E$2:$E$138,Planilha2!$A2,Planilha1!F$2:F$138)</f>
        <v>215.15196148460223</v>
      </c>
      <c r="C2">
        <f>SUMIF(Planilha1!$E$2:$E$138,Planilha2!$A2,Planilha1!G$2:G$138)</f>
        <v>833.55427741331459</v>
      </c>
      <c r="D2">
        <f>SUMIF(Planilha1!$E$2:$E$138,Planilha2!$A2,Planilha1!H$2:H$138)</f>
        <v>3118.1063260131623</v>
      </c>
      <c r="E2">
        <f>SUMIF(Planilha1!$E$2:$E$138,Planilha2!$A2,Planilha1!I$2:I$138)</f>
        <v>1565.0866051617998</v>
      </c>
      <c r="F2">
        <f>SUMIF(Planilha1!$E$2:$E$138,Planilha2!$A2,Planilha1!J$2:J$138)</f>
        <v>2574.1784172160192</v>
      </c>
      <c r="G2">
        <f>SUMIF(Planilha1!$E$2:$E$138,Planilha2!$A2,Planilha1!K$2:K$138)</f>
        <v>2537.4201087783263</v>
      </c>
      <c r="H2">
        <f>SUMIF(Planilha1!$E$2:$E$138,Planilha2!$A2,Planilha1!L$2:L$138)</f>
        <v>2854.7707658662107</v>
      </c>
      <c r="I2">
        <f>SUMIF(Planilha1!$E$2:$E$138,Planilha2!$A2,Planilha1!M$2:M$138)</f>
        <v>3200.4387429369049</v>
      </c>
      <c r="J2">
        <f>SUMIF(Planilha1!$E$2:$E$138,Planilha2!$A2,Planilha1!N$2:N$138)</f>
        <v>2850.5527982603403</v>
      </c>
      <c r="K2">
        <f>SUMIF(Planilha1!$E$2:$E$138,Planilha2!$A2,Planilha1!O$2:O$138)</f>
        <v>3275.9418299613289</v>
      </c>
      <c r="L2">
        <f>SUMIF(Planilha1!$E$2:$E$138,Planilha2!$A2,Planilha1!P$2:P$138)</f>
        <v>3143.2993821613791</v>
      </c>
      <c r="M2">
        <f>SUMIF(Planilha1!$E$2:$E$138,Planilha2!$A2,Planilha1!Q$2:Q$138)</f>
        <v>3290.2206402851721</v>
      </c>
      <c r="N2">
        <f>SUMIF(Planilha1!$E$2:$E$138,Planilha2!$A2,Planilha1!R$2:R$138)</f>
        <v>3308.7031250297637</v>
      </c>
      <c r="O2">
        <f>SUMIF(Planilha1!$E$2:$E$138,Planilha2!$A2,Planilha1!S$2:S$138)</f>
        <v>3276.6629429400327</v>
      </c>
      <c r="P2">
        <f>SUMIF(Planilha1!$E$2:$E$138,Planilha2!$A2,Planilha1!T$2:T$138)</f>
        <v>3428.5464399152902</v>
      </c>
      <c r="Q2">
        <f>SUMIF(Planilha1!$E$2:$E$138,Planilha2!$A2,Planilha1!U$2:U$138)</f>
        <v>3448.0129808799156</v>
      </c>
      <c r="R2">
        <f>SUMIF(Planilha1!$E$2:$E$138,Planilha2!$A2,Planilha1!V$2:V$138)</f>
        <v>3610.7467841796615</v>
      </c>
      <c r="S2">
        <f>SUMIF(Planilha1!$E$2:$E$138,Planilha2!$A2,Planilha1!W$2:W$138)</f>
        <v>3701.659883248929</v>
      </c>
      <c r="T2">
        <f>SUMIF(Planilha1!$E$2:$E$138,Planilha2!$A2,Planilha1!X$2:X$138)</f>
        <v>3805.8117715027802</v>
      </c>
      <c r="U2">
        <f>SUMIF(Planilha1!$E$2:$E$138,Planilha2!$A2,Planilha1!Y$2:Y$138)</f>
        <v>3907.3802028980635</v>
      </c>
      <c r="V2">
        <f>SUMIF(Planilha1!$E$2:$E$138,Planilha2!$A2,Planilha1!Z$2:Z$138)</f>
        <v>3952.4651096347015</v>
      </c>
      <c r="W2">
        <f>SUMIF(Planilha1!$E$2:$E$138,Planilha2!$A2,Planilha1!AA$2:AA$138)</f>
        <v>4015.8473300122623</v>
      </c>
      <c r="X2">
        <f>SUMIF(Planilha1!$E$2:$E$138,Planilha2!$A2,Planilha1!AB$2:AB$138)</f>
        <v>4040.0464122535936</v>
      </c>
      <c r="Y2">
        <f>SUMIF(Planilha1!$E$2:$E$138,Planilha2!$A2,Planilha1!AC$2:AC$138)</f>
        <v>4079.7760805159928</v>
      </c>
      <c r="Z2">
        <f>SUMIF(Planilha1!$E$2:$E$138,Planilha2!$A2,Planilha1!AD$2:AD$138)</f>
        <v>4119.0130998381946</v>
      </c>
      <c r="AA2">
        <f>SUMIF(Planilha1!$E$2:$E$138,Planilha2!$A2,Planilha1!AE$2:AE$138)</f>
        <v>4160.7614709344152</v>
      </c>
      <c r="AB2">
        <f>SUMIF(Planilha1!$E$2:$E$138,Planilha2!$A2,Planilha1!AF$2:AF$138)</f>
        <v>4215.7861851127382</v>
      </c>
      <c r="AC2">
        <f>SUMIF(Planilha1!$E$2:$E$138,Planilha2!$A2,Planilha1!AG$2:AG$138)</f>
        <v>4265.5718287615464</v>
      </c>
      <c r="AD2">
        <f>SUMIF(Planilha1!$E$2:$E$138,Planilha2!$A2,Planilha1!AH$2:AH$138)</f>
        <v>4322.560538114788</v>
      </c>
      <c r="AE2">
        <f>SUMIF(Planilha1!$E$2:$E$138,Planilha2!$A2,Planilha1!AI$2:AI$138)</f>
        <v>4373.9338217218892</v>
      </c>
      <c r="AF2">
        <f>SUMIF(Planilha1!$E$2:$E$138,Planilha2!$A2,Planilha1!AJ$2:AJ$138)</f>
        <v>4422.8000519300158</v>
      </c>
      <c r="AG2">
        <f>SUMIF(Planilha1!$E$2:$E$138,Planilha2!$A2,Planilha1!AK$2:AK$138)</f>
        <v>4468.0268358274034</v>
      </c>
      <c r="AH2">
        <f>SUMIF(Planilha1!$E$2:$E$138,Planilha2!$A2,Planilha1!AL$2:AL$138)</f>
        <v>4506.729303402738</v>
      </c>
      <c r="AI2">
        <f>SUMIF(Planilha1!$E$2:$E$138,Planilha2!$A2,Planilha1!AM$2:AM$138)</f>
        <v>4543.0509220168296</v>
      </c>
      <c r="AJ2">
        <f>SUMIF(Planilha1!$E$2:$E$138,Planilha2!$A2,Planilha1!AN$2:AN$138)</f>
        <v>4574.4464082763961</v>
      </c>
      <c r="AK2">
        <f>SUMIF(Planilha1!$E$2:$E$138,Planilha2!$A2,Planilha1!AO$2:AO$138)</f>
        <v>4604.5146474567846</v>
      </c>
      <c r="AL2">
        <f>SUMIF(Planilha1!$E$2:$E$138,Planilha2!$A2,Planilha1!AP$2:AP$138)</f>
        <v>4633.4871600723418</v>
      </c>
      <c r="AM2">
        <f>SUMIF(Planilha1!$E$2:$E$138,Planilha2!$A2,Planilha1!AQ$2:AQ$138)</f>
        <v>4662.4618283904929</v>
      </c>
      <c r="AN2">
        <f>SUMIF(Planilha1!$E$2:$E$138,Planilha2!$A2,Planilha1!AR$2:AR$138)</f>
        <v>4692.6099291030787</v>
      </c>
      <c r="AO2">
        <f>SUMIF(Planilha1!$E$2:$E$138,Planilha2!$A2,Planilha1!AS$2:AS$138)</f>
        <v>4723.0161794762707</v>
      </c>
      <c r="AP2">
        <f>SUMIF(Planilha1!$E$2:$E$138,Planilha2!$A2,Planilha1!AT$2:AT$138)</f>
        <v>4753.9100081454544</v>
      </c>
      <c r="AQ2">
        <f>SUMIF(Planilha1!$E$2:$E$138,Planilha2!$A2,Planilha1!AU$2:AU$138)</f>
        <v>4783.9489458037597</v>
      </c>
      <c r="AR2">
        <f>SUMIF(Planilha1!$E$2:$E$138,Planilha2!$A2,Planilha1!AV$2:AV$138)</f>
        <v>4812.603162663695</v>
      </c>
      <c r="AS2">
        <f>SUMIF(Planilha1!$E$2:$E$138,Planilha2!$A2,Planilha1!AW$2:AW$138)</f>
        <v>4839.3592194390922</v>
      </c>
      <c r="AT2">
        <f>SUMIF(Planilha1!$E$2:$E$138,Planilha2!$A2,Planilha1!AX$2:AX$138)</f>
        <v>4863.9350255395802</v>
      </c>
      <c r="AU2">
        <f>SUMIF(Planilha1!$E$2:$E$138,Planilha2!$A2,Planilha1!AY$2:AY$138)</f>
        <v>4886.7335782265873</v>
      </c>
      <c r="AV2">
        <f>SUMIF(Planilha1!$E$2:$E$138,Planilha2!$A2,Planilha1!AZ$2:AZ$138)</f>
        <v>4908.0011952882214</v>
      </c>
      <c r="AW2">
        <f>SUMIF(Planilha1!$E$2:$E$138,Planilha2!$A2,Planilha1!BA$2:BA$138)</f>
        <v>4928.3441829169496</v>
      </c>
      <c r="AX2">
        <f>SUMIF(Planilha1!$E$2:$E$138,Planilha2!$A2,Planilha1!BB$2:BB$138)</f>
        <v>4948.1175367401647</v>
      </c>
    </row>
    <row r="3" spans="1:50" x14ac:dyDescent="0.2">
      <c r="A3" t="s">
        <v>162</v>
      </c>
      <c r="B3">
        <f>SUMIF(Planilha1!$E$2:$E$138,Planilha2!$A3,Planilha1!F$2:F$138)</f>
        <v>3515.4610602190237</v>
      </c>
      <c r="C3">
        <f>SUMIF(Planilha1!$E$2:$E$138,Planilha2!$A3,Planilha1!G$2:G$138)</f>
        <v>-312.76523827636242</v>
      </c>
      <c r="D3">
        <f>SUMIF(Planilha1!$E$2:$E$138,Planilha2!$A3,Planilha1!H$2:H$138)</f>
        <v>4995.2489014130233</v>
      </c>
      <c r="E3">
        <f>SUMIF(Planilha1!$E$2:$E$138,Planilha2!$A3,Planilha1!I$2:I$138)</f>
        <v>448.7221460639567</v>
      </c>
      <c r="F3">
        <f>SUMIF(Planilha1!$E$2:$E$138,Planilha2!$A3,Planilha1!J$2:J$138)</f>
        <v>3281.8701695248055</v>
      </c>
      <c r="G3">
        <f>SUMIF(Planilha1!$E$2:$E$138,Planilha2!$A3,Planilha1!K$2:K$138)</f>
        <v>6500.1478603540127</v>
      </c>
      <c r="H3">
        <f>SUMIF(Planilha1!$E$2:$E$138,Planilha2!$A3,Planilha1!L$2:L$138)</f>
        <v>6977.3629257548846</v>
      </c>
      <c r="I3">
        <f>SUMIF(Planilha1!$E$2:$E$138,Planilha2!$A3,Planilha1!M$2:M$138)</f>
        <v>8794.5309375402267</v>
      </c>
      <c r="J3">
        <f>SUMIF(Planilha1!$E$2:$E$138,Planilha2!$A3,Planilha1!N$2:N$138)</f>
        <v>7553.9244426071236</v>
      </c>
      <c r="K3">
        <f>SUMIF(Planilha1!$E$2:$E$138,Planilha2!$A3,Planilha1!O$2:O$138)</f>
        <v>8845.3016558354266</v>
      </c>
      <c r="L3">
        <f>SUMIF(Planilha1!$E$2:$E$138,Planilha2!$A3,Planilha1!P$2:P$138)</f>
        <v>8960.6621326780823</v>
      </c>
      <c r="M3">
        <f>SUMIF(Planilha1!$E$2:$E$138,Planilha2!$A3,Planilha1!Q$2:Q$138)</f>
        <v>9016.2549406887447</v>
      </c>
      <c r="N3">
        <f>SUMIF(Planilha1!$E$2:$E$138,Planilha2!$A3,Planilha1!R$2:R$138)</f>
        <v>9298.5955978212914</v>
      </c>
      <c r="O3">
        <f>SUMIF(Planilha1!$E$2:$E$138,Planilha2!$A3,Planilha1!S$2:S$138)</f>
        <v>9064.6840109525147</v>
      </c>
      <c r="P3">
        <f>SUMIF(Planilha1!$E$2:$E$138,Planilha2!$A3,Planilha1!T$2:T$138)</f>
        <v>9671.8983456115548</v>
      </c>
      <c r="Q3">
        <f>SUMIF(Planilha1!$E$2:$E$138,Planilha2!$A3,Planilha1!U$2:U$138)</f>
        <v>9910.9169166298288</v>
      </c>
      <c r="R3">
        <f>SUMIF(Planilha1!$E$2:$E$138,Planilha2!$A3,Planilha1!V$2:V$138)</f>
        <v>10469.673442126308</v>
      </c>
      <c r="S3">
        <f>SUMIF(Planilha1!$E$2:$E$138,Planilha2!$A3,Planilha1!W$2:W$138)</f>
        <v>11004.794125327227</v>
      </c>
      <c r="T3">
        <f>SUMIF(Planilha1!$E$2:$E$138,Planilha2!$A3,Planilha1!X$2:X$138)</f>
        <v>11446.400868885959</v>
      </c>
      <c r="U3">
        <f>SUMIF(Planilha1!$E$2:$E$138,Planilha2!$A3,Planilha1!Y$2:Y$138)</f>
        <v>11972.295730449616</v>
      </c>
      <c r="V3">
        <f>SUMIF(Planilha1!$E$2:$E$138,Planilha2!$A3,Planilha1!Z$2:Z$138)</f>
        <v>12249.122360571046</v>
      </c>
      <c r="W3">
        <f>SUMIF(Planilha1!$E$2:$E$138,Planilha2!$A3,Planilha1!AA$2:AA$138)</f>
        <v>12540.771769582923</v>
      </c>
      <c r="X3">
        <f>SUMIF(Planilha1!$E$2:$E$138,Planilha2!$A3,Planilha1!AB$2:AB$138)</f>
        <v>12711.156721550045</v>
      </c>
      <c r="Y3">
        <f>SUMIF(Planilha1!$E$2:$E$138,Planilha2!$A3,Planilha1!AC$2:AC$138)</f>
        <v>12869.253194787128</v>
      </c>
      <c r="Z3">
        <f>SUMIF(Planilha1!$E$2:$E$138,Planilha2!$A3,Planilha1!AD$2:AD$138)</f>
        <v>13052.5857342647</v>
      </c>
      <c r="AA3">
        <f>SUMIF(Planilha1!$E$2:$E$138,Planilha2!$A3,Planilha1!AE$2:AE$138)</f>
        <v>13224.97941102609</v>
      </c>
      <c r="AB3">
        <f>SUMIF(Planilha1!$E$2:$E$138,Planilha2!$A3,Planilha1!AF$2:AF$138)</f>
        <v>13461.16004243562</v>
      </c>
      <c r="AC3">
        <f>SUMIF(Planilha1!$E$2:$E$138,Planilha2!$A3,Planilha1!AG$2:AG$138)</f>
        <v>13698.455925741184</v>
      </c>
      <c r="AD3">
        <f>SUMIF(Planilha1!$E$2:$E$138,Planilha2!$A3,Planilha1!AH$2:AH$138)</f>
        <v>13963.932405152989</v>
      </c>
      <c r="AE3">
        <f>SUMIF(Planilha1!$E$2:$E$138,Planilha2!$A3,Planilha1!AI$2:AI$138)</f>
        <v>14227.500858298466</v>
      </c>
      <c r="AF3">
        <f>SUMIF(Planilha1!$E$2:$E$138,Planilha2!$A3,Planilha1!AJ$2:AJ$138)</f>
        <v>14474.320846675917</v>
      </c>
      <c r="AG3">
        <f>SUMIF(Planilha1!$E$2:$E$138,Planilha2!$A3,Planilha1!AK$2:AK$138)</f>
        <v>14708.201380974846</v>
      </c>
      <c r="AH3">
        <f>SUMIF(Planilha1!$E$2:$E$138,Planilha2!$A3,Planilha1!AL$2:AL$138)</f>
        <v>14909.621115147655</v>
      </c>
      <c r="AI3">
        <f>SUMIF(Planilha1!$E$2:$E$138,Planilha2!$A3,Planilha1!AM$2:AM$138)</f>
        <v>15092.569024435641</v>
      </c>
      <c r="AJ3">
        <f>SUMIF(Planilha1!$E$2:$E$138,Planilha2!$A3,Planilha1!AN$2:AN$138)</f>
        <v>15252.650525422112</v>
      </c>
      <c r="AK3">
        <f>SUMIF(Planilha1!$E$2:$E$138,Planilha2!$A3,Planilha1!AO$2:AO$138)</f>
        <v>15400.14682820869</v>
      </c>
      <c r="AL3">
        <f>SUMIF(Planilha1!$E$2:$E$138,Planilha2!$A3,Planilha1!AP$2:AP$138)</f>
        <v>15542.977611963812</v>
      </c>
      <c r="AM3">
        <f>SUMIF(Planilha1!$E$2:$E$138,Planilha2!$A3,Planilha1!AQ$2:AQ$138)</f>
        <v>15684.396729480655</v>
      </c>
      <c r="AN3">
        <f>SUMIF(Planilha1!$E$2:$E$138,Planilha2!$A3,Planilha1!AR$2:AR$138)</f>
        <v>15831.526418132671</v>
      </c>
      <c r="AO3">
        <f>SUMIF(Planilha1!$E$2:$E$138,Planilha2!$A3,Planilha1!AS$2:AS$138)</f>
        <v>15981.813011342727</v>
      </c>
      <c r="AP3">
        <f>SUMIF(Planilha1!$E$2:$E$138,Planilha2!$A3,Planilha1!AT$2:AT$138)</f>
        <v>16135.097710197399</v>
      </c>
      <c r="AQ3">
        <f>SUMIF(Planilha1!$E$2:$E$138,Planilha2!$A3,Planilha1!AU$2:AU$138)</f>
        <v>16286.873528180287</v>
      </c>
      <c r="AR3">
        <f>SUMIF(Planilha1!$E$2:$E$138,Planilha2!$A3,Planilha1!AV$2:AV$138)</f>
        <v>16433.006661040694</v>
      </c>
      <c r="AS3">
        <f>SUMIF(Planilha1!$E$2:$E$138,Planilha2!$A3,Planilha1!AW$2:AW$138)</f>
        <v>16571.061807309088</v>
      </c>
      <c r="AT3">
        <f>SUMIF(Planilha1!$E$2:$E$138,Planilha2!$A3,Planilha1!AX$2:AX$138)</f>
        <v>16698.729459348098</v>
      </c>
      <c r="AU3">
        <f>SUMIF(Planilha1!$E$2:$E$138,Planilha2!$A3,Planilha1!AY$2:AY$138)</f>
        <v>16816.941850975156</v>
      </c>
      <c r="AV3">
        <f>SUMIF(Planilha1!$E$2:$E$138,Planilha2!$A3,Planilha1!AZ$2:AZ$138)</f>
        <v>16926.829499305648</v>
      </c>
      <c r="AW3">
        <f>SUMIF(Planilha1!$E$2:$E$138,Planilha2!$A3,Planilha1!BA$2:BA$138)</f>
        <v>17030.821888888993</v>
      </c>
      <c r="AX3">
        <f>SUMIF(Planilha1!$E$2:$E$138,Planilha2!$A3,Planilha1!BB$2:BB$138)</f>
        <v>17131.19325684895</v>
      </c>
    </row>
    <row r="4" spans="1:50" x14ac:dyDescent="0.2">
      <c r="A4" t="s">
        <v>205</v>
      </c>
      <c r="B4">
        <f>SUMIF(Planilha1!$E$2:$E$138,Planilha2!$A4,Planilha1!F$2:F$138)</f>
        <v>413.95085991988435</v>
      </c>
      <c r="C4">
        <f>SUMIF(Planilha1!$E$2:$E$138,Planilha2!$A4,Planilha1!G$2:G$138)</f>
        <v>13505.513258877521</v>
      </c>
      <c r="D4">
        <f>SUMIF(Planilha1!$E$2:$E$138,Planilha2!$A4,Planilha1!H$2:H$138)</f>
        <v>40497.327488045557</v>
      </c>
      <c r="E4">
        <f>SUMIF(Planilha1!$E$2:$E$138,Planilha2!$A4,Planilha1!I$2:I$138)</f>
        <v>16419.587726084945</v>
      </c>
      <c r="F4">
        <f>SUMIF(Planilha1!$E$2:$E$138,Planilha2!$A4,Planilha1!J$2:J$138)</f>
        <v>31634.472611906855</v>
      </c>
      <c r="G4">
        <f>SUMIF(Planilha1!$E$2:$E$138,Planilha2!$A4,Planilha1!K$2:K$138)</f>
        <v>30143.86375708539</v>
      </c>
      <c r="H4">
        <f>SUMIF(Planilha1!$E$2:$E$138,Planilha2!$A4,Planilha1!L$2:L$138)</f>
        <v>36489.946210737246</v>
      </c>
      <c r="I4">
        <f>SUMIF(Planilha1!$E$2:$E$138,Planilha2!$A4,Planilha1!M$2:M$138)</f>
        <v>39958.902693994991</v>
      </c>
      <c r="J4">
        <f>SUMIF(Planilha1!$E$2:$E$138,Planilha2!$A4,Planilha1!N$2:N$138)</f>
        <v>35346.025187077612</v>
      </c>
      <c r="K4">
        <f>SUMIF(Planilha1!$E$2:$E$138,Planilha2!$A4,Planilha1!O$2:O$138)</f>
        <v>41276.198092191269</v>
      </c>
      <c r="L4">
        <f>SUMIF(Planilha1!$E$2:$E$138,Planilha2!$A4,Planilha1!P$2:P$138)</f>
        <v>39060.534622775158</v>
      </c>
      <c r="M4">
        <f>SUMIF(Planilha1!$E$2:$E$138,Planilha2!$A4,Planilha1!Q$2:Q$138)</f>
        <v>41137.766303981967</v>
      </c>
      <c r="N4">
        <f>SUMIF(Planilha1!$E$2:$E$138,Planilha2!$A4,Planilha1!R$2:R$138)</f>
        <v>40468.632095370587</v>
      </c>
      <c r="O4">
        <f>SUMIF(Planilha1!$E$2:$E$138,Planilha2!$A4,Planilha1!S$2:S$138)</f>
        <v>39697.61559976844</v>
      </c>
      <c r="P4">
        <f>SUMIF(Planilha1!$E$2:$E$138,Planilha2!$A4,Planilha1!T$2:T$138)</f>
        <v>41258.381242393632</v>
      </c>
      <c r="Q4">
        <f>SUMIF(Planilha1!$E$2:$E$138,Planilha2!$A4,Planilha1!U$2:U$138)</f>
        <v>41233.222650795127</v>
      </c>
      <c r="R4">
        <f>SUMIF(Planilha1!$E$2:$E$138,Planilha2!$A4,Planilha1!V$2:V$138)</f>
        <v>43417.652854937543</v>
      </c>
      <c r="S4">
        <f>SUMIF(Planilha1!$E$2:$E$138,Planilha2!$A4,Planilha1!W$2:W$138)</f>
        <v>44555.877505236836</v>
      </c>
      <c r="T4">
        <f>SUMIF(Planilha1!$E$2:$E$138,Planilha2!$A4,Planilha1!X$2:X$138)</f>
        <v>46106.557901634187</v>
      </c>
      <c r="U4">
        <f>SUMIF(Planilha1!$E$2:$E$138,Planilha2!$A4,Planilha1!Y$2:Y$138)</f>
        <v>47467.9816443866</v>
      </c>
      <c r="V4">
        <f>SUMIF(Planilha1!$E$2:$E$138,Planilha2!$A4,Planilha1!Z$2:Z$138)</f>
        <v>48055.9971559634</v>
      </c>
      <c r="W4">
        <f>SUMIF(Planilha1!$E$2:$E$138,Planilha2!$A4,Planilha1!AA$2:AA$138)</f>
        <v>48800.096145434843</v>
      </c>
      <c r="X4">
        <f>SUMIF(Planilha1!$E$2:$E$138,Planilha2!$A4,Planilha1!AB$2:AB$138)</f>
        <v>48929.659869928102</v>
      </c>
      <c r="Y4">
        <f>SUMIF(Planilha1!$E$2:$E$138,Planilha2!$A4,Planilha1!AC$2:AC$138)</f>
        <v>49293.924800789508</v>
      </c>
      <c r="Z4">
        <f>SUMIF(Planilha1!$E$2:$E$138,Planilha2!$A4,Planilha1!AD$2:AD$138)</f>
        <v>49621.795066060535</v>
      </c>
      <c r="AA4">
        <f>SUMIF(Planilha1!$E$2:$E$138,Planilha2!$A4,Planilha1!AE$2:AE$138)</f>
        <v>50043.134487781455</v>
      </c>
      <c r="AB4">
        <f>SUMIF(Planilha1!$E$2:$E$138,Planilha2!$A4,Planilha1!AF$2:AF$138)</f>
        <v>50665.538471233696</v>
      </c>
      <c r="AC4">
        <f>SUMIF(Planilha1!$E$2:$E$138,Planilha2!$A4,Planilha1!AG$2:AG$138)</f>
        <v>51252.82040739106</v>
      </c>
      <c r="AD4">
        <f>SUMIF(Planilha1!$E$2:$E$138,Planilha2!$A4,Planilha1!AH$2:AH$138)</f>
        <v>51970.65873463708</v>
      </c>
      <c r="AE4">
        <f>SUMIF(Planilha1!$E$2:$E$138,Planilha2!$A4,Planilha1!AI$2:AI$138)</f>
        <v>52619.956088006948</v>
      </c>
      <c r="AF4">
        <f>SUMIF(Planilha1!$E$2:$E$138,Planilha2!$A4,Planilha1!AJ$2:AJ$138)</f>
        <v>53253.442339794674</v>
      </c>
      <c r="AG4">
        <f>SUMIF(Planilha1!$E$2:$E$138,Planilha2!$A4,Planilha1!AK$2:AK$138)</f>
        <v>53831.923742006082</v>
      </c>
      <c r="AH4">
        <f>SUMIF(Planilha1!$E$2:$E$138,Planilha2!$A4,Planilha1!AL$2:AL$138)</f>
        <v>54320.124125936709</v>
      </c>
      <c r="AI4">
        <f>SUMIF(Planilha1!$E$2:$E$138,Planilha2!$A4,Planilha1!AM$2:AM$138)</f>
        <v>54766.188628130956</v>
      </c>
      <c r="AJ4">
        <f>SUMIF(Planilha1!$E$2:$E$138,Planilha2!$A4,Planilha1!AN$2:AN$138)</f>
        <v>55133.396934170698</v>
      </c>
      <c r="AK4">
        <f>SUMIF(Planilha1!$E$2:$E$138,Planilha2!$A4,Planilha1!AO$2:AO$138)</f>
        <v>55476.667532941516</v>
      </c>
      <c r="AL4">
        <f>SUMIF(Planilha1!$E$2:$E$138,Planilha2!$A4,Planilha1!AP$2:AP$138)</f>
        <v>55799.936421356688</v>
      </c>
      <c r="AM4">
        <f>SUMIF(Planilha1!$E$2:$E$138,Planilha2!$A4,Planilha1!AQ$2:AQ$138)</f>
        <v>56128.082510045577</v>
      </c>
      <c r="AN4">
        <f>SUMIF(Planilha1!$E$2:$E$138,Planilha2!$A4,Planilha1!AR$2:AR$138)</f>
        <v>56480.033593219538</v>
      </c>
      <c r="AO4">
        <f>SUMIF(Planilha1!$E$2:$E$138,Planilha2!$A4,Planilha1!AS$2:AS$138)</f>
        <v>56847.037153070662</v>
      </c>
      <c r="AP4">
        <f>SUMIF(Planilha1!$E$2:$E$138,Planilha2!$A4,Planilha1!AT$2:AT$138)</f>
        <v>57232.192185898362</v>
      </c>
      <c r="AQ4">
        <f>SUMIF(Planilha1!$E$2:$E$138,Planilha2!$A4,Planilha1!AU$2:AU$138)</f>
        <v>57613.616486966392</v>
      </c>
      <c r="AR4">
        <f>SUMIF(Planilha1!$E$2:$E$138,Planilha2!$A4,Planilha1!AV$2:AV$138)</f>
        <v>57981.038502758689</v>
      </c>
      <c r="AS4">
        <f>SUMIF(Planilha1!$E$2:$E$138,Planilha2!$A4,Planilha1!AW$2:AW$138)</f>
        <v>58322.719909508458</v>
      </c>
      <c r="AT4">
        <f>SUMIF(Planilha1!$E$2:$E$138,Planilha2!$A4,Planilha1!AX$2:AX$138)</f>
        <v>58632.666134398802</v>
      </c>
      <c r="AU4">
        <f>SUMIF(Planilha1!$E$2:$E$138,Planilha2!$A4,Planilha1!AY$2:AY$138)</f>
        <v>58915.161325078254</v>
      </c>
      <c r="AV4">
        <f>SUMIF(Planilha1!$E$2:$E$138,Planilha2!$A4,Planilha1!AZ$2:AZ$138)</f>
        <v>59174.014020729766</v>
      </c>
      <c r="AW4">
        <f>SUMIF(Planilha1!$E$2:$E$138,Planilha2!$A4,Planilha1!BA$2:BA$138)</f>
        <v>59419.131017595369</v>
      </c>
      <c r="AX4">
        <f>SUMIF(Planilha1!$E$2:$E$138,Planilha2!$A4,Planilha1!BB$2:BB$138)</f>
        <v>59656.869472720435</v>
      </c>
    </row>
    <row r="5" spans="1:50" x14ac:dyDescent="0.2">
      <c r="A5" t="s">
        <v>243</v>
      </c>
      <c r="B5">
        <f>SUMIF(Planilha1!$E$2:$E$138,Planilha2!$A5,Planilha1!F$2:F$138)</f>
        <v>4524.6488346112037</v>
      </c>
      <c r="C5">
        <f>SUMIF(Planilha1!$E$2:$E$138,Planilha2!$A5,Planilha1!G$2:G$138)</f>
        <v>5769.5623831086332</v>
      </c>
      <c r="D5">
        <f>SUMIF(Planilha1!$E$2:$E$138,Planilha2!$A5,Planilha1!H$2:H$138)</f>
        <v>12697.453039263728</v>
      </c>
      <c r="E5">
        <f>SUMIF(Planilha1!$E$2:$E$138,Planilha2!$A5,Planilha1!I$2:I$138)</f>
        <v>4143.0015337875557</v>
      </c>
      <c r="F5">
        <f>SUMIF(Planilha1!$E$2:$E$138,Planilha2!$A5,Planilha1!J$2:J$138)</f>
        <v>12006.033707704806</v>
      </c>
      <c r="G5">
        <f>SUMIF(Planilha1!$E$2:$E$138,Planilha2!$A5,Planilha1!K$2:K$138)</f>
        <v>12366.828908098454</v>
      </c>
      <c r="H5">
        <f>SUMIF(Planilha1!$E$2:$E$138,Planilha2!$A5,Planilha1!L$2:L$138)</f>
        <v>14798.079962797839</v>
      </c>
      <c r="I5">
        <f>SUMIF(Planilha1!$E$2:$E$138,Planilha2!$A5,Planilha1!M$2:M$138)</f>
        <v>16771.806217416943</v>
      </c>
      <c r="J5">
        <f>SUMIF(Planilha1!$E$2:$E$138,Planilha2!$A5,Planilha1!N$2:N$138)</f>
        <v>15505.432545820129</v>
      </c>
      <c r="K5">
        <f>SUMIF(Planilha1!$E$2:$E$138,Planilha2!$A5,Planilha1!O$2:O$138)</f>
        <v>17616.9488674518</v>
      </c>
      <c r="L5">
        <f>SUMIF(Planilha1!$E$2:$E$138,Planilha2!$A5,Planilha1!P$2:P$138)</f>
        <v>16414.058709337922</v>
      </c>
      <c r="M5">
        <f>SUMIF(Planilha1!$E$2:$E$138,Planilha2!$A5,Planilha1!Q$2:Q$138)</f>
        <v>16698.361461612862</v>
      </c>
      <c r="N5">
        <f>SUMIF(Planilha1!$E$2:$E$138,Planilha2!$A5,Planilha1!R$2:R$138)</f>
        <v>16176.902163167895</v>
      </c>
      <c r="O5">
        <f>SUMIF(Planilha1!$E$2:$E$138,Planilha2!$A5,Planilha1!S$2:S$138)</f>
        <v>15719.524495769909</v>
      </c>
      <c r="P5">
        <f>SUMIF(Planilha1!$E$2:$E$138,Planilha2!$A5,Planilha1!T$2:T$138)</f>
        <v>16280.152194720868</v>
      </c>
      <c r="Q5">
        <f>SUMIF(Planilha1!$E$2:$E$138,Planilha2!$A5,Planilha1!U$2:U$138)</f>
        <v>16338.246737420488</v>
      </c>
      <c r="R5">
        <f>SUMIF(Planilha1!$E$2:$E$138,Planilha2!$A5,Planilha1!V$2:V$138)</f>
        <v>17289.906820878143</v>
      </c>
      <c r="S5">
        <f>SUMIF(Planilha1!$E$2:$E$138,Planilha2!$A5,Planilha1!W$2:W$138)</f>
        <v>17910.857287193576</v>
      </c>
      <c r="T5">
        <f>SUMIF(Planilha1!$E$2:$E$138,Planilha2!$A5,Planilha1!X$2:X$138)</f>
        <v>18655.773468558655</v>
      </c>
      <c r="U5">
        <f>SUMIF(Planilha1!$E$2:$E$138,Planilha2!$A5,Planilha1!Y$2:Y$138)</f>
        <v>19291.415767077229</v>
      </c>
      <c r="V5">
        <f>SUMIF(Planilha1!$E$2:$E$138,Planilha2!$A5,Planilha1!Z$2:Z$138)</f>
        <v>19565.106587917962</v>
      </c>
      <c r="W5">
        <f>SUMIF(Planilha1!$E$2:$E$138,Planilha2!$A5,Planilha1!AA$2:AA$138)</f>
        <v>19832.783800959471</v>
      </c>
      <c r="X5">
        <f>SUMIF(Planilha1!$E$2:$E$138,Planilha2!$A5,Planilha1!AB$2:AB$138)</f>
        <v>19822.667626583108</v>
      </c>
      <c r="Y5">
        <f>SUMIF(Planilha1!$E$2:$E$138,Planilha2!$A5,Planilha1!AC$2:AC$138)</f>
        <v>19866.534249773715</v>
      </c>
      <c r="Z5">
        <f>SUMIF(Planilha1!$E$2:$E$138,Planilha2!$A5,Planilha1!AD$2:AD$138)</f>
        <v>19899.088747023867</v>
      </c>
      <c r="AA5">
        <f>SUMIF(Planilha1!$E$2:$E$138,Planilha2!$A5,Planilha1!AE$2:AE$138)</f>
        <v>19987.535966245559</v>
      </c>
      <c r="AB5">
        <f>SUMIF(Planilha1!$E$2:$E$138,Planilha2!$A5,Planilha1!AF$2:AF$138)</f>
        <v>20191.57880643216</v>
      </c>
      <c r="AC5">
        <f>SUMIF(Planilha1!$E$2:$E$138,Planilha2!$A5,Planilha1!AG$2:AG$138)</f>
        <v>20422.690604641375</v>
      </c>
      <c r="AD5">
        <f>SUMIF(Planilha1!$E$2:$E$138,Planilha2!$A5,Planilha1!AH$2:AH$138)</f>
        <v>20731.909841572986</v>
      </c>
      <c r="AE5">
        <f>SUMIF(Planilha1!$E$2:$E$138,Planilha2!$A5,Planilha1!AI$2:AI$138)</f>
        <v>21030.287459418647</v>
      </c>
      <c r="AF5">
        <f>SUMIF(Planilha1!$E$2:$E$138,Planilha2!$A5,Planilha1!AJ$2:AJ$138)</f>
        <v>21318.944253920046</v>
      </c>
      <c r="AG5">
        <f>SUMIF(Planilha1!$E$2:$E$138,Planilha2!$A5,Planilha1!AK$2:AK$138)</f>
        <v>21572.325059405135</v>
      </c>
      <c r="AH5">
        <f>SUMIF(Planilha1!$E$2:$E$138,Planilha2!$A5,Planilha1!AL$2:AL$138)</f>
        <v>21770.428201966479</v>
      </c>
      <c r="AI5">
        <f>SUMIF(Planilha1!$E$2:$E$138,Planilha2!$A5,Planilha1!AM$2:AM$138)</f>
        <v>21932.533970099554</v>
      </c>
      <c r="AJ5">
        <f>SUMIF(Planilha1!$E$2:$E$138,Planilha2!$A5,Planilha1!AN$2:AN$138)</f>
        <v>22051.047069702716</v>
      </c>
      <c r="AK5">
        <f>SUMIF(Planilha1!$E$2:$E$138,Planilha2!$A5,Planilha1!AO$2:AO$138)</f>
        <v>22154.286027071903</v>
      </c>
      <c r="AL5">
        <f>SUMIF(Planilha1!$E$2:$E$138,Planilha2!$A5,Planilha1!AP$2:AP$138)</f>
        <v>22251.92205287523</v>
      </c>
      <c r="AM5">
        <f>SUMIF(Planilha1!$E$2:$E$138,Planilha2!$A5,Planilha1!AQ$2:AQ$138)</f>
        <v>22358.424333881885</v>
      </c>
      <c r="AN5">
        <f>SUMIF(Planilha1!$E$2:$E$138,Planilha2!$A5,Planilha1!AR$2:AR$138)</f>
        <v>22483.65336263461</v>
      </c>
      <c r="AO5">
        <f>SUMIF(Planilha1!$E$2:$E$138,Planilha2!$A5,Planilha1!AS$2:AS$138)</f>
        <v>22623.985175127356</v>
      </c>
      <c r="AP5">
        <f>SUMIF(Planilha1!$E$2:$E$138,Planilha2!$A5,Planilha1!AT$2:AT$138)</f>
        <v>22778.107620430819</v>
      </c>
      <c r="AQ5">
        <f>SUMIF(Planilha1!$E$2:$E$138,Planilha2!$A5,Planilha1!AU$2:AU$138)</f>
        <v>22934.344385754572</v>
      </c>
      <c r="AR5">
        <f>SUMIF(Planilha1!$E$2:$E$138,Planilha2!$A5,Planilha1!AV$2:AV$138)</f>
        <v>23085.047056496929</v>
      </c>
      <c r="AS5">
        <f>SUMIF(Planilha1!$E$2:$E$138,Planilha2!$A5,Planilha1!AW$2:AW$138)</f>
        <v>23222.950227976966</v>
      </c>
      <c r="AT5">
        <f>SUMIF(Planilha1!$E$2:$E$138,Planilha2!$A5,Planilha1!AX$2:AX$138)</f>
        <v>23344.096091671625</v>
      </c>
      <c r="AU5">
        <f>SUMIF(Planilha1!$E$2:$E$138,Planilha2!$A5,Planilha1!AY$2:AY$138)</f>
        <v>23449.893403064598</v>
      </c>
      <c r="AV5">
        <f>SUMIF(Planilha1!$E$2:$E$138,Planilha2!$A5,Planilha1!AZ$2:AZ$138)</f>
        <v>23542.832301013183</v>
      </c>
      <c r="AW5">
        <f>SUMIF(Planilha1!$E$2:$E$138,Planilha2!$A5,Planilha1!BA$2:BA$138)</f>
        <v>23628.452276329361</v>
      </c>
      <c r="AX5">
        <f>SUMIF(Planilha1!$E$2:$E$138,Planilha2!$A5,Planilha1!BB$2:BB$138)</f>
        <v>23711.215446371094</v>
      </c>
    </row>
    <row r="6" spans="1:50" x14ac:dyDescent="0.2">
      <c r="A6" t="s">
        <v>267</v>
      </c>
      <c r="B6">
        <f>SUMIF(Planilha1!$E$2:$E$138,Planilha2!$A6,Planilha1!F$2:F$138)</f>
        <v>-72.873567251240331</v>
      </c>
      <c r="C6">
        <f>SUMIF(Planilha1!$E$2:$E$138,Planilha2!$A6,Planilha1!G$2:G$138)</f>
        <v>2448.0556788475542</v>
      </c>
      <c r="D6">
        <f>SUMIF(Planilha1!$E$2:$E$138,Planilha2!$A6,Planilha1!H$2:H$138)</f>
        <v>6548.8994976155745</v>
      </c>
      <c r="E6">
        <f>SUMIF(Planilha1!$E$2:$E$138,Planilha2!$A6,Planilha1!I$2:I$138)</f>
        <v>2751.8240534750394</v>
      </c>
      <c r="F6">
        <f>SUMIF(Planilha1!$E$2:$E$138,Planilha2!$A6,Planilha1!J$2:J$138)</f>
        <v>4643.6736413041617</v>
      </c>
      <c r="G6">
        <f>SUMIF(Planilha1!$E$2:$E$138,Planilha2!$A6,Planilha1!K$2:K$138)</f>
        <v>4320.8584364655644</v>
      </c>
      <c r="H6">
        <f>SUMIF(Planilha1!$E$2:$E$138,Planilha2!$A6,Planilha1!L$2:L$138)</f>
        <v>5496.5098901937172</v>
      </c>
      <c r="I6">
        <f>SUMIF(Planilha1!$E$2:$E$138,Planilha2!$A6,Planilha1!M$2:M$138)</f>
        <v>6032.9499174571065</v>
      </c>
      <c r="J6">
        <f>SUMIF(Planilha1!$E$2:$E$138,Planilha2!$A6,Planilha1!N$2:N$138)</f>
        <v>5388.9778133892387</v>
      </c>
      <c r="K6">
        <f>SUMIF(Planilha1!$E$2:$E$138,Planilha2!$A6,Planilha1!O$2:O$138)</f>
        <v>6300.5653377479493</v>
      </c>
      <c r="L6">
        <f>SUMIF(Planilha1!$E$2:$E$138,Planilha2!$A6,Planilha1!P$2:P$138)</f>
        <v>6080.2781461103996</v>
      </c>
      <c r="M6">
        <f>SUMIF(Planilha1!$E$2:$E$138,Planilha2!$A6,Planilha1!Q$2:Q$138)</f>
        <v>6509.1520640510735</v>
      </c>
      <c r="N6">
        <f>SUMIF(Planilha1!$E$2:$E$138,Planilha2!$A6,Planilha1!R$2:R$138)</f>
        <v>6454.8037698061698</v>
      </c>
      <c r="O6">
        <f>SUMIF(Planilha1!$E$2:$E$138,Planilha2!$A6,Planilha1!S$2:S$138)</f>
        <v>6404.0931338919418</v>
      </c>
      <c r="P6">
        <f>SUMIF(Planilha1!$E$2:$E$138,Planilha2!$A6,Planilha1!T$2:T$138)</f>
        <v>6677.5920489452674</v>
      </c>
      <c r="Q6">
        <f>SUMIF(Planilha1!$E$2:$E$138,Planilha2!$A6,Planilha1!U$2:U$138)</f>
        <v>6713.5180822202847</v>
      </c>
      <c r="R6">
        <f>SUMIF(Planilha1!$E$2:$E$138,Planilha2!$A6,Planilha1!V$2:V$138)</f>
        <v>7048.4146933563015</v>
      </c>
      <c r="S6">
        <f>SUMIF(Planilha1!$E$2:$E$138,Planilha2!$A6,Planilha1!W$2:W$138)</f>
        <v>7209.6288381624927</v>
      </c>
      <c r="T6">
        <f>SUMIF(Planilha1!$E$2:$E$138,Planilha2!$A6,Planilha1!X$2:X$138)</f>
        <v>7448.4815047525644</v>
      </c>
      <c r="U6">
        <f>SUMIF(Planilha1!$E$2:$E$138,Planilha2!$A6,Planilha1!Y$2:Y$138)</f>
        <v>7671.4729622995783</v>
      </c>
      <c r="V6">
        <f>SUMIF(Planilha1!$E$2:$E$138,Planilha2!$A6,Planilha1!Z$2:Z$138)</f>
        <v>7802.6243321376314</v>
      </c>
      <c r="W6">
        <f>SUMIF(Planilha1!$E$2:$E$138,Planilha2!$A6,Planilha1!AA$2:AA$138)</f>
        <v>7964.4641220222702</v>
      </c>
      <c r="X6">
        <f>SUMIF(Planilha1!$E$2:$E$138,Planilha2!$A6,Planilha1!AB$2:AB$138)</f>
        <v>8038.5528125302426</v>
      </c>
      <c r="Y6">
        <f>SUMIF(Planilha1!$E$2:$E$138,Planilha2!$A6,Planilha1!AC$2:AC$138)</f>
        <v>8144.7718450300081</v>
      </c>
      <c r="Z6">
        <f>SUMIF(Planilha1!$E$2:$E$138,Planilha2!$A6,Planilha1!AD$2:AD$138)</f>
        <v>8234.6246304305714</v>
      </c>
      <c r="AA6">
        <f>SUMIF(Planilha1!$E$2:$E$138,Planilha2!$A6,Planilha1!AE$2:AE$138)</f>
        <v>8329.0311270774473</v>
      </c>
      <c r="AB6">
        <f>SUMIF(Planilha1!$E$2:$E$138,Planilha2!$A6,Planilha1!AF$2:AF$138)</f>
        <v>8443.2282957602001</v>
      </c>
      <c r="AC6">
        <f>SUMIF(Planilha1!$E$2:$E$138,Planilha2!$A6,Planilha1!AG$2:AG$138)</f>
        <v>8548.3181341494237</v>
      </c>
      <c r="AD6">
        <f>SUMIF(Planilha1!$E$2:$E$138,Planilha2!$A6,Planilha1!AH$2:AH$138)</f>
        <v>8672.0198236114484</v>
      </c>
      <c r="AE6">
        <f>SUMIF(Planilha1!$E$2:$E$138,Planilha2!$A6,Planilha1!AI$2:AI$138)</f>
        <v>8786.8231475127177</v>
      </c>
      <c r="AF6">
        <f>SUMIF(Planilha1!$E$2:$E$138,Planilha2!$A6,Planilha1!AJ$2:AJ$138)</f>
        <v>8901.9677250157238</v>
      </c>
      <c r="AG6">
        <f>SUMIF(Planilha1!$E$2:$E$138,Planilha2!$A6,Planilha1!AK$2:AK$138)</f>
        <v>9010.7302631432904</v>
      </c>
      <c r="AH6">
        <f>SUMIF(Planilha1!$E$2:$E$138,Planilha2!$A6,Planilha1!AL$2:AL$138)</f>
        <v>9107.9751932115942</v>
      </c>
      <c r="AI6">
        <f>SUMIF(Planilha1!$E$2:$E$138,Planilha2!$A6,Planilha1!AM$2:AM$138)</f>
        <v>9199.6070139448766</v>
      </c>
      <c r="AJ6">
        <f>SUMIF(Planilha1!$E$2:$E$138,Planilha2!$A6,Planilha1!AN$2:AN$138)</f>
        <v>9279.4394596374314</v>
      </c>
      <c r="AK6">
        <f>SUMIF(Planilha1!$E$2:$E$138,Planilha2!$A6,Planilha1!AO$2:AO$138)</f>
        <v>9354.8274000263609</v>
      </c>
      <c r="AL6">
        <f>SUMIF(Planilha1!$E$2:$E$138,Planilha2!$A6,Planilha1!AP$2:AP$138)</f>
        <v>9425.5071540946228</v>
      </c>
      <c r="AM6">
        <f>SUMIF(Planilha1!$E$2:$E$138,Planilha2!$A6,Planilha1!AQ$2:AQ$138)</f>
        <v>9494.8795722342729</v>
      </c>
      <c r="AN6">
        <f>SUMIF(Planilha1!$E$2:$E$138,Planilha2!$A6,Planilha1!AR$2:AR$138)</f>
        <v>9565.4531698772153</v>
      </c>
      <c r="AO6">
        <f>SUMIF(Planilha1!$E$2:$E$138,Planilha2!$A6,Planilha1!AS$2:AS$138)</f>
        <v>9636.2745594873595</v>
      </c>
      <c r="AP6">
        <f>SUMIF(Planilha1!$E$2:$E$138,Planilha2!$A6,Planilha1!AT$2:AT$138)</f>
        <v>9708.3666483380221</v>
      </c>
      <c r="AQ6">
        <f>SUMIF(Planilha1!$E$2:$E$138,Planilha2!$A6,Planilha1!AU$2:AU$138)</f>
        <v>9779.2324248644527</v>
      </c>
      <c r="AR6">
        <f>SUMIF(Planilha1!$E$2:$E$138,Planilha2!$A6,Planilha1!AV$2:AV$138)</f>
        <v>9848.0614934620298</v>
      </c>
      <c r="AS6">
        <f>SUMIF(Planilha1!$E$2:$E$138,Planilha2!$A6,Planilha1!AW$2:AW$138)</f>
        <v>9913.4724417524412</v>
      </c>
      <c r="AT6">
        <f>SUMIF(Planilha1!$E$2:$E$138,Planilha2!$A6,Planilha1!AX$2:AX$138)</f>
        <v>9974.6609085392411</v>
      </c>
      <c r="AU6">
        <f>SUMIF(Planilha1!$E$2:$E$138,Planilha2!$A6,Planilha1!AY$2:AY$138)</f>
        <v>10031.990561243245</v>
      </c>
      <c r="AV6">
        <f>SUMIF(Planilha1!$E$2:$E$138,Planilha2!$A6,Planilha1!AZ$2:AZ$138)</f>
        <v>10085.620229558777</v>
      </c>
      <c r="AW6">
        <f>SUMIF(Planilha1!$E$2:$E$138,Planilha2!$A6,Planilha1!BA$2:BA$138)</f>
        <v>10136.606495604126</v>
      </c>
      <c r="AX6">
        <f>SUMIF(Planilha1!$E$2:$E$138,Planilha2!$A6,Planilha1!BB$2:BB$138)</f>
        <v>10185.594436835898</v>
      </c>
    </row>
    <row r="8" spans="1:50" x14ac:dyDescent="0.2">
      <c r="B8">
        <f>SUM(B2:B6)</f>
        <v>8596.3391489834721</v>
      </c>
      <c r="C8">
        <f t="shared" ref="C8:AX8" si="0">SUM(C2:C6)</f>
        <v>22243.920359970663</v>
      </c>
      <c r="D8">
        <f t="shared" si="0"/>
        <v>67857.035252351052</v>
      </c>
      <c r="E8">
        <f t="shared" si="0"/>
        <v>25328.222064573296</v>
      </c>
      <c r="F8">
        <f t="shared" si="0"/>
        <v>54140.228547656647</v>
      </c>
      <c r="G8">
        <f t="shared" si="0"/>
        <v>55869.119070781744</v>
      </c>
      <c r="H8">
        <f t="shared" si="0"/>
        <v>66616.669755349896</v>
      </c>
      <c r="I8">
        <f t="shared" si="0"/>
        <v>74758.628509346177</v>
      </c>
      <c r="J8">
        <f t="shared" si="0"/>
        <v>66644.912787154433</v>
      </c>
      <c r="K8">
        <f t="shared" si="0"/>
        <v>77314.955783187761</v>
      </c>
      <c r="L8">
        <f t="shared" si="0"/>
        <v>73658.832993062955</v>
      </c>
      <c r="M8">
        <f t="shared" si="0"/>
        <v>76651.755410619808</v>
      </c>
      <c r="N8">
        <f t="shared" si="0"/>
        <v>75707.636751195707</v>
      </c>
      <c r="O8">
        <f t="shared" si="0"/>
        <v>74162.580183322847</v>
      </c>
      <c r="P8">
        <f t="shared" si="0"/>
        <v>77316.570271586606</v>
      </c>
      <c r="Q8">
        <f t="shared" si="0"/>
        <v>77643.917367945643</v>
      </c>
      <c r="R8">
        <f t="shared" si="0"/>
        <v>81836.394595477963</v>
      </c>
      <c r="S8">
        <f t="shared" si="0"/>
        <v>84382.81763916905</v>
      </c>
      <c r="T8">
        <f t="shared" si="0"/>
        <v>87463.025515334142</v>
      </c>
      <c r="U8">
        <f t="shared" si="0"/>
        <v>90310.546307111086</v>
      </c>
      <c r="V8">
        <f t="shared" si="0"/>
        <v>91625.315546224738</v>
      </c>
      <c r="W8">
        <f t="shared" si="0"/>
        <v>93153.963168011775</v>
      </c>
      <c r="X8">
        <f t="shared" si="0"/>
        <v>93542.083442845076</v>
      </c>
      <c r="Y8">
        <f t="shared" si="0"/>
        <v>94254.260170896348</v>
      </c>
      <c r="Z8">
        <f t="shared" si="0"/>
        <v>94927.107277617863</v>
      </c>
      <c r="AA8">
        <f t="shared" si="0"/>
        <v>95745.442463064974</v>
      </c>
      <c r="AB8">
        <f t="shared" si="0"/>
        <v>96977.291800974432</v>
      </c>
      <c r="AC8">
        <f t="shared" si="0"/>
        <v>98187.856900684594</v>
      </c>
      <c r="AD8">
        <f t="shared" si="0"/>
        <v>99661.081343089289</v>
      </c>
      <c r="AE8">
        <f t="shared" si="0"/>
        <v>101038.50137495867</v>
      </c>
      <c r="AF8">
        <f t="shared" si="0"/>
        <v>102371.47521733637</v>
      </c>
      <c r="AG8">
        <f t="shared" si="0"/>
        <v>103591.20728135676</v>
      </c>
      <c r="AH8">
        <f t="shared" si="0"/>
        <v>104614.87793966518</v>
      </c>
      <c r="AI8">
        <f t="shared" si="0"/>
        <v>105533.94955862785</v>
      </c>
      <c r="AJ8">
        <f t="shared" si="0"/>
        <v>106290.98039720935</v>
      </c>
      <c r="AK8">
        <f t="shared" si="0"/>
        <v>106990.44243570526</v>
      </c>
      <c r="AL8">
        <f t="shared" si="0"/>
        <v>107653.8304003627</v>
      </c>
      <c r="AM8">
        <f t="shared" si="0"/>
        <v>108328.24497403287</v>
      </c>
      <c r="AN8">
        <f t="shared" si="0"/>
        <v>109053.27647296712</v>
      </c>
      <c r="AO8">
        <f t="shared" si="0"/>
        <v>109812.12607850437</v>
      </c>
      <c r="AP8">
        <f t="shared" si="0"/>
        <v>110607.67417301006</v>
      </c>
      <c r="AQ8">
        <f t="shared" si="0"/>
        <v>111398.01577156948</v>
      </c>
      <c r="AR8">
        <f t="shared" si="0"/>
        <v>112159.75687642203</v>
      </c>
      <c r="AS8">
        <f t="shared" si="0"/>
        <v>112869.56360598604</v>
      </c>
      <c r="AT8">
        <f t="shared" si="0"/>
        <v>113514.08761949735</v>
      </c>
      <c r="AU8">
        <f t="shared" si="0"/>
        <v>114100.72071858785</v>
      </c>
      <c r="AV8">
        <f t="shared" si="0"/>
        <v>114637.29724589559</v>
      </c>
      <c r="AW8">
        <f t="shared" si="0"/>
        <v>115143.3558613348</v>
      </c>
      <c r="AX8">
        <f t="shared" si="0"/>
        <v>115632.99014951655</v>
      </c>
    </row>
    <row r="9" spans="1:50" x14ac:dyDescent="0.2">
      <c r="B9">
        <f>'Point Estimates'!C143</f>
        <v>8596.3391489834721</v>
      </c>
      <c r="C9">
        <f>'Point Estimates'!D143</f>
        <v>22243.920359970649</v>
      </c>
      <c r="D9">
        <f>'Point Estimates'!E143</f>
        <v>67857.035252351023</v>
      </c>
      <c r="E9">
        <f>'Point Estimates'!F143</f>
        <v>25328.222064573289</v>
      </c>
      <c r="F9">
        <f>'Point Estimates'!G143</f>
        <v>54140.228547656632</v>
      </c>
      <c r="G9">
        <f>'Point Estimates'!H143</f>
        <v>55869.119070781751</v>
      </c>
      <c r="H9">
        <f>'Point Estimates'!I143</f>
        <v>66616.669755349896</v>
      </c>
      <c r="I9">
        <f>'Point Estimates'!J143</f>
        <v>74758.628509346177</v>
      </c>
      <c r="J9">
        <f>'Point Estimates'!K143</f>
        <v>66644.912787154448</v>
      </c>
      <c r="K9">
        <f>'Point Estimates'!L143</f>
        <v>77314.955783187761</v>
      </c>
      <c r="L9">
        <f>'Point Estimates'!M143</f>
        <v>73658.832993062926</v>
      </c>
      <c r="M9">
        <f>'Point Estimates'!N143</f>
        <v>76651.755410619822</v>
      </c>
      <c r="N9">
        <f>'Point Estimates'!O143</f>
        <v>75707.636751195692</v>
      </c>
      <c r="O9">
        <f>'Point Estimates'!P143</f>
        <v>74162.580183322847</v>
      </c>
      <c r="P9">
        <f>'Point Estimates'!Q143</f>
        <v>77316.570271586635</v>
      </c>
      <c r="Q9">
        <f>'Point Estimates'!R143</f>
        <v>77643.917367945629</v>
      </c>
      <c r="R9">
        <f>'Point Estimates'!S143</f>
        <v>81836.394595477963</v>
      </c>
      <c r="S9">
        <f>'Point Estimates'!T143</f>
        <v>84382.817639169036</v>
      </c>
      <c r="T9">
        <f>'Point Estimates'!U143</f>
        <v>87463.025515334084</v>
      </c>
      <c r="U9">
        <f>'Point Estimates'!V143</f>
        <v>90310.546307111115</v>
      </c>
      <c r="V9">
        <f>'Point Estimates'!W143</f>
        <v>91625.315546224738</v>
      </c>
      <c r="W9">
        <f>'Point Estimates'!X143</f>
        <v>93153.963168011804</v>
      </c>
      <c r="X9">
        <f>'Point Estimates'!Y143</f>
        <v>93542.08344284512</v>
      </c>
      <c r="Y9">
        <f>'Point Estimates'!Z143</f>
        <v>94254.260170896348</v>
      </c>
      <c r="Z9">
        <f>'Point Estimates'!AA143</f>
        <v>94927.107277617863</v>
      </c>
      <c r="AA9">
        <f>'Point Estimates'!AB143</f>
        <v>95745.442463065017</v>
      </c>
      <c r="AB9">
        <f>'Point Estimates'!AC143</f>
        <v>96977.291800974432</v>
      </c>
      <c r="AC9">
        <f>'Point Estimates'!AD143</f>
        <v>98187.856900684579</v>
      </c>
      <c r="AD9">
        <f>'Point Estimates'!AE143</f>
        <v>99661.081343089259</v>
      </c>
      <c r="AE9">
        <f>'Point Estimates'!AF143</f>
        <v>101038.50137495867</v>
      </c>
      <c r="AF9">
        <f>'Point Estimates'!AG143</f>
        <v>102371.47521733637</v>
      </c>
      <c r="AG9">
        <f>'Point Estimates'!AH143</f>
        <v>103591.20728135676</v>
      </c>
      <c r="AH9">
        <f>'Point Estimates'!AI143</f>
        <v>104614.87793966518</v>
      </c>
      <c r="AI9">
        <f>'Point Estimates'!AJ143</f>
        <v>105533.94955862786</v>
      </c>
      <c r="AJ9">
        <f>'Point Estimates'!AK143</f>
        <v>106290.98039720937</v>
      </c>
      <c r="AK9">
        <f>'Point Estimates'!AL143</f>
        <v>106990.44243570528</v>
      </c>
      <c r="AL9">
        <f>'Point Estimates'!AM143</f>
        <v>107653.83040036268</v>
      </c>
      <c r="AM9">
        <f>'Point Estimates'!AN143</f>
        <v>108328.24497403292</v>
      </c>
      <c r="AN9">
        <f>'Point Estimates'!AO143</f>
        <v>109053.2764729671</v>
      </c>
      <c r="AO9">
        <f>'Point Estimates'!AP143</f>
        <v>109812.12607850439</v>
      </c>
      <c r="AP9">
        <f>'Point Estimates'!AQ143</f>
        <v>110607.67417301006</v>
      </c>
      <c r="AQ9">
        <f>'Point Estimates'!AR143</f>
        <v>111398.01577156947</v>
      </c>
      <c r="AR9">
        <f>'Point Estimates'!AS143</f>
        <v>112159.75687642203</v>
      </c>
      <c r="AS9">
        <f>'Point Estimates'!AT143</f>
        <v>112869.56360598607</v>
      </c>
      <c r="AT9">
        <f>'Point Estimates'!AU143</f>
        <v>113514.08761949737</v>
      </c>
      <c r="AU9">
        <f>'Point Estimates'!AV143</f>
        <v>114100.72071858784</v>
      </c>
      <c r="AV9">
        <f>'Point Estimates'!AW143</f>
        <v>114637.29724589561</v>
      </c>
      <c r="AW9">
        <f>'Point Estimates'!AX143</f>
        <v>115143.35586133474</v>
      </c>
      <c r="AX9">
        <f>'Point Estimates'!AY143</f>
        <v>115632.99014951655</v>
      </c>
    </row>
    <row r="11" spans="1:50" x14ac:dyDescent="0.2">
      <c r="B11" t="b">
        <f>EXACT(B8,B9)</f>
        <v>1</v>
      </c>
      <c r="C11" t="b">
        <f t="shared" ref="C11:AX11" si="1">EXACT(C8,C9)</f>
        <v>0</v>
      </c>
      <c r="D11" t="b">
        <f t="shared" si="1"/>
        <v>0</v>
      </c>
      <c r="E11" t="b">
        <f t="shared" si="1"/>
        <v>1</v>
      </c>
      <c r="F11" t="b">
        <f t="shared" si="1"/>
        <v>1</v>
      </c>
      <c r="G11" t="b">
        <f t="shared" si="1"/>
        <v>0</v>
      </c>
      <c r="H11" t="b">
        <f t="shared" si="1"/>
        <v>1</v>
      </c>
      <c r="I11" t="b">
        <f t="shared" si="1"/>
        <v>1</v>
      </c>
      <c r="J11" t="b">
        <f t="shared" si="1"/>
        <v>1</v>
      </c>
      <c r="K11" t="b">
        <f t="shared" si="1"/>
        <v>1</v>
      </c>
      <c r="L11" t="b">
        <f t="shared" si="1"/>
        <v>0</v>
      </c>
      <c r="M11" t="b">
        <f t="shared" si="1"/>
        <v>1</v>
      </c>
      <c r="N11" t="b">
        <f t="shared" si="1"/>
        <v>1</v>
      </c>
      <c r="O11" t="b">
        <f t="shared" si="1"/>
        <v>1</v>
      </c>
      <c r="P11" t="b">
        <f t="shared" si="1"/>
        <v>1</v>
      </c>
      <c r="Q11" t="b">
        <f t="shared" si="1"/>
        <v>1</v>
      </c>
      <c r="R11" t="b">
        <f t="shared" si="1"/>
        <v>1</v>
      </c>
      <c r="S11" t="b">
        <f t="shared" si="1"/>
        <v>0</v>
      </c>
      <c r="T11" t="b">
        <f t="shared" si="1"/>
        <v>1</v>
      </c>
      <c r="U11" t="b">
        <f t="shared" si="1"/>
        <v>1</v>
      </c>
      <c r="V11" t="b">
        <f t="shared" si="1"/>
        <v>1</v>
      </c>
      <c r="W11" t="b">
        <f t="shared" si="1"/>
        <v>1</v>
      </c>
      <c r="X11" t="b">
        <f t="shared" si="1"/>
        <v>1</v>
      </c>
      <c r="Y11" t="b">
        <f t="shared" si="1"/>
        <v>1</v>
      </c>
      <c r="Z11" t="b">
        <f t="shared" si="1"/>
        <v>1</v>
      </c>
      <c r="AA11" t="b">
        <f t="shared" si="1"/>
        <v>1</v>
      </c>
      <c r="AB11" t="b">
        <f t="shared" si="1"/>
        <v>1</v>
      </c>
      <c r="AC11" t="b">
        <f t="shared" si="1"/>
        <v>1</v>
      </c>
      <c r="AD11" t="b">
        <f t="shared" si="1"/>
        <v>1</v>
      </c>
      <c r="AE11" t="b">
        <f t="shared" si="1"/>
        <v>1</v>
      </c>
      <c r="AF11" t="b">
        <f t="shared" si="1"/>
        <v>1</v>
      </c>
      <c r="AG11" t="b">
        <f t="shared" si="1"/>
        <v>1</v>
      </c>
      <c r="AH11" t="b">
        <f t="shared" si="1"/>
        <v>1</v>
      </c>
      <c r="AI11" t="b">
        <f t="shared" si="1"/>
        <v>1</v>
      </c>
      <c r="AJ11" t="b">
        <f t="shared" si="1"/>
        <v>1</v>
      </c>
      <c r="AK11" t="b">
        <f t="shared" si="1"/>
        <v>1</v>
      </c>
      <c r="AL11" t="b">
        <f t="shared" si="1"/>
        <v>1</v>
      </c>
      <c r="AM11" t="b">
        <f t="shared" si="1"/>
        <v>1</v>
      </c>
      <c r="AN11" t="b">
        <f t="shared" si="1"/>
        <v>1</v>
      </c>
      <c r="AO11" t="b">
        <f t="shared" si="1"/>
        <v>1</v>
      </c>
      <c r="AP11" t="b">
        <f t="shared" si="1"/>
        <v>1</v>
      </c>
      <c r="AQ11" t="b">
        <f t="shared" si="1"/>
        <v>1</v>
      </c>
      <c r="AR11" t="b">
        <f t="shared" si="1"/>
        <v>1</v>
      </c>
      <c r="AS11" t="b">
        <f t="shared" si="1"/>
        <v>1</v>
      </c>
      <c r="AT11" t="b">
        <f t="shared" si="1"/>
        <v>1</v>
      </c>
      <c r="AU11" t="b">
        <f t="shared" si="1"/>
        <v>1</v>
      </c>
      <c r="AV11" t="b">
        <f t="shared" si="1"/>
        <v>1</v>
      </c>
      <c r="AW11" t="b">
        <f t="shared" si="1"/>
        <v>1</v>
      </c>
      <c r="AX11" t="b">
        <f t="shared" si="1"/>
        <v>1</v>
      </c>
    </row>
    <row r="13" spans="1:50" x14ac:dyDescent="0.2">
      <c r="B13" t="b">
        <f>AND(B11:AX11)</f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Gráficos</vt:lpstr>
      </vt:variant>
      <vt:variant>
        <vt:i4>1</vt:i4>
      </vt:variant>
    </vt:vector>
  </HeadingPairs>
  <TitlesOfParts>
    <vt:vector size="5" baseType="lpstr">
      <vt:lpstr>Graphs</vt:lpstr>
      <vt:lpstr>Point Estimates</vt:lpstr>
      <vt:lpstr>Planilha1</vt:lpstr>
      <vt:lpstr>Planilha2</vt:lpstr>
      <vt:lpstr>Gráfico1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</dc:creator>
  <cp:lastModifiedBy>Bruno Tebaldi</cp:lastModifiedBy>
  <dcterms:created xsi:type="dcterms:W3CDTF">2009-05-23T21:11:24Z</dcterms:created>
  <dcterms:modified xsi:type="dcterms:W3CDTF">2017-03-01T12:39:16Z</dcterms:modified>
</cp:coreProperties>
</file>