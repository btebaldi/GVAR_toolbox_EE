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PimUSA-PimBR\"/>
    </mc:Choice>
  </mc:AlternateContent>
  <bookViews>
    <workbookView xWindow="0" yWindow="0" windowWidth="28800" windowHeight="11685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3" i="1" l="1"/>
  <c r="X24" i="1" s="1"/>
  <c r="D23" i="1"/>
  <c r="D24" i="1" s="1"/>
  <c r="E23" i="1"/>
  <c r="E24" i="1" s="1"/>
  <c r="F23" i="1"/>
  <c r="R23" i="1" s="1"/>
  <c r="AD23" i="1" s="1"/>
  <c r="AP23" i="1" s="1"/>
  <c r="AP24" i="1" s="1"/>
  <c r="G23" i="1"/>
  <c r="S23" i="1" s="1"/>
  <c r="H23" i="1"/>
  <c r="H24" i="1" s="1"/>
  <c r="I23" i="1"/>
  <c r="U23" i="1" s="1"/>
  <c r="J23" i="1"/>
  <c r="V23" i="1" s="1"/>
  <c r="AH23" i="1" s="1"/>
  <c r="AT23" i="1" s="1"/>
  <c r="AT24" i="1" s="1"/>
  <c r="K23" i="1"/>
  <c r="W23" i="1" s="1"/>
  <c r="L23" i="1"/>
  <c r="L24" i="1" s="1"/>
  <c r="M23" i="1"/>
  <c r="M24" i="1" s="1"/>
  <c r="N23" i="1"/>
  <c r="Z23" i="1" s="1"/>
  <c r="AL23" i="1" s="1"/>
  <c r="AX23" i="1" s="1"/>
  <c r="AX24" i="1" s="1"/>
  <c r="C23" i="1"/>
  <c r="O23" i="1" s="1"/>
  <c r="AA23" i="1" s="1"/>
  <c r="AM23" i="1" s="1"/>
  <c r="AM24" i="1" s="1"/>
  <c r="Y23" i="1" l="1"/>
  <c r="AJ23" i="1"/>
  <c r="T23" i="1"/>
  <c r="W24" i="1"/>
  <c r="AI23" i="1"/>
  <c r="AE23" i="1"/>
  <c r="S24" i="1"/>
  <c r="AG23" i="1"/>
  <c r="U24" i="1"/>
  <c r="C24" i="1"/>
  <c r="AA24" i="1"/>
  <c r="O24" i="1"/>
  <c r="K24" i="1"/>
  <c r="G24" i="1"/>
  <c r="AL24" i="1"/>
  <c r="AD24" i="1"/>
  <c r="V24" i="1"/>
  <c r="N24" i="1"/>
  <c r="F24" i="1"/>
  <c r="Q23" i="1"/>
  <c r="I24" i="1"/>
  <c r="AH24" i="1"/>
  <c r="Z24" i="1"/>
  <c r="R24" i="1"/>
  <c r="J24" i="1"/>
  <c r="P23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H17" i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C16" i="1"/>
  <c r="AJ24" i="1" l="1"/>
  <c r="AV23" i="1"/>
  <c r="AV24" i="1" s="1"/>
  <c r="Y24" i="1"/>
  <c r="AK23" i="1"/>
  <c r="T24" i="1"/>
  <c r="AF23" i="1"/>
  <c r="Q24" i="1"/>
  <c r="AC23" i="1"/>
  <c r="AS23" i="1"/>
  <c r="AS24" i="1" s="1"/>
  <c r="AG24" i="1"/>
  <c r="P24" i="1"/>
  <c r="AB23" i="1"/>
  <c r="AE24" i="1"/>
  <c r="AQ23" i="1"/>
  <c r="AQ24" i="1" s="1"/>
  <c r="AU23" i="1"/>
  <c r="AU24" i="1" s="1"/>
  <c r="AI24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C12" i="1"/>
  <c r="C13" i="1"/>
  <c r="B13" i="1" l="1"/>
  <c r="B12" i="1"/>
  <c r="AW23" i="1"/>
  <c r="AW24" i="1" s="1"/>
  <c r="AK24" i="1"/>
  <c r="AF24" i="1"/>
  <c r="AR23" i="1"/>
  <c r="AR24" i="1" s="1"/>
  <c r="AB24" i="1"/>
  <c r="AN23" i="1"/>
  <c r="AN24" i="1" s="1"/>
  <c r="AC24" i="1"/>
  <c r="AO23" i="1"/>
  <c r="AO24" i="1" s="1"/>
</calcChain>
</file>

<file path=xl/sharedStrings.xml><?xml version="1.0" encoding="utf-8"?>
<sst xmlns="http://schemas.openxmlformats.org/spreadsheetml/2006/main" count="6" uniqueCount="3">
  <si>
    <t>FORECAST PROF</t>
  </si>
  <si>
    <t>FORECAST VECM 1</t>
  </si>
  <si>
    <t>FORECAST VECM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</si>
</sst>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X24"/>
  <sheetViews>
    <sheetView tabSelected="1" workbookViewId="0">
      <selection activeCell="C24" sqref="C24:AX24"/>
    </sheetView>
  </sheetViews>
  <sheetFormatPr defaultRowHeight="15" x14ac:dyDescent="0.25"/>
  <cols>
    <col min="2" max="2" width="17.28515625" bestFit="1" customWidth="1"/>
    <col min="3" max="3" width="10.42578125" customWidth="1"/>
    <col min="4" max="50" width="10.42578125" bestFit="1" customWidth="1"/>
  </cols>
  <sheetData>
    <row r="3" spans="2:50" x14ac:dyDescent="0.25">
      <c r="B3" t="s">
        <v>1</v>
      </c>
      <c r="C3">
        <v>91.557306821055789</v>
      </c>
      <c r="D3">
        <v>94.471516805101302</v>
      </c>
      <c r="E3">
        <v>91.466106732496257</v>
      </c>
      <c r="F3">
        <v>84.167774867443271</v>
      </c>
      <c r="G3">
        <v>84.118549791704609</v>
      </c>
      <c r="H3">
        <v>82.724962622022787</v>
      </c>
      <c r="I3">
        <v>90.310224679651299</v>
      </c>
      <c r="J3">
        <v>87.653666931094804</v>
      </c>
      <c r="K3">
        <v>92.945145615178731</v>
      </c>
      <c r="L3">
        <v>93.125094712329883</v>
      </c>
      <c r="M3">
        <v>96.583971893346543</v>
      </c>
      <c r="N3">
        <v>98.851140376654911</v>
      </c>
      <c r="O3">
        <v>96.841572059700965</v>
      </c>
      <c r="P3">
        <v>99.883855056577602</v>
      </c>
      <c r="Q3">
        <v>95.604564370145582</v>
      </c>
      <c r="R3">
        <v>88.012344210178995</v>
      </c>
      <c r="S3">
        <v>88.482344990438378</v>
      </c>
      <c r="T3">
        <v>86.72124377031669</v>
      </c>
      <c r="U3">
        <v>94.473361680550966</v>
      </c>
      <c r="V3">
        <v>91.87113651053528</v>
      </c>
      <c r="W3">
        <v>96.872225439750551</v>
      </c>
      <c r="X3">
        <v>97.068804590257017</v>
      </c>
      <c r="Y3">
        <v>100.45466853208801</v>
      </c>
      <c r="Z3">
        <v>102.62574454803101</v>
      </c>
      <c r="AA3">
        <v>100.62680636951298</v>
      </c>
      <c r="AB3">
        <v>103.614829977059</v>
      </c>
      <c r="AC3">
        <v>99.284627151831813</v>
      </c>
      <c r="AD3">
        <v>91.658645773801197</v>
      </c>
      <c r="AE3">
        <v>92.075139825709797</v>
      </c>
      <c r="AF3">
        <v>90.270035939593569</v>
      </c>
      <c r="AG3">
        <v>97.98353305825637</v>
      </c>
      <c r="AH3">
        <v>95.340176777980631</v>
      </c>
      <c r="AI3">
        <v>100.30280266579602</v>
      </c>
      <c r="AJ3">
        <v>100.46207603600297</v>
      </c>
      <c r="AK3">
        <v>103.81014383952603</v>
      </c>
      <c r="AL3">
        <v>105.94428642915197</v>
      </c>
      <c r="AM3">
        <v>103.90990342563597</v>
      </c>
      <c r="AN3">
        <v>106.86294044199897</v>
      </c>
      <c r="AO3">
        <v>102.49871037726699</v>
      </c>
      <c r="AP3">
        <v>94.839829720974095</v>
      </c>
      <c r="AQ3">
        <v>95.223873568754158</v>
      </c>
      <c r="AR3">
        <v>93.387161227782073</v>
      </c>
      <c r="AS3">
        <v>101.06986706271198</v>
      </c>
      <c r="AT3">
        <v>98.396311479127249</v>
      </c>
      <c r="AU3">
        <v>103.32954125271498</v>
      </c>
      <c r="AV3">
        <v>103.46012456955403</v>
      </c>
      <c r="AW3">
        <v>106.78014346769399</v>
      </c>
      <c r="AX3">
        <v>108.88693778957497</v>
      </c>
    </row>
    <row r="4" spans="2:50" x14ac:dyDescent="0.25">
      <c r="B4" t="s">
        <v>1</v>
      </c>
      <c r="C4">
        <v>4.5169650802901975</v>
      </c>
      <c r="D4">
        <v>4.5482983795969059</v>
      </c>
      <c r="E4">
        <v>4.5159684854356144</v>
      </c>
      <c r="F4">
        <v>4.4328121267025242</v>
      </c>
      <c r="G4">
        <v>4.4322271109296469</v>
      </c>
      <c r="H4">
        <v>4.4155214019734581</v>
      </c>
      <c r="I4">
        <v>4.5032506841308484</v>
      </c>
      <c r="J4">
        <v>4.4733934465571119</v>
      </c>
      <c r="K4">
        <v>4.532009487039022</v>
      </c>
      <c r="L4">
        <v>4.5339436937443596</v>
      </c>
      <c r="M4">
        <v>4.5704128050226984</v>
      </c>
      <c r="N4">
        <v>4.5936150859856397</v>
      </c>
      <c r="O4">
        <v>4.5730763655161715</v>
      </c>
      <c r="P4">
        <v>4.6040080615487664</v>
      </c>
      <c r="Q4">
        <v>4.5602205633752151</v>
      </c>
      <c r="R4">
        <v>4.4774770797562429</v>
      </c>
      <c r="S4">
        <v>4.4828030404793164</v>
      </c>
      <c r="T4">
        <v>4.4626988799583733</v>
      </c>
      <c r="U4">
        <v>4.5483179077837983</v>
      </c>
      <c r="V4">
        <v>4.5203869050627974</v>
      </c>
      <c r="W4">
        <v>4.5733928466414309</v>
      </c>
      <c r="X4">
        <v>4.5754200527235813</v>
      </c>
      <c r="Y4">
        <v>4.609706566359038</v>
      </c>
      <c r="Z4">
        <v>4.6310888227818996</v>
      </c>
      <c r="AA4">
        <v>4.6114186870758669</v>
      </c>
      <c r="AB4">
        <v>4.6406804660776091</v>
      </c>
      <c r="AC4">
        <v>4.5979907468996366</v>
      </c>
      <c r="AD4">
        <v>4.5180713045206149</v>
      </c>
      <c r="AE4">
        <v>4.5226049809366531</v>
      </c>
      <c r="AF4">
        <v>4.5028055774443985</v>
      </c>
      <c r="AG4">
        <v>4.5847994345341547</v>
      </c>
      <c r="AH4">
        <v>4.5574513039597795</v>
      </c>
      <c r="AI4">
        <v>4.6081936374069681</v>
      </c>
      <c r="AJ4">
        <v>4.6097803034080256</v>
      </c>
      <c r="AK4">
        <v>4.6425636908079513</v>
      </c>
      <c r="AL4">
        <v>4.6629133562111313</v>
      </c>
      <c r="AM4">
        <v>4.6435242104601775</v>
      </c>
      <c r="AN4">
        <v>4.6715470829206414</v>
      </c>
      <c r="AO4">
        <v>4.6298502168141127</v>
      </c>
      <c r="AP4">
        <v>4.5521894657609039</v>
      </c>
      <c r="AQ4">
        <v>4.5562306831401127</v>
      </c>
      <c r="AR4">
        <v>4.5367538756983068</v>
      </c>
      <c r="AS4">
        <v>4.6158120307865271</v>
      </c>
      <c r="AT4">
        <v>4.5890033183874097</v>
      </c>
      <c r="AU4">
        <v>4.6379233105833393</v>
      </c>
      <c r="AV4">
        <v>4.6391862686105423</v>
      </c>
      <c r="AW4">
        <v>4.6707719866532127</v>
      </c>
      <c r="AX4">
        <v>4.690310075908859</v>
      </c>
    </row>
    <row r="6" spans="2:50" x14ac:dyDescent="0.25">
      <c r="B6" t="s">
        <v>2</v>
      </c>
      <c r="C6">
        <v>91.557306821055789</v>
      </c>
      <c r="D6">
        <v>94.402704504469298</v>
      </c>
      <c r="E6">
        <v>90.806233200102611</v>
      </c>
      <c r="F6">
        <v>83.333067565453405</v>
      </c>
      <c r="G6">
        <v>82.399875597263915</v>
      </c>
      <c r="H6">
        <v>80.917718985099469</v>
      </c>
      <c r="I6">
        <v>88.6369903530817</v>
      </c>
      <c r="J6">
        <v>86.025916112515176</v>
      </c>
      <c r="K6">
        <v>91.236180183146104</v>
      </c>
      <c r="L6">
        <v>91.440119168060363</v>
      </c>
      <c r="M6">
        <v>94.866551999923615</v>
      </c>
      <c r="N6">
        <v>97.110641837302666</v>
      </c>
      <c r="O6">
        <v>95.12283029932</v>
      </c>
      <c r="P6">
        <v>98.157485768144241</v>
      </c>
      <c r="Q6">
        <v>93.878644792092501</v>
      </c>
      <c r="R6">
        <v>86.289474259560791</v>
      </c>
      <c r="S6">
        <v>85.716348384295017</v>
      </c>
      <c r="T6">
        <v>83.985133925995527</v>
      </c>
      <c r="U6">
        <v>91.745270087266732</v>
      </c>
      <c r="V6">
        <v>89.142598148536578</v>
      </c>
      <c r="W6">
        <v>94.164419743031289</v>
      </c>
      <c r="X6">
        <v>94.363440008451335</v>
      </c>
      <c r="Y6">
        <v>97.747644961972597</v>
      </c>
      <c r="Z6">
        <v>99.924983524530361</v>
      </c>
      <c r="AA6">
        <v>97.92772814847963</v>
      </c>
      <c r="AB6">
        <v>100.91904753139497</v>
      </c>
      <c r="AC6">
        <v>96.594768348623219</v>
      </c>
      <c r="AD6">
        <v>88.97247373407572</v>
      </c>
      <c r="AE6">
        <v>88.357560599522515</v>
      </c>
      <c r="AF6">
        <v>86.58878126012506</v>
      </c>
      <c r="AG6">
        <v>94.315467404361584</v>
      </c>
      <c r="AH6">
        <v>91.678063419553723</v>
      </c>
      <c r="AI6">
        <v>96.666164687411566</v>
      </c>
      <c r="AJ6">
        <v>96.832762433500804</v>
      </c>
      <c r="AK6">
        <v>100.18452501534199</v>
      </c>
      <c r="AL6">
        <v>102.33010536048702</v>
      </c>
      <c r="AM6">
        <v>100.30237159913297</v>
      </c>
      <c r="AN6">
        <v>103.26367511029704</v>
      </c>
      <c r="AO6">
        <v>98.910119181022978</v>
      </c>
      <c r="AP6">
        <v>91.259446949609128</v>
      </c>
      <c r="AQ6">
        <v>90.6166180315969</v>
      </c>
      <c r="AR6">
        <v>88.820620691079284</v>
      </c>
      <c r="AS6">
        <v>96.520790227717725</v>
      </c>
      <c r="AT6">
        <v>93.857418864424275</v>
      </c>
      <c r="AU6">
        <v>98.820216059172395</v>
      </c>
      <c r="AV6">
        <v>98.962118760219283</v>
      </c>
      <c r="AW6">
        <v>102.28974611594199</v>
      </c>
      <c r="AX6">
        <v>104.41178187192502</v>
      </c>
    </row>
    <row r="7" spans="2:50" x14ac:dyDescent="0.25">
      <c r="B7" t="s">
        <v>2</v>
      </c>
      <c r="C7">
        <v>4.5169650802901975</v>
      </c>
      <c r="D7">
        <v>4.5475697221528195</v>
      </c>
      <c r="E7">
        <v>4.5087279308293331</v>
      </c>
      <c r="F7">
        <v>4.4228454399744921</v>
      </c>
      <c r="G7">
        <v>4.4115839271723436</v>
      </c>
      <c r="H7">
        <v>4.3934328233839448</v>
      </c>
      <c r="I7">
        <v>4.4845492688246322</v>
      </c>
      <c r="J7">
        <v>4.4546486010021979</v>
      </c>
      <c r="K7">
        <v>4.5134515309451704</v>
      </c>
      <c r="L7">
        <v>4.5156843227234615</v>
      </c>
      <c r="M7">
        <v>4.552471188272122</v>
      </c>
      <c r="N7">
        <v>4.5758509659686517</v>
      </c>
      <c r="O7">
        <v>4.5551690069789625</v>
      </c>
      <c r="P7">
        <v>4.5865731864656594</v>
      </c>
      <c r="Q7">
        <v>4.5420029353448896</v>
      </c>
      <c r="R7">
        <v>4.4577076237859385</v>
      </c>
      <c r="S7">
        <v>4.45104357035473</v>
      </c>
      <c r="T7">
        <v>4.430639806109542</v>
      </c>
      <c r="U7">
        <v>4.5190159334234412</v>
      </c>
      <c r="V7">
        <v>4.4902373139248875</v>
      </c>
      <c r="W7">
        <v>4.5450424004977537</v>
      </c>
      <c r="X7">
        <v>4.5471537100900044</v>
      </c>
      <c r="Y7">
        <v>4.5823891061146087</v>
      </c>
      <c r="Z7">
        <v>4.6044197397190185</v>
      </c>
      <c r="AA7">
        <v>4.5842297387347166</v>
      </c>
      <c r="AB7">
        <v>4.6143186858705612</v>
      </c>
      <c r="AC7">
        <v>4.5705245818701341</v>
      </c>
      <c r="AD7">
        <v>4.4883270380072249</v>
      </c>
      <c r="AE7">
        <v>4.4813917706507054</v>
      </c>
      <c r="AF7">
        <v>4.4611702605266714</v>
      </c>
      <c r="AG7">
        <v>4.5466451995650994</v>
      </c>
      <c r="AH7">
        <v>4.5182831294836632</v>
      </c>
      <c r="AI7">
        <v>4.571263441410081</v>
      </c>
      <c r="AJ7">
        <v>4.5729853919111321</v>
      </c>
      <c r="AK7">
        <v>4.6070137357588798</v>
      </c>
      <c r="AL7">
        <v>4.6282039147129783</v>
      </c>
      <c r="AM7">
        <v>4.6081893397445111</v>
      </c>
      <c r="AN7">
        <v>4.6372856696597005</v>
      </c>
      <c r="AO7">
        <v>4.5942115506951442</v>
      </c>
      <c r="AP7">
        <v>4.5137065153188196</v>
      </c>
      <c r="AQ7">
        <v>4.5066376182114842</v>
      </c>
      <c r="AR7">
        <v>4.4866188380300285</v>
      </c>
      <c r="AS7">
        <v>4.5697584279147554</v>
      </c>
      <c r="AT7">
        <v>4.5417768101418226</v>
      </c>
      <c r="AU7">
        <v>4.5933021998063532</v>
      </c>
      <c r="AV7">
        <v>4.5947371381240263</v>
      </c>
      <c r="AW7">
        <v>4.627809434463118</v>
      </c>
      <c r="AX7">
        <v>4.6483425222604557</v>
      </c>
    </row>
    <row r="9" spans="2:50" x14ac:dyDescent="0.25">
      <c r="B9" t="s">
        <v>0</v>
      </c>
      <c r="C9">
        <v>89.899999957066015</v>
      </c>
      <c r="D9">
        <v>90.100000034752284</v>
      </c>
      <c r="E9">
        <v>86.143446045707392</v>
      </c>
      <c r="F9">
        <v>78.210591221851217</v>
      </c>
      <c r="G9">
        <v>77.364051902249798</v>
      </c>
      <c r="H9">
        <v>75.162682241797484</v>
      </c>
      <c r="I9">
        <v>84.258437787665855</v>
      </c>
      <c r="J9">
        <v>80.989919636829711</v>
      </c>
      <c r="K9">
        <v>86.229409415836642</v>
      </c>
      <c r="L9">
        <v>86.694248097817237</v>
      </c>
      <c r="M9">
        <v>90.381535390005965</v>
      </c>
      <c r="N9">
        <v>92.68788160466319</v>
      </c>
      <c r="O9">
        <v>90.231002640752322</v>
      </c>
      <c r="P9">
        <v>93.431511073840937</v>
      </c>
      <c r="Q9">
        <v>88.216286044691969</v>
      </c>
      <c r="R9">
        <v>80.091129810721441</v>
      </c>
      <c r="S9">
        <v>79.223977720708945</v>
      </c>
      <c r="T9">
        <v>76.969437463252646</v>
      </c>
      <c r="U9">
        <v>86.283561925814013</v>
      </c>
      <c r="V9">
        <v>82.936224921010989</v>
      </c>
      <c r="W9">
        <v>88.301352094396464</v>
      </c>
      <c r="X9">
        <v>88.777086074626411</v>
      </c>
      <c r="Y9">
        <v>92.552677878635336</v>
      </c>
      <c r="Z9">
        <v>94.914139861150019</v>
      </c>
      <c r="AA9">
        <v>92.397972614000366</v>
      </c>
      <c r="AB9">
        <v>95.675059862740554</v>
      </c>
      <c r="AC9">
        <v>90.334337374799418</v>
      </c>
      <c r="AD9">
        <v>82.013859477449969</v>
      </c>
      <c r="AE9">
        <v>81.125656058560168</v>
      </c>
      <c r="AF9">
        <v>78.816773272445872</v>
      </c>
      <c r="AG9">
        <v>88.354195508413611</v>
      </c>
      <c r="AH9">
        <v>84.926291375406734</v>
      </c>
      <c r="AI9">
        <v>90.419904980704672</v>
      </c>
      <c r="AJ9">
        <v>90.906803466618072</v>
      </c>
      <c r="AK9">
        <v>94.772712310523346</v>
      </c>
      <c r="AL9">
        <v>97.190556558633844</v>
      </c>
      <c r="AM9">
        <v>94.613789517056688</v>
      </c>
      <c r="AN9">
        <v>97.969206803159736</v>
      </c>
      <c r="AO9">
        <v>92.500179957224958</v>
      </c>
      <c r="AP9">
        <v>83.979994267857364</v>
      </c>
      <c r="AQ9">
        <v>83.070285026038064</v>
      </c>
      <c r="AR9">
        <v>80.705852150415566</v>
      </c>
      <c r="AS9">
        <v>90.471639780204171</v>
      </c>
      <c r="AT9">
        <v>86.961368255669669</v>
      </c>
      <c r="AU9">
        <v>92.586396424739533</v>
      </c>
      <c r="AV9">
        <v>93.084734128781662</v>
      </c>
      <c r="AW9">
        <v>97.043027342403306</v>
      </c>
      <c r="AX9">
        <v>99.518553786776863</v>
      </c>
    </row>
    <row r="10" spans="2:50" x14ac:dyDescent="0.25">
      <c r="B10" t="s">
        <v>0</v>
      </c>
      <c r="C10">
        <v>4.4986979409999996</v>
      </c>
      <c r="D10">
        <v>4.5009201650000001</v>
      </c>
      <c r="E10">
        <v>4.4560138839999999</v>
      </c>
      <c r="F10">
        <v>4.3594050759999998</v>
      </c>
      <c r="G10">
        <v>4.3485222270000001</v>
      </c>
      <c r="H10">
        <v>4.3196548610000001</v>
      </c>
      <c r="I10">
        <v>4.4338887160000002</v>
      </c>
      <c r="J10">
        <v>4.3943246980000001</v>
      </c>
      <c r="K10">
        <v>4.4570112960000001</v>
      </c>
      <c r="L10">
        <v>4.4623875389999998</v>
      </c>
      <c r="M10">
        <v>4.504039992</v>
      </c>
      <c r="N10">
        <v>4.5292377369999999</v>
      </c>
      <c r="O10">
        <v>4.5023730779999998</v>
      </c>
      <c r="P10">
        <v>4.5372286659999999</v>
      </c>
      <c r="Q10">
        <v>4.479791595</v>
      </c>
      <c r="R10">
        <v>4.3831651090000001</v>
      </c>
      <c r="S10">
        <v>4.372279002</v>
      </c>
      <c r="T10">
        <v>4.343408427</v>
      </c>
      <c r="U10">
        <v>4.4576391040000001</v>
      </c>
      <c r="V10">
        <v>4.4180719379999998</v>
      </c>
      <c r="W10">
        <v>4.4807554200000004</v>
      </c>
      <c r="X10">
        <v>4.4861285769999997</v>
      </c>
      <c r="Y10">
        <v>4.5277779730000001</v>
      </c>
      <c r="Z10">
        <v>4.552972692</v>
      </c>
      <c r="AA10">
        <v>4.5261050369999998</v>
      </c>
      <c r="AB10">
        <v>4.5609576570000003</v>
      </c>
      <c r="AC10">
        <v>4.5035176469999998</v>
      </c>
      <c r="AD10">
        <v>4.4068882509999998</v>
      </c>
      <c r="AE10">
        <v>4.3959992620000001</v>
      </c>
      <c r="AF10">
        <v>4.3671258330000002</v>
      </c>
      <c r="AG10">
        <v>4.4813536850000002</v>
      </c>
      <c r="AH10">
        <v>4.4417837200000001</v>
      </c>
      <c r="AI10">
        <v>4.5044644309999997</v>
      </c>
      <c r="AJ10">
        <v>4.5098348440000002</v>
      </c>
      <c r="AK10">
        <v>4.5514815229999996</v>
      </c>
      <c r="AL10">
        <v>4.5766735519999999</v>
      </c>
      <c r="AM10">
        <v>4.5498032320000004</v>
      </c>
      <c r="AN10">
        <v>4.5846532130000002</v>
      </c>
      <c r="AO10">
        <v>4.5272105900000001</v>
      </c>
      <c r="AP10">
        <v>4.4305786070000002</v>
      </c>
      <c r="AQ10">
        <v>4.419687057</v>
      </c>
      <c r="AR10">
        <v>4.3908110899999997</v>
      </c>
      <c r="AS10">
        <v>4.5050364289999996</v>
      </c>
      <c r="AT10">
        <v>4.4654639769999998</v>
      </c>
      <c r="AU10">
        <v>4.5281422239999998</v>
      </c>
      <c r="AV10">
        <v>4.5335101980000001</v>
      </c>
      <c r="AW10">
        <v>4.5751544610000003</v>
      </c>
      <c r="AX10">
        <v>4.6003440969999998</v>
      </c>
    </row>
    <row r="12" spans="2:50" x14ac:dyDescent="0.25">
      <c r="B12">
        <f>AVERAGE(C12:AX12)</f>
        <v>1.097152703272432</v>
      </c>
      <c r="C12">
        <f>C3/C9</f>
        <v>1.0184350040576335</v>
      </c>
      <c r="D12">
        <f t="shared" ref="D12:AX12" si="0">D3/D9</f>
        <v>1.0485184990972574</v>
      </c>
      <c r="E12">
        <f t="shared" si="0"/>
        <v>1.061788341784756</v>
      </c>
      <c r="F12">
        <f t="shared" si="0"/>
        <v>1.0761685029166188</v>
      </c>
      <c r="G12">
        <f t="shared" si="0"/>
        <v>1.0873079644017247</v>
      </c>
      <c r="H12">
        <f t="shared" si="0"/>
        <v>1.1006121675633864</v>
      </c>
      <c r="I12">
        <f t="shared" si="0"/>
        <v>1.0718241051090474</v>
      </c>
      <c r="J12">
        <f t="shared" si="0"/>
        <v>1.0822787246134615</v>
      </c>
      <c r="K12">
        <f t="shared" si="0"/>
        <v>1.0778822010360272</v>
      </c>
      <c r="L12">
        <f t="shared" si="0"/>
        <v>1.0741784692250484</v>
      </c>
      <c r="M12">
        <f t="shared" si="0"/>
        <v>1.0686250402427488</v>
      </c>
      <c r="N12">
        <f t="shared" si="0"/>
        <v>1.0664947635579756</v>
      </c>
      <c r="O12">
        <f t="shared" si="0"/>
        <v>1.0732627281696969</v>
      </c>
      <c r="P12">
        <f t="shared" si="0"/>
        <v>1.069059612849858</v>
      </c>
      <c r="Q12">
        <f t="shared" si="0"/>
        <v>1.083751863252445</v>
      </c>
      <c r="R12">
        <f t="shared" si="0"/>
        <v>1.0989025178965222</v>
      </c>
      <c r="S12">
        <f t="shared" si="0"/>
        <v>1.1168631964222786</v>
      </c>
      <c r="T12">
        <f t="shared" si="0"/>
        <v>1.126697123279871</v>
      </c>
      <c r="U12">
        <f t="shared" si="0"/>
        <v>1.0949172654900186</v>
      </c>
      <c r="V12">
        <f t="shared" si="0"/>
        <v>1.1077323159817554</v>
      </c>
      <c r="W12">
        <f t="shared" si="0"/>
        <v>1.0970638970079598</v>
      </c>
      <c r="X12">
        <f t="shared" si="0"/>
        <v>1.0933993092391043</v>
      </c>
      <c r="Y12">
        <f t="shared" si="0"/>
        <v>1.0853783038435103</v>
      </c>
      <c r="Z12">
        <f t="shared" si="0"/>
        <v>1.08124821758025</v>
      </c>
      <c r="AA12">
        <f t="shared" si="0"/>
        <v>1.0890585964465822</v>
      </c>
      <c r="AB12">
        <f t="shared" si="0"/>
        <v>1.0829868319466869</v>
      </c>
      <c r="AC12">
        <f t="shared" si="0"/>
        <v>1.0990795973838543</v>
      </c>
      <c r="AD12">
        <f t="shared" si="0"/>
        <v>1.1175994686483826</v>
      </c>
      <c r="AE12">
        <f t="shared" si="0"/>
        <v>1.134969432595353</v>
      </c>
      <c r="AF12">
        <f t="shared" si="0"/>
        <v>1.1453150413498561</v>
      </c>
      <c r="AG12">
        <f t="shared" si="0"/>
        <v>1.1089856287461277</v>
      </c>
      <c r="AH12">
        <f t="shared" si="0"/>
        <v>1.1226226323311415</v>
      </c>
      <c r="AI12">
        <f t="shared" si="0"/>
        <v>1.1093000229009347</v>
      </c>
      <c r="AJ12">
        <f t="shared" si="0"/>
        <v>1.1051106430432756</v>
      </c>
      <c r="AK12">
        <f t="shared" si="0"/>
        <v>1.095359004809227</v>
      </c>
      <c r="AL12">
        <f t="shared" si="0"/>
        <v>1.0900676997897127</v>
      </c>
      <c r="AM12">
        <f t="shared" si="0"/>
        <v>1.0982532668444003</v>
      </c>
      <c r="AN12">
        <f t="shared" si="0"/>
        <v>1.0907809089105782</v>
      </c>
      <c r="AO12">
        <f t="shared" si="0"/>
        <v>1.1080920104659868</v>
      </c>
      <c r="AP12">
        <f t="shared" si="0"/>
        <v>1.1293145533980256</v>
      </c>
      <c r="AQ12">
        <f t="shared" si="0"/>
        <v>1.1463048855424849</v>
      </c>
      <c r="AR12">
        <f t="shared" si="0"/>
        <v>1.1571299817729663</v>
      </c>
      <c r="AS12">
        <f t="shared" si="0"/>
        <v>1.1171441935644761</v>
      </c>
      <c r="AT12">
        <f t="shared" si="0"/>
        <v>1.1314945182306517</v>
      </c>
      <c r="AU12">
        <f t="shared" si="0"/>
        <v>1.1160337289583162</v>
      </c>
      <c r="AV12">
        <f t="shared" si="0"/>
        <v>1.1114617830504638</v>
      </c>
      <c r="AW12">
        <f t="shared" si="0"/>
        <v>1.1003381323929082</v>
      </c>
      <c r="AX12">
        <f t="shared" si="0"/>
        <v>1.094137059335391</v>
      </c>
    </row>
    <row r="13" spans="2:50" x14ac:dyDescent="0.25">
      <c r="B13">
        <f>AVERAGE(C13:AX13)</f>
        <v>1.065350110156263</v>
      </c>
      <c r="C13">
        <f>C6/C9</f>
        <v>1.0184350040576335</v>
      </c>
      <c r="D13">
        <f t="shared" ref="D13:AX13" si="1">D6/D9</f>
        <v>1.0477547665711147</v>
      </c>
      <c r="E13">
        <f t="shared" si="1"/>
        <v>1.0541281707249228</v>
      </c>
      <c r="F13">
        <f t="shared" si="1"/>
        <v>1.0654959419635612</v>
      </c>
      <c r="G13">
        <f t="shared" si="1"/>
        <v>1.0650925535981095</v>
      </c>
      <c r="H13">
        <f t="shared" si="1"/>
        <v>1.0765677404218772</v>
      </c>
      <c r="I13">
        <f t="shared" si="1"/>
        <v>1.0519657458692737</v>
      </c>
      <c r="J13">
        <f t="shared" si="1"/>
        <v>1.0621805342969544</v>
      </c>
      <c r="K13">
        <f t="shared" si="1"/>
        <v>1.058063377694779</v>
      </c>
      <c r="L13">
        <f t="shared" si="1"/>
        <v>1.0547426291175437</v>
      </c>
      <c r="M13">
        <f t="shared" si="1"/>
        <v>1.0496231513501548</v>
      </c>
      <c r="N13">
        <f t="shared" si="1"/>
        <v>1.0477167042343642</v>
      </c>
      <c r="O13">
        <f t="shared" si="1"/>
        <v>1.0542144885394227</v>
      </c>
      <c r="P13">
        <f t="shared" si="1"/>
        <v>1.0505822354790801</v>
      </c>
      <c r="Q13">
        <f t="shared" si="1"/>
        <v>1.0641872266593935</v>
      </c>
      <c r="R13">
        <f t="shared" si="1"/>
        <v>1.0773911476025853</v>
      </c>
      <c r="S13">
        <f t="shared" si="1"/>
        <v>1.0819495669161405</v>
      </c>
      <c r="T13">
        <f t="shared" si="1"/>
        <v>1.0911491196241674</v>
      </c>
      <c r="U13">
        <f t="shared" si="1"/>
        <v>1.0632995212477281</v>
      </c>
      <c r="V13">
        <f t="shared" si="1"/>
        <v>1.0748330808815638</v>
      </c>
      <c r="W13">
        <f t="shared" si="1"/>
        <v>1.0663983903934682</v>
      </c>
      <c r="X13">
        <f t="shared" si="1"/>
        <v>1.0629256284569761</v>
      </c>
      <c r="Y13">
        <f t="shared" si="1"/>
        <v>1.0561298408907136</v>
      </c>
      <c r="Z13">
        <f t="shared" si="1"/>
        <v>1.0527934370022287</v>
      </c>
      <c r="AA13">
        <f t="shared" si="1"/>
        <v>1.0598471522484616</v>
      </c>
      <c r="AB13">
        <f t="shared" si="1"/>
        <v>1.0548103933896427</v>
      </c>
      <c r="AC13">
        <f t="shared" si="1"/>
        <v>1.0693028936255891</v>
      </c>
      <c r="AD13">
        <f t="shared" si="1"/>
        <v>1.0848468088316103</v>
      </c>
      <c r="AE13">
        <f t="shared" si="1"/>
        <v>1.089144481441753</v>
      </c>
      <c r="AF13">
        <f t="shared" si="1"/>
        <v>1.0986085532937728</v>
      </c>
      <c r="AG13">
        <f t="shared" si="1"/>
        <v>1.0674701621314666</v>
      </c>
      <c r="AH13">
        <f t="shared" si="1"/>
        <v>1.0795015528736744</v>
      </c>
      <c r="AI13">
        <f t="shared" si="1"/>
        <v>1.069080582511559</v>
      </c>
      <c r="AJ13">
        <f t="shared" si="1"/>
        <v>1.0651871888670996</v>
      </c>
      <c r="AK13">
        <f t="shared" si="1"/>
        <v>1.0571030687302354</v>
      </c>
      <c r="AL13">
        <f t="shared" si="1"/>
        <v>1.0528811541350991</v>
      </c>
      <c r="AM13">
        <f t="shared" si="1"/>
        <v>1.0601242388779994</v>
      </c>
      <c r="AN13">
        <f t="shared" si="1"/>
        <v>1.0540421677372052</v>
      </c>
      <c r="AO13">
        <f t="shared" si="1"/>
        <v>1.0692965054420671</v>
      </c>
      <c r="AP13">
        <f t="shared" si="1"/>
        <v>1.0866807951728799</v>
      </c>
      <c r="AQ13">
        <f t="shared" si="1"/>
        <v>1.0908427484411962</v>
      </c>
      <c r="AR13">
        <f t="shared" si="1"/>
        <v>1.1005474612366377</v>
      </c>
      <c r="AS13">
        <f t="shared" si="1"/>
        <v>1.0668623942509456</v>
      </c>
      <c r="AT13">
        <f t="shared" si="1"/>
        <v>1.0793001622108791</v>
      </c>
      <c r="AU13">
        <f t="shared" si="1"/>
        <v>1.0673297576658589</v>
      </c>
      <c r="AV13">
        <f t="shared" si="1"/>
        <v>1.063140155971293</v>
      </c>
      <c r="AW13">
        <f t="shared" si="1"/>
        <v>1.0540659016646949</v>
      </c>
      <c r="AX13">
        <f t="shared" si="1"/>
        <v>1.0491690031552521</v>
      </c>
    </row>
    <row r="16" spans="2:50" x14ac:dyDescent="0.25">
      <c r="C16" s="1">
        <f>DATE(C17,C18,1)</f>
        <v>42583</v>
      </c>
      <c r="D16" s="1">
        <f>EOMONTH(C16,1)</f>
        <v>42643</v>
      </c>
      <c r="E16" s="1">
        <f t="shared" ref="E16:AX16" si="2">EOMONTH(D16,1)</f>
        <v>42674</v>
      </c>
      <c r="F16" s="1">
        <f t="shared" si="2"/>
        <v>42704</v>
      </c>
      <c r="G16" s="1">
        <f t="shared" si="2"/>
        <v>42735</v>
      </c>
      <c r="H16" s="1">
        <f t="shared" si="2"/>
        <v>42766</v>
      </c>
      <c r="I16" s="1">
        <f t="shared" si="2"/>
        <v>42794</v>
      </c>
      <c r="J16" s="1">
        <f t="shared" si="2"/>
        <v>42825</v>
      </c>
      <c r="K16" s="1">
        <f t="shared" si="2"/>
        <v>42855</v>
      </c>
      <c r="L16" s="1">
        <f t="shared" si="2"/>
        <v>42886</v>
      </c>
      <c r="M16" s="1">
        <f t="shared" si="2"/>
        <v>42916</v>
      </c>
      <c r="N16" s="1">
        <f t="shared" si="2"/>
        <v>42947</v>
      </c>
      <c r="O16" s="1">
        <f t="shared" si="2"/>
        <v>42978</v>
      </c>
      <c r="P16" s="1">
        <f t="shared" si="2"/>
        <v>43008</v>
      </c>
      <c r="Q16" s="1">
        <f t="shared" si="2"/>
        <v>43039</v>
      </c>
      <c r="R16" s="1">
        <f t="shared" si="2"/>
        <v>43069</v>
      </c>
      <c r="S16" s="1">
        <f t="shared" si="2"/>
        <v>43100</v>
      </c>
      <c r="T16" s="1">
        <f t="shared" si="2"/>
        <v>43131</v>
      </c>
      <c r="U16" s="1">
        <f t="shared" si="2"/>
        <v>43159</v>
      </c>
      <c r="V16" s="1">
        <f t="shared" si="2"/>
        <v>43190</v>
      </c>
      <c r="W16" s="1">
        <f t="shared" si="2"/>
        <v>43220</v>
      </c>
      <c r="X16" s="1">
        <f t="shared" si="2"/>
        <v>43251</v>
      </c>
      <c r="Y16" s="1">
        <f t="shared" si="2"/>
        <v>43281</v>
      </c>
      <c r="Z16" s="1">
        <f t="shared" si="2"/>
        <v>43312</v>
      </c>
      <c r="AA16" s="1">
        <f t="shared" si="2"/>
        <v>43343</v>
      </c>
      <c r="AB16" s="1">
        <f t="shared" si="2"/>
        <v>43373</v>
      </c>
      <c r="AC16" s="1">
        <f t="shared" si="2"/>
        <v>43404</v>
      </c>
      <c r="AD16" s="1">
        <f t="shared" si="2"/>
        <v>43434</v>
      </c>
      <c r="AE16" s="1">
        <f t="shared" si="2"/>
        <v>43465</v>
      </c>
      <c r="AF16" s="1">
        <f t="shared" si="2"/>
        <v>43496</v>
      </c>
      <c r="AG16" s="1">
        <f t="shared" si="2"/>
        <v>43524</v>
      </c>
      <c r="AH16" s="1">
        <f t="shared" si="2"/>
        <v>43555</v>
      </c>
      <c r="AI16" s="1">
        <f t="shared" si="2"/>
        <v>43585</v>
      </c>
      <c r="AJ16" s="1">
        <f t="shared" si="2"/>
        <v>43616</v>
      </c>
      <c r="AK16" s="1">
        <f t="shared" si="2"/>
        <v>43646</v>
      </c>
      <c r="AL16" s="1">
        <f t="shared" si="2"/>
        <v>43677</v>
      </c>
      <c r="AM16" s="1">
        <f t="shared" si="2"/>
        <v>43708</v>
      </c>
      <c r="AN16" s="1">
        <f t="shared" si="2"/>
        <v>43738</v>
      </c>
      <c r="AO16" s="1">
        <f t="shared" si="2"/>
        <v>43769</v>
      </c>
      <c r="AP16" s="1">
        <f t="shared" si="2"/>
        <v>43799</v>
      </c>
      <c r="AQ16" s="1">
        <f t="shared" si="2"/>
        <v>43830</v>
      </c>
      <c r="AR16" s="1">
        <f t="shared" si="2"/>
        <v>43861</v>
      </c>
      <c r="AS16" s="1">
        <f t="shared" si="2"/>
        <v>43890</v>
      </c>
      <c r="AT16" s="1">
        <f t="shared" si="2"/>
        <v>43921</v>
      </c>
      <c r="AU16" s="1">
        <f t="shared" si="2"/>
        <v>43951</v>
      </c>
      <c r="AV16" s="1">
        <f t="shared" si="2"/>
        <v>43982</v>
      </c>
      <c r="AW16" s="1">
        <f t="shared" si="2"/>
        <v>44012</v>
      </c>
      <c r="AX16" s="1">
        <f t="shared" si="2"/>
        <v>44043</v>
      </c>
    </row>
    <row r="17" spans="2:50" x14ac:dyDescent="0.25">
      <c r="C17">
        <v>2016</v>
      </c>
      <c r="H17">
        <f>H9/G9</f>
        <v>0.97154531586280191</v>
      </c>
      <c r="I17">
        <f t="shared" ref="I17:AX17" si="3">I9/H9</f>
        <v>1.1210142490206434</v>
      </c>
      <c r="J17">
        <f t="shared" si="3"/>
        <v>0.96120841738042995</v>
      </c>
      <c r="K17">
        <f t="shared" si="3"/>
        <v>1.0646931099882744</v>
      </c>
      <c r="L17">
        <f t="shared" si="3"/>
        <v>1.0053907209283892</v>
      </c>
      <c r="M17">
        <f t="shared" si="3"/>
        <v>1.0425320868811083</v>
      </c>
      <c r="N17">
        <f t="shared" si="3"/>
        <v>1.0255178915107503</v>
      </c>
      <c r="O17">
        <f t="shared" si="3"/>
        <v>0.9734929861231475</v>
      </c>
      <c r="P17">
        <f t="shared" si="3"/>
        <v>1.0354701636845507</v>
      </c>
      <c r="Q17">
        <f t="shared" si="3"/>
        <v>0.9441813049022908</v>
      </c>
      <c r="R17">
        <f t="shared" si="3"/>
        <v>0.90789505432302853</v>
      </c>
      <c r="S17">
        <f t="shared" si="3"/>
        <v>0.98917293223279745</v>
      </c>
      <c r="T17">
        <f t="shared" si="3"/>
        <v>0.97154219817888587</v>
      </c>
      <c r="U17">
        <f t="shared" si="3"/>
        <v>1.1210106864430209</v>
      </c>
      <c r="V17">
        <f t="shared" si="3"/>
        <v>0.96120539150109452</v>
      </c>
      <c r="W17">
        <f t="shared" si="3"/>
        <v>1.0646897924097132</v>
      </c>
      <c r="X17">
        <f t="shared" si="3"/>
        <v>1.0053876182974115</v>
      </c>
      <c r="Y17">
        <f t="shared" si="3"/>
        <v>1.0425288998653903</v>
      </c>
      <c r="Z17">
        <f t="shared" si="3"/>
        <v>1.025514788298306</v>
      </c>
      <c r="AA17">
        <f t="shared" si="3"/>
        <v>0.97349006954253015</v>
      </c>
      <c r="AB17">
        <f t="shared" si="3"/>
        <v>1.035467090413666</v>
      </c>
      <c r="AC17">
        <f t="shared" si="3"/>
        <v>0.94417852995751284</v>
      </c>
      <c r="AD17">
        <f t="shared" si="3"/>
        <v>0.90789241235226448</v>
      </c>
      <c r="AE17">
        <f t="shared" si="3"/>
        <v>0.98917008144051533</v>
      </c>
      <c r="AF17">
        <f t="shared" si="3"/>
        <v>0.97153942540140892</v>
      </c>
      <c r="AG17">
        <f t="shared" si="3"/>
        <v>1.1210075195923048</v>
      </c>
      <c r="AH17">
        <f t="shared" si="3"/>
        <v>0.96120270109096917</v>
      </c>
      <c r="AI17">
        <f t="shared" si="3"/>
        <v>1.0646868421583848</v>
      </c>
      <c r="AJ17">
        <f t="shared" si="3"/>
        <v>1.0053848595175732</v>
      </c>
      <c r="AK17">
        <f t="shared" si="3"/>
        <v>1.0425260673182164</v>
      </c>
      <c r="AL17">
        <f t="shared" si="3"/>
        <v>1.025512029667236</v>
      </c>
      <c r="AM17">
        <f t="shared" si="3"/>
        <v>0.97348747519495249</v>
      </c>
      <c r="AN17">
        <f t="shared" si="3"/>
        <v>1.0354643578196194</v>
      </c>
      <c r="AO17">
        <f t="shared" si="3"/>
        <v>0.94417606282223787</v>
      </c>
      <c r="AP17">
        <f t="shared" si="3"/>
        <v>0.90789006363763181</v>
      </c>
      <c r="AQ17">
        <f t="shared" si="3"/>
        <v>0.98916754817918007</v>
      </c>
      <c r="AR17">
        <f t="shared" si="3"/>
        <v>0.97153695963747599</v>
      </c>
      <c r="AS17">
        <f t="shared" si="3"/>
        <v>1.1210047025039476</v>
      </c>
      <c r="AT17">
        <f t="shared" si="3"/>
        <v>0.96120031058282451</v>
      </c>
      <c r="AU17">
        <f t="shared" si="3"/>
        <v>1.0646842187732382</v>
      </c>
      <c r="AV17">
        <f t="shared" si="3"/>
        <v>1.0053824073868909</v>
      </c>
      <c r="AW17">
        <f t="shared" si="3"/>
        <v>1.0425235485782813</v>
      </c>
      <c r="AX17">
        <f t="shared" si="3"/>
        <v>1.0255095756198844</v>
      </c>
    </row>
    <row r="18" spans="2:50" x14ac:dyDescent="0.25">
      <c r="C18">
        <v>8</v>
      </c>
    </row>
    <row r="21" spans="2:50" x14ac:dyDescent="0.25">
      <c r="C21">
        <v>103.7467</v>
      </c>
      <c r="D21">
        <v>103.5964</v>
      </c>
      <c r="E21">
        <v>103.0343</v>
      </c>
      <c r="F21">
        <v>102.8002</v>
      </c>
      <c r="G21">
        <v>102.8557</v>
      </c>
      <c r="H21">
        <v>106.4273</v>
      </c>
      <c r="I21">
        <v>104.4508</v>
      </c>
      <c r="J21">
        <v>106.93989999999999</v>
      </c>
      <c r="K21">
        <v>105.3682</v>
      </c>
      <c r="L21">
        <v>104.3895</v>
      </c>
      <c r="M21">
        <v>102.8768</v>
      </c>
      <c r="N21">
        <v>103.51300000000001</v>
      </c>
    </row>
    <row r="23" spans="2:50" x14ac:dyDescent="0.25">
      <c r="B23" s="2">
        <v>0.03</v>
      </c>
      <c r="C23">
        <f>(1+$B$23)*C21</f>
        <v>106.85910100000001</v>
      </c>
      <c r="D23">
        <f t="shared" ref="D23:O23" si="4">(1+$B$23)*D21</f>
        <v>106.70429200000001</v>
      </c>
      <c r="E23">
        <f t="shared" si="4"/>
        <v>106.12532900000001</v>
      </c>
      <c r="F23">
        <f t="shared" si="4"/>
        <v>105.88420600000001</v>
      </c>
      <c r="G23">
        <f t="shared" si="4"/>
        <v>105.941371</v>
      </c>
      <c r="H23">
        <f t="shared" si="4"/>
        <v>109.620119</v>
      </c>
      <c r="I23">
        <f t="shared" si="4"/>
        <v>107.58432400000001</v>
      </c>
      <c r="J23">
        <f t="shared" si="4"/>
        <v>110.14809699999999</v>
      </c>
      <c r="K23">
        <f t="shared" si="4"/>
        <v>108.529246</v>
      </c>
      <c r="L23">
        <f t="shared" si="4"/>
        <v>107.521185</v>
      </c>
      <c r="M23">
        <f t="shared" si="4"/>
        <v>105.963104</v>
      </c>
      <c r="N23">
        <f t="shared" si="4"/>
        <v>106.61839000000001</v>
      </c>
      <c r="O23">
        <f>(1+$B$23)*C23</f>
        <v>110.06487403000001</v>
      </c>
      <c r="P23">
        <f t="shared" ref="P23:AX23" si="5">(1+$B$23)*D23</f>
        <v>109.90542076000001</v>
      </c>
      <c r="Q23">
        <f t="shared" si="5"/>
        <v>109.30908887000001</v>
      </c>
      <c r="R23">
        <f t="shared" si="5"/>
        <v>109.06073218</v>
      </c>
      <c r="S23">
        <f t="shared" si="5"/>
        <v>109.11961213000001</v>
      </c>
      <c r="T23">
        <f t="shared" si="5"/>
        <v>112.90872257000001</v>
      </c>
      <c r="U23">
        <f t="shared" si="5"/>
        <v>110.81185372000002</v>
      </c>
      <c r="V23">
        <f t="shared" si="5"/>
        <v>113.45253991</v>
      </c>
      <c r="W23">
        <f t="shared" si="5"/>
        <v>111.78512338</v>
      </c>
      <c r="X23">
        <f t="shared" si="5"/>
        <v>110.74682055000001</v>
      </c>
      <c r="Y23">
        <f t="shared" si="5"/>
        <v>109.14199712</v>
      </c>
      <c r="Z23">
        <f t="shared" si="5"/>
        <v>109.8169417</v>
      </c>
      <c r="AA23">
        <f t="shared" si="5"/>
        <v>113.36682025090002</v>
      </c>
      <c r="AB23">
        <f t="shared" si="5"/>
        <v>113.20258338280001</v>
      </c>
      <c r="AC23">
        <f t="shared" si="5"/>
        <v>112.58836153610001</v>
      </c>
      <c r="AD23">
        <f t="shared" si="5"/>
        <v>112.33255414540001</v>
      </c>
      <c r="AE23">
        <f t="shared" si="5"/>
        <v>112.39320049390001</v>
      </c>
      <c r="AF23">
        <f t="shared" si="5"/>
        <v>116.29598424710001</v>
      </c>
      <c r="AG23">
        <f t="shared" si="5"/>
        <v>114.13620933160001</v>
      </c>
      <c r="AH23">
        <f t="shared" si="5"/>
        <v>116.8561161073</v>
      </c>
      <c r="AI23">
        <f t="shared" si="5"/>
        <v>115.1386770814</v>
      </c>
      <c r="AJ23">
        <f t="shared" si="5"/>
        <v>114.06922516650002</v>
      </c>
      <c r="AK23">
        <f t="shared" si="5"/>
        <v>112.4162570336</v>
      </c>
      <c r="AL23">
        <f t="shared" si="5"/>
        <v>113.111449951</v>
      </c>
      <c r="AM23">
        <f t="shared" si="5"/>
        <v>116.76782485842702</v>
      </c>
      <c r="AN23">
        <f t="shared" si="5"/>
        <v>116.59866088428402</v>
      </c>
      <c r="AO23">
        <f t="shared" si="5"/>
        <v>115.96601238218301</v>
      </c>
      <c r="AP23">
        <f t="shared" si="5"/>
        <v>115.70253076976202</v>
      </c>
      <c r="AQ23">
        <f t="shared" si="5"/>
        <v>115.76499650871702</v>
      </c>
      <c r="AR23">
        <f t="shared" si="5"/>
        <v>119.78486377451301</v>
      </c>
      <c r="AS23">
        <f t="shared" si="5"/>
        <v>117.56029561154801</v>
      </c>
      <c r="AT23">
        <f t="shared" si="5"/>
        <v>120.361799590519</v>
      </c>
      <c r="AU23">
        <f t="shared" si="5"/>
        <v>118.592837393842</v>
      </c>
      <c r="AV23">
        <f t="shared" si="5"/>
        <v>117.49130192149502</v>
      </c>
      <c r="AW23">
        <f t="shared" si="5"/>
        <v>115.78874474460801</v>
      </c>
      <c r="AX23">
        <f t="shared" si="5"/>
        <v>116.50479344953</v>
      </c>
    </row>
    <row r="24" spans="2:50" x14ac:dyDescent="0.25">
      <c r="C24">
        <f>LN(C23)</f>
        <v>4.6715111536175762</v>
      </c>
      <c r="D24">
        <f t="shared" ref="D24:AX24" si="6">LN(D23)</f>
        <v>4.6700613824284165</v>
      </c>
      <c r="E24">
        <f t="shared" si="6"/>
        <v>4.6646207447444921</v>
      </c>
      <c r="F24">
        <f t="shared" si="6"/>
        <v>4.6623461007860083</v>
      </c>
      <c r="G24">
        <f t="shared" si="6"/>
        <v>4.6628858373201645</v>
      </c>
      <c r="H24">
        <f t="shared" si="6"/>
        <v>4.6970209251857078</v>
      </c>
      <c r="I24">
        <f t="shared" si="6"/>
        <v>4.6782749493818532</v>
      </c>
      <c r="J24">
        <f t="shared" si="6"/>
        <v>4.7018257966578965</v>
      </c>
      <c r="K24">
        <f t="shared" si="6"/>
        <v>4.6870196850459713</v>
      </c>
      <c r="L24">
        <f t="shared" si="6"/>
        <v>4.6776878979194638</v>
      </c>
      <c r="M24">
        <f t="shared" si="6"/>
        <v>4.6630909580480413</v>
      </c>
      <c r="N24">
        <f t="shared" si="6"/>
        <v>4.6692560109241974</v>
      </c>
      <c r="O24">
        <f t="shared" si="6"/>
        <v>4.7010699558591202</v>
      </c>
      <c r="P24">
        <f t="shared" si="6"/>
        <v>4.6996201846699606</v>
      </c>
      <c r="Q24">
        <f t="shared" si="6"/>
        <v>4.6941795469860361</v>
      </c>
      <c r="R24">
        <f t="shared" si="6"/>
        <v>4.6919049030275533</v>
      </c>
      <c r="S24">
        <f t="shared" si="6"/>
        <v>4.6924446395617085</v>
      </c>
      <c r="T24">
        <f t="shared" si="6"/>
        <v>4.7265797274272527</v>
      </c>
      <c r="U24">
        <f t="shared" si="6"/>
        <v>4.7078337516233981</v>
      </c>
      <c r="V24">
        <f t="shared" si="6"/>
        <v>4.7313845988994405</v>
      </c>
      <c r="W24">
        <f t="shared" si="6"/>
        <v>4.7165784872875154</v>
      </c>
      <c r="X24">
        <f t="shared" si="6"/>
        <v>4.7072467001610079</v>
      </c>
      <c r="Y24">
        <f t="shared" si="6"/>
        <v>4.6926497602895854</v>
      </c>
      <c r="Z24">
        <f t="shared" si="6"/>
        <v>4.6988148131657423</v>
      </c>
      <c r="AA24">
        <f t="shared" si="6"/>
        <v>4.7306287581006652</v>
      </c>
      <c r="AB24">
        <f t="shared" si="6"/>
        <v>4.7291789869115055</v>
      </c>
      <c r="AC24">
        <f t="shared" si="6"/>
        <v>4.7237383492275802</v>
      </c>
      <c r="AD24">
        <f t="shared" si="6"/>
        <v>4.7214637052690973</v>
      </c>
      <c r="AE24">
        <f t="shared" si="6"/>
        <v>4.7220034418032526</v>
      </c>
      <c r="AF24">
        <f t="shared" si="6"/>
        <v>4.7561385296687968</v>
      </c>
      <c r="AG24">
        <f t="shared" si="6"/>
        <v>4.7373925538649422</v>
      </c>
      <c r="AH24">
        <f t="shared" si="6"/>
        <v>4.7609434011409846</v>
      </c>
      <c r="AI24">
        <f t="shared" si="6"/>
        <v>4.7461372895290603</v>
      </c>
      <c r="AJ24">
        <f t="shared" si="6"/>
        <v>4.7368055024025528</v>
      </c>
      <c r="AK24">
        <f t="shared" si="6"/>
        <v>4.7222085625311303</v>
      </c>
      <c r="AL24">
        <f t="shared" si="6"/>
        <v>4.7283736154072864</v>
      </c>
      <c r="AM24">
        <f t="shared" si="6"/>
        <v>4.7601875603422092</v>
      </c>
      <c r="AN24">
        <f t="shared" si="6"/>
        <v>4.7587377891530496</v>
      </c>
      <c r="AO24">
        <f t="shared" si="6"/>
        <v>4.7532971514691251</v>
      </c>
      <c r="AP24">
        <f t="shared" si="6"/>
        <v>4.7510225075106423</v>
      </c>
      <c r="AQ24">
        <f t="shared" si="6"/>
        <v>4.7515622440447975</v>
      </c>
      <c r="AR24">
        <f t="shared" si="6"/>
        <v>4.7856973319103417</v>
      </c>
      <c r="AS24">
        <f t="shared" si="6"/>
        <v>4.7669513561064871</v>
      </c>
      <c r="AT24">
        <f t="shared" si="6"/>
        <v>4.7905022033825295</v>
      </c>
      <c r="AU24">
        <f t="shared" si="6"/>
        <v>4.7756960917706044</v>
      </c>
      <c r="AV24">
        <f t="shared" si="6"/>
        <v>4.7663643046440969</v>
      </c>
      <c r="AW24">
        <f t="shared" si="6"/>
        <v>4.7517673647726744</v>
      </c>
      <c r="AX24">
        <f t="shared" si="6"/>
        <v>4.7579324176488305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2017-01-17T12:00:45Z</dcterms:created>
  <dcterms:modified xsi:type="dcterms:W3CDTF">2017-02-03T11:35:09Z</dcterms:modified>
</cp:coreProperties>
</file>